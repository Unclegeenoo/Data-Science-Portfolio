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5.xml" ContentType="application/vnd.openxmlformats-officedocument.drawing+xml"/>
  <Override PartName="/xl/tables/table5.xml" ContentType="application/vnd.openxmlformats-officedocument.spreadsheetml.tab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7.xml" ContentType="application/vnd.openxmlformats-officedocument.drawing+xml"/>
  <Override PartName="/xl/tables/table8.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9.xml" ContentType="application/vnd.openxmlformats-officedocument.drawing+xml"/>
  <Override PartName="/xl/tables/table11.xml" ContentType="application/vnd.openxmlformats-officedocument.spreadsheetml.tab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0.xml" ContentType="application/vnd.openxmlformats-officedocument.drawing+xml"/>
  <Override PartName="/xl/tables/table12.xml" ContentType="application/vnd.openxmlformats-officedocument.spreadsheetml.tab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1.xml" ContentType="application/vnd.openxmlformats-officedocument.drawing+xml"/>
  <Override PartName="/xl/slicers/slicer2.xml" ContentType="application/vnd.ms-excel.slicer+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2.xml" ContentType="application/vnd.openxmlformats-officedocument.drawing+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13.xml" ContentType="application/vnd.openxmlformats-officedocument.drawing+xml"/>
  <Override PartName="/xl/slicers/slicer3.xml" ContentType="application/vnd.ms-excel.slicer+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14.xml" ContentType="application/vnd.openxmlformats-officedocument.drawing+xml"/>
  <Override PartName="/xl/slicers/slicer4.xml" ContentType="application/vnd.ms-excel.slicer+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pivotTables/pivotTable38.xml" ContentType="application/vnd.openxmlformats-officedocument.spreadsheetml.pivotTable+xml"/>
  <Override PartName="/xl/pivotTables/pivotTable39.xml" ContentType="application/vnd.openxmlformats-officedocument.spreadsheetml.pivotTable+xml"/>
  <Override PartName="/xl/drawings/drawing15.xml" ContentType="application/vnd.openxmlformats-officedocument.drawing+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1ff4aa6c8da940f8/Desktop/Capstone Data/Excel Projects/"/>
    </mc:Choice>
  </mc:AlternateContent>
  <xr:revisionPtr revIDLastSave="25" documentId="8_{96288E8B-40CB-43BE-B3F0-7B713BB46BEE}" xr6:coauthVersionLast="47" xr6:coauthVersionMax="47" xr10:uidLastSave="{7DACB254-AC50-4C3D-8E37-BA028553677E}"/>
  <bookViews>
    <workbookView xWindow="28680" yWindow="-120" windowWidth="29040" windowHeight="16440" tabRatio="675" xr2:uid="{CBD58C76-DEDA-4422-BD79-99F6DA0FC965}"/>
  </bookViews>
  <sheets>
    <sheet name="Dashboard" sheetId="11" r:id="rId1"/>
    <sheet name="Original Data" sheetId="1" r:id="rId2"/>
    <sheet name="Long Data" sheetId="4" state="hidden" r:id="rId3"/>
    <sheet name="Forecasts" sheetId="9" state="hidden" r:id="rId4"/>
    <sheet name="Forecasts 2" sheetId="10" state="hidden" r:id="rId5"/>
    <sheet name="Forecasts 3" sheetId="13" state="hidden" r:id="rId6"/>
    <sheet name="Forecasts 4" sheetId="14" state="hidden" r:id="rId7"/>
    <sheet name="Forecast 5" sheetId="15" state="hidden" r:id="rId8"/>
    <sheet name="Forecast 6" sheetId="16" state="hidden" r:id="rId9"/>
    <sheet name="Forecast 7" sheetId="20" state="hidden" r:id="rId10"/>
    <sheet name="No Totals" sheetId="8" state="hidden" r:id="rId11"/>
    <sheet name="forecast margin" sheetId="26" state="hidden" r:id="rId12"/>
    <sheet name="cogs forecast" sheetId="28" state="hidden" r:id="rId13"/>
    <sheet name="Only Totals" sheetId="12" state="hidden" r:id="rId14"/>
    <sheet name="Pivot Tables" sheetId="5" state="hidden" r:id="rId15"/>
    <sheet name="Pivot Tables 2" sheetId="17" state="hidden" r:id="rId16"/>
    <sheet name="Pivot Tables 3" sheetId="18" state="hidden" r:id="rId17"/>
    <sheet name="Pivot Tables 4" sheetId="19" state="hidden" r:id="rId18"/>
    <sheet name="Pivot Tables 5" sheetId="23" state="hidden" r:id="rId19"/>
  </sheets>
  <definedNames>
    <definedName name="_xlnm._FilterDatabase" localSheetId="14" hidden="1">'Pivot Tables'!$AN$8:$AO$15</definedName>
    <definedName name="_xlnm._FilterDatabase" localSheetId="18" hidden="1">'Pivot Tables 5'!$E$3:$F$11</definedName>
    <definedName name="Slicer_Years">#N/A</definedName>
    <definedName name="Slicer_Years1">#N/A</definedName>
    <definedName name="Slicer_Years2">#N/A</definedName>
    <definedName name="Slicer_Месяц">#N/A</definedName>
    <definedName name="Slicer_Месяц1">#N/A</definedName>
  </definedNames>
  <calcPr calcId="181029"/>
  <pivotCaches>
    <pivotCache cacheId="0" r:id="rId20"/>
    <pivotCache cacheId="1" r:id="rId21"/>
    <pivotCache cacheId="2" r:id="rId22"/>
  </pivotCaches>
  <extLst>
    <ext xmlns:x14="http://schemas.microsoft.com/office/spreadsheetml/2009/9/main" uri="{BBE1A952-AA13-448e-AADC-164F8A28A991}">
      <x14:slicerCaches>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 i="4" l="1"/>
  <c r="H3" i="8"/>
  <c r="AA14" i="4"/>
  <c r="AB73" i="8"/>
  <c r="X73" i="8"/>
  <c r="V73" i="8"/>
  <c r="T73" i="8"/>
  <c r="R73" i="8"/>
  <c r="P73" i="8"/>
  <c r="N73" i="8"/>
  <c r="L73" i="8"/>
  <c r="I73" i="8"/>
  <c r="J73" i="8" s="1"/>
  <c r="H73" i="8"/>
  <c r="G73" i="8"/>
  <c r="D73" i="8"/>
  <c r="E73" i="8" s="1"/>
  <c r="C73" i="8"/>
  <c r="AB72" i="8"/>
  <c r="Y72" i="8"/>
  <c r="AC72" i="8" s="1"/>
  <c r="X72" i="8"/>
  <c r="V72" i="8"/>
  <c r="T72" i="8"/>
  <c r="R72" i="8"/>
  <c r="P72" i="8"/>
  <c r="N72" i="8"/>
  <c r="L72" i="8"/>
  <c r="I72" i="8"/>
  <c r="H72" i="8"/>
  <c r="G72" i="8"/>
  <c r="E72" i="8"/>
  <c r="D72" i="8"/>
  <c r="C72" i="8"/>
  <c r="AB71" i="8"/>
  <c r="Z71" i="8"/>
  <c r="Y71" i="8"/>
  <c r="AC71" i="8" s="1"/>
  <c r="X71" i="8"/>
  <c r="V71" i="8"/>
  <c r="T71" i="8"/>
  <c r="R71" i="8"/>
  <c r="P71" i="8"/>
  <c r="N71" i="8"/>
  <c r="L71" i="8"/>
  <c r="I71" i="8"/>
  <c r="J71" i="8" s="1"/>
  <c r="H71" i="8"/>
  <c r="G71" i="8"/>
  <c r="D71" i="8"/>
  <c r="C71" i="8"/>
  <c r="AB70" i="8"/>
  <c r="X70" i="8"/>
  <c r="V70" i="8"/>
  <c r="T70" i="8"/>
  <c r="R70" i="8"/>
  <c r="P70" i="8"/>
  <c r="N70" i="8"/>
  <c r="L70" i="8"/>
  <c r="I70" i="8"/>
  <c r="H70" i="8"/>
  <c r="G70" i="8"/>
  <c r="E70" i="8"/>
  <c r="D70" i="8"/>
  <c r="C70" i="8"/>
  <c r="AB69" i="8"/>
  <c r="Y69" i="8"/>
  <c r="AC69" i="8" s="1"/>
  <c r="AD69" i="8" s="1"/>
  <c r="X69" i="8"/>
  <c r="V69" i="8"/>
  <c r="T69" i="8"/>
  <c r="R69" i="8"/>
  <c r="P69" i="8"/>
  <c r="N69" i="8"/>
  <c r="L69" i="8"/>
  <c r="I69" i="8"/>
  <c r="J69" i="8" s="1"/>
  <c r="H69" i="8"/>
  <c r="G69" i="8"/>
  <c r="E69" i="8"/>
  <c r="D69" i="8"/>
  <c r="C69" i="8"/>
  <c r="AB68" i="8"/>
  <c r="X68" i="8"/>
  <c r="V68" i="8"/>
  <c r="T68" i="8"/>
  <c r="R68" i="8"/>
  <c r="P68" i="8"/>
  <c r="N68" i="8"/>
  <c r="L68" i="8"/>
  <c r="J68" i="8"/>
  <c r="I68" i="8"/>
  <c r="Y68" i="8" s="1"/>
  <c r="H68" i="8"/>
  <c r="G68" i="8"/>
  <c r="E68" i="8"/>
  <c r="D68" i="8"/>
  <c r="C68" i="8"/>
  <c r="AB67" i="8"/>
  <c r="X67" i="8"/>
  <c r="V67" i="8"/>
  <c r="T67" i="8"/>
  <c r="R67" i="8"/>
  <c r="P67" i="8"/>
  <c r="N67" i="8"/>
  <c r="L67" i="8"/>
  <c r="I67" i="8"/>
  <c r="J67" i="8" s="1"/>
  <c r="H67" i="8"/>
  <c r="G67" i="8"/>
  <c r="D67" i="8"/>
  <c r="C67" i="8"/>
  <c r="AB66" i="8"/>
  <c r="Y66" i="8"/>
  <c r="AC66" i="8" s="1"/>
  <c r="X66" i="8"/>
  <c r="V66" i="8"/>
  <c r="T66" i="8"/>
  <c r="R66" i="8"/>
  <c r="P66" i="8"/>
  <c r="N66" i="8"/>
  <c r="L66" i="8"/>
  <c r="J66" i="8"/>
  <c r="I66" i="8"/>
  <c r="H66" i="8"/>
  <c r="G66" i="8"/>
  <c r="E66" i="8"/>
  <c r="D66" i="8"/>
  <c r="C66" i="8"/>
  <c r="AB65" i="8"/>
  <c r="X65" i="8"/>
  <c r="V65" i="8"/>
  <c r="T65" i="8"/>
  <c r="R65" i="8"/>
  <c r="P65" i="8"/>
  <c r="N65" i="8"/>
  <c r="L65" i="8"/>
  <c r="J65" i="8"/>
  <c r="I65" i="8"/>
  <c r="Y65" i="8" s="1"/>
  <c r="AC65" i="8" s="1"/>
  <c r="H65" i="8"/>
  <c r="G65" i="8"/>
  <c r="D65" i="8"/>
  <c r="E65" i="8" s="1"/>
  <c r="C65" i="8"/>
  <c r="AB64" i="8"/>
  <c r="Y64" i="8"/>
  <c r="X64" i="8"/>
  <c r="V64" i="8"/>
  <c r="T64" i="8"/>
  <c r="R64" i="8"/>
  <c r="P64" i="8"/>
  <c r="N64" i="8"/>
  <c r="L64" i="8"/>
  <c r="J64" i="8"/>
  <c r="I64" i="8"/>
  <c r="H64" i="8"/>
  <c r="G64" i="8"/>
  <c r="D64" i="8"/>
  <c r="C64" i="8"/>
  <c r="AC63" i="8"/>
  <c r="AB63" i="8"/>
  <c r="X63" i="8"/>
  <c r="V63" i="8"/>
  <c r="T63" i="8"/>
  <c r="R63" i="8"/>
  <c r="P63" i="8"/>
  <c r="N63" i="8"/>
  <c r="L63" i="8"/>
  <c r="I63" i="8"/>
  <c r="Y63" i="8" s="1"/>
  <c r="H63" i="8"/>
  <c r="G63" i="8"/>
  <c r="D63" i="8"/>
  <c r="E63" i="8" s="1"/>
  <c r="C63" i="8"/>
  <c r="AB62" i="8"/>
  <c r="Z62" i="8"/>
  <c r="Y62" i="8"/>
  <c r="AC62" i="8" s="1"/>
  <c r="AD62" i="8" s="1"/>
  <c r="X62" i="8"/>
  <c r="V62" i="8"/>
  <c r="T62" i="8"/>
  <c r="R62" i="8"/>
  <c r="P62" i="8"/>
  <c r="N62" i="8"/>
  <c r="L62" i="8"/>
  <c r="J62" i="8"/>
  <c r="I62" i="8"/>
  <c r="H62" i="8"/>
  <c r="G62" i="8"/>
  <c r="D62" i="8"/>
  <c r="E62" i="8" s="1"/>
  <c r="C62" i="8"/>
  <c r="AB61" i="8"/>
  <c r="X61" i="8"/>
  <c r="V61" i="8"/>
  <c r="T61" i="8"/>
  <c r="R61" i="8"/>
  <c r="P61" i="8"/>
  <c r="N61" i="8"/>
  <c r="L61" i="8"/>
  <c r="I61" i="8"/>
  <c r="J61" i="8" s="1"/>
  <c r="H61" i="8"/>
  <c r="G61" i="8"/>
  <c r="D61" i="8"/>
  <c r="E61" i="8" s="1"/>
  <c r="C61" i="8"/>
  <c r="AB60" i="8"/>
  <c r="Y60" i="8"/>
  <c r="AC60" i="8" s="1"/>
  <c r="X60" i="8"/>
  <c r="V60" i="8"/>
  <c r="T60" i="8"/>
  <c r="R60" i="8"/>
  <c r="P60" i="8"/>
  <c r="N60" i="8"/>
  <c r="L60" i="8"/>
  <c r="I60" i="8"/>
  <c r="J72" i="8" s="1"/>
  <c r="H60" i="8"/>
  <c r="G60" i="8"/>
  <c r="E60" i="8"/>
  <c r="D60" i="8"/>
  <c r="C60" i="8"/>
  <c r="AB59" i="8"/>
  <c r="Z59" i="8"/>
  <c r="Y59" i="8"/>
  <c r="AC59" i="8" s="1"/>
  <c r="AD59" i="8" s="1"/>
  <c r="X59" i="8"/>
  <c r="V59" i="8"/>
  <c r="T59" i="8"/>
  <c r="R59" i="8"/>
  <c r="P59" i="8"/>
  <c r="N59" i="8"/>
  <c r="L59" i="8"/>
  <c r="I59" i="8"/>
  <c r="J59" i="8" s="1"/>
  <c r="H59" i="8"/>
  <c r="G59" i="8"/>
  <c r="D59" i="8"/>
  <c r="E59" i="8" s="1"/>
  <c r="C59" i="8"/>
  <c r="AB58" i="8"/>
  <c r="X58" i="8"/>
  <c r="V58" i="8"/>
  <c r="T58" i="8"/>
  <c r="R58" i="8"/>
  <c r="P58" i="8"/>
  <c r="N58" i="8"/>
  <c r="L58" i="8"/>
  <c r="I58" i="8"/>
  <c r="H58" i="8"/>
  <c r="G58" i="8"/>
  <c r="E58" i="8"/>
  <c r="D58" i="8"/>
  <c r="C58" i="8"/>
  <c r="AB57" i="8"/>
  <c r="Y57" i="8"/>
  <c r="AC57" i="8" s="1"/>
  <c r="X57" i="8"/>
  <c r="V57" i="8"/>
  <c r="T57" i="8"/>
  <c r="R57" i="8"/>
  <c r="P57" i="8"/>
  <c r="N57" i="8"/>
  <c r="L57" i="8"/>
  <c r="I57" i="8"/>
  <c r="J57" i="8" s="1"/>
  <c r="H57" i="8"/>
  <c r="G57" i="8"/>
  <c r="E57" i="8"/>
  <c r="D57" i="8"/>
  <c r="C57" i="8"/>
  <c r="AB56" i="8"/>
  <c r="X56" i="8"/>
  <c r="V56" i="8"/>
  <c r="T56" i="8"/>
  <c r="R56" i="8"/>
  <c r="P56" i="8"/>
  <c r="N56" i="8"/>
  <c r="L56" i="8"/>
  <c r="J56" i="8"/>
  <c r="I56" i="8"/>
  <c r="Y56" i="8" s="1"/>
  <c r="H56" i="8"/>
  <c r="G56" i="8"/>
  <c r="E56" i="8"/>
  <c r="D56" i="8"/>
  <c r="C56" i="8"/>
  <c r="AC55" i="8"/>
  <c r="AB55" i="8"/>
  <c r="Y55" i="8"/>
  <c r="X55" i="8"/>
  <c r="V55" i="8"/>
  <c r="T55" i="8"/>
  <c r="R55" i="8"/>
  <c r="P55" i="8"/>
  <c r="N55" i="8"/>
  <c r="L55" i="8"/>
  <c r="I55" i="8"/>
  <c r="H55" i="8"/>
  <c r="G55" i="8"/>
  <c r="D55" i="8"/>
  <c r="E55" i="8" s="1"/>
  <c r="C55" i="8"/>
  <c r="AB54" i="8"/>
  <c r="Y54" i="8"/>
  <c r="AC54" i="8" s="1"/>
  <c r="X54" i="8"/>
  <c r="V54" i="8"/>
  <c r="T54" i="8"/>
  <c r="R54" i="8"/>
  <c r="P54" i="8"/>
  <c r="N54" i="8"/>
  <c r="L54" i="8"/>
  <c r="J54" i="8"/>
  <c r="I54" i="8"/>
  <c r="H54" i="8"/>
  <c r="G54" i="8"/>
  <c r="E54" i="8"/>
  <c r="D54" i="8"/>
  <c r="C54" i="8"/>
  <c r="AB53" i="8"/>
  <c r="X53" i="8"/>
  <c r="V53" i="8"/>
  <c r="T53" i="8"/>
  <c r="R53" i="8"/>
  <c r="P53" i="8"/>
  <c r="N53" i="8"/>
  <c r="L53" i="8"/>
  <c r="J53" i="8"/>
  <c r="I53" i="8"/>
  <c r="Y53" i="8" s="1"/>
  <c r="AC53" i="8" s="1"/>
  <c r="AD53" i="8" s="1"/>
  <c r="H53" i="8"/>
  <c r="G53" i="8"/>
  <c r="D53" i="8"/>
  <c r="E53" i="8" s="1"/>
  <c r="C53" i="8"/>
  <c r="AB52" i="8"/>
  <c r="Y52" i="8"/>
  <c r="X52" i="8"/>
  <c r="V52" i="8"/>
  <c r="T52" i="8"/>
  <c r="R52" i="8"/>
  <c r="P52" i="8"/>
  <c r="N52" i="8"/>
  <c r="L52" i="8"/>
  <c r="J52" i="8"/>
  <c r="I52" i="8"/>
  <c r="H52" i="8"/>
  <c r="G52" i="8"/>
  <c r="D52" i="8"/>
  <c r="E52" i="8" s="1"/>
  <c r="C52" i="8"/>
  <c r="AB51" i="8"/>
  <c r="X51" i="8"/>
  <c r="V51" i="8"/>
  <c r="T51" i="8"/>
  <c r="R51" i="8"/>
  <c r="P51" i="8"/>
  <c r="N51" i="8"/>
  <c r="L51" i="8"/>
  <c r="J51" i="8"/>
  <c r="I51" i="8"/>
  <c r="Y51" i="8" s="1"/>
  <c r="H51" i="8"/>
  <c r="G51" i="8"/>
  <c r="D51" i="8"/>
  <c r="E51" i="8" s="1"/>
  <c r="C51" i="8"/>
  <c r="AB50" i="8"/>
  <c r="Z50" i="8"/>
  <c r="Y50" i="8"/>
  <c r="AC50" i="8" s="1"/>
  <c r="X50" i="8"/>
  <c r="V50" i="8"/>
  <c r="T50" i="8"/>
  <c r="R50" i="8"/>
  <c r="P50" i="8"/>
  <c r="N50" i="8"/>
  <c r="L50" i="8"/>
  <c r="J50" i="8"/>
  <c r="I50" i="8"/>
  <c r="H50" i="8"/>
  <c r="G50" i="8"/>
  <c r="D50" i="8"/>
  <c r="C50" i="8"/>
  <c r="AB49" i="8"/>
  <c r="X49" i="8"/>
  <c r="V49" i="8"/>
  <c r="T49" i="8"/>
  <c r="R49" i="8"/>
  <c r="P49" i="8"/>
  <c r="N49" i="8"/>
  <c r="L49" i="8"/>
  <c r="I49" i="8"/>
  <c r="J49" i="8" s="1"/>
  <c r="H49" i="8"/>
  <c r="G49" i="8"/>
  <c r="D49" i="8"/>
  <c r="E49" i="8" s="1"/>
  <c r="C49" i="8"/>
  <c r="AB48" i="8"/>
  <c r="X48" i="8"/>
  <c r="V48" i="8"/>
  <c r="T48" i="8"/>
  <c r="R48" i="8"/>
  <c r="P48" i="8"/>
  <c r="N48" i="8"/>
  <c r="L48" i="8"/>
  <c r="I48" i="8"/>
  <c r="Y48" i="8" s="1"/>
  <c r="H48" i="8"/>
  <c r="G48" i="8"/>
  <c r="E48" i="8"/>
  <c r="D48" i="8"/>
  <c r="C48" i="8"/>
  <c r="AB47" i="8"/>
  <c r="Z47" i="8"/>
  <c r="Y47" i="8"/>
  <c r="AC47" i="8" s="1"/>
  <c r="X47" i="8"/>
  <c r="V47" i="8"/>
  <c r="T47" i="8"/>
  <c r="R47" i="8"/>
  <c r="P47" i="8"/>
  <c r="N47" i="8"/>
  <c r="L47" i="8"/>
  <c r="I47" i="8"/>
  <c r="J47" i="8" s="1"/>
  <c r="H47" i="8"/>
  <c r="G47" i="8"/>
  <c r="D47" i="8"/>
  <c r="C47" i="8"/>
  <c r="AB46" i="8"/>
  <c r="X46" i="8"/>
  <c r="V46" i="8"/>
  <c r="T46" i="8"/>
  <c r="R46" i="8"/>
  <c r="P46" i="8"/>
  <c r="N46" i="8"/>
  <c r="L46" i="8"/>
  <c r="I46" i="8"/>
  <c r="H46" i="8"/>
  <c r="G46" i="8"/>
  <c r="E46" i="8"/>
  <c r="D46" i="8"/>
  <c r="C46" i="8"/>
  <c r="AB45" i="8"/>
  <c r="Z45" i="8"/>
  <c r="Y45" i="8"/>
  <c r="AC45" i="8" s="1"/>
  <c r="X45" i="8"/>
  <c r="V45" i="8"/>
  <c r="T45" i="8"/>
  <c r="R45" i="8"/>
  <c r="P45" i="8"/>
  <c r="N45" i="8"/>
  <c r="L45" i="8"/>
  <c r="I45" i="8"/>
  <c r="J45" i="8" s="1"/>
  <c r="H45" i="8"/>
  <c r="G45" i="8"/>
  <c r="E45" i="8"/>
  <c r="D45" i="8"/>
  <c r="C45" i="8"/>
  <c r="AB44" i="8"/>
  <c r="X44" i="8"/>
  <c r="V44" i="8"/>
  <c r="T44" i="8"/>
  <c r="R44" i="8"/>
  <c r="P44" i="8"/>
  <c r="N44" i="8"/>
  <c r="L44" i="8"/>
  <c r="J44" i="8"/>
  <c r="I44" i="8"/>
  <c r="Y44" i="8" s="1"/>
  <c r="H44" i="8"/>
  <c r="G44" i="8"/>
  <c r="E44" i="8"/>
  <c r="D44" i="8"/>
  <c r="C44" i="8"/>
  <c r="AB43" i="8"/>
  <c r="Y43" i="8"/>
  <c r="Z43" i="8" s="1"/>
  <c r="X43" i="8"/>
  <c r="V43" i="8"/>
  <c r="T43" i="8"/>
  <c r="R43" i="8"/>
  <c r="P43" i="8"/>
  <c r="N43" i="8"/>
  <c r="L43" i="8"/>
  <c r="I43" i="8"/>
  <c r="J43" i="8" s="1"/>
  <c r="H43" i="8"/>
  <c r="G43" i="8"/>
  <c r="D43" i="8"/>
  <c r="E43" i="8" s="1"/>
  <c r="C43" i="8"/>
  <c r="AB42" i="8"/>
  <c r="Y42" i="8"/>
  <c r="AC42" i="8" s="1"/>
  <c r="AD42" i="8" s="1"/>
  <c r="X42" i="8"/>
  <c r="V42" i="8"/>
  <c r="T42" i="8"/>
  <c r="R42" i="8"/>
  <c r="P42" i="8"/>
  <c r="N42" i="8"/>
  <c r="L42" i="8"/>
  <c r="J42" i="8"/>
  <c r="I42" i="8"/>
  <c r="H42" i="8"/>
  <c r="G42" i="8"/>
  <c r="E42" i="8"/>
  <c r="D42" i="8"/>
  <c r="C42" i="8"/>
  <c r="AB41" i="8"/>
  <c r="X41" i="8"/>
  <c r="V41" i="8"/>
  <c r="T41" i="8"/>
  <c r="R41" i="8"/>
  <c r="P41" i="8"/>
  <c r="N41" i="8"/>
  <c r="L41" i="8"/>
  <c r="I41" i="8"/>
  <c r="Y41" i="8" s="1"/>
  <c r="AC41" i="8" s="1"/>
  <c r="AD41" i="8" s="1"/>
  <c r="H41" i="8"/>
  <c r="G41" i="8"/>
  <c r="D41" i="8"/>
  <c r="E41" i="8" s="1"/>
  <c r="C41" i="8"/>
  <c r="AB40" i="8"/>
  <c r="Y40" i="8"/>
  <c r="X40" i="8"/>
  <c r="V40" i="8"/>
  <c r="T40" i="8"/>
  <c r="R40" i="8"/>
  <c r="P40" i="8"/>
  <c r="N40" i="8"/>
  <c r="L40" i="8"/>
  <c r="J40" i="8"/>
  <c r="I40" i="8"/>
  <c r="H40" i="8"/>
  <c r="G40" i="8"/>
  <c r="D40" i="8"/>
  <c r="E40" i="8" s="1"/>
  <c r="C40" i="8"/>
  <c r="AC39" i="8"/>
  <c r="AB39" i="8"/>
  <c r="X39" i="8"/>
  <c r="V39" i="8"/>
  <c r="T39" i="8"/>
  <c r="R39" i="8"/>
  <c r="P39" i="8"/>
  <c r="N39" i="8"/>
  <c r="L39" i="8"/>
  <c r="I39" i="8"/>
  <c r="Y39" i="8" s="1"/>
  <c r="H39" i="8"/>
  <c r="G39" i="8"/>
  <c r="D39" i="8"/>
  <c r="E39" i="8" s="1"/>
  <c r="C39" i="8"/>
  <c r="AB38" i="8"/>
  <c r="Z38" i="8"/>
  <c r="Y38" i="8"/>
  <c r="AC38" i="8" s="1"/>
  <c r="AD38" i="8" s="1"/>
  <c r="X38" i="8"/>
  <c r="V38" i="8"/>
  <c r="T38" i="8"/>
  <c r="R38" i="8"/>
  <c r="P38" i="8"/>
  <c r="N38" i="8"/>
  <c r="L38" i="8"/>
  <c r="J38" i="8"/>
  <c r="I38" i="8"/>
  <c r="H38" i="8"/>
  <c r="G38" i="8"/>
  <c r="D38" i="8"/>
  <c r="C38" i="8"/>
  <c r="AB37" i="8"/>
  <c r="X37" i="8"/>
  <c r="V37" i="8"/>
  <c r="T37" i="8"/>
  <c r="R37" i="8"/>
  <c r="P37" i="8"/>
  <c r="N37" i="8"/>
  <c r="L37" i="8"/>
  <c r="I37" i="8"/>
  <c r="J37" i="8" s="1"/>
  <c r="H37" i="8"/>
  <c r="G37" i="8"/>
  <c r="D37" i="8"/>
  <c r="E37" i="8" s="1"/>
  <c r="C37" i="8"/>
  <c r="AB36" i="8"/>
  <c r="X36" i="8"/>
  <c r="V36" i="8"/>
  <c r="T36" i="8"/>
  <c r="R36" i="8"/>
  <c r="P36" i="8"/>
  <c r="N36" i="8"/>
  <c r="L36" i="8"/>
  <c r="I36" i="8"/>
  <c r="J36" i="8" s="1"/>
  <c r="H36" i="8"/>
  <c r="G36" i="8"/>
  <c r="E36" i="8"/>
  <c r="D36" i="8"/>
  <c r="C36" i="8"/>
  <c r="AB35" i="8"/>
  <c r="Z35" i="8"/>
  <c r="Y35" i="8"/>
  <c r="AC35" i="8" s="1"/>
  <c r="AD35" i="8" s="1"/>
  <c r="X35" i="8"/>
  <c r="V35" i="8"/>
  <c r="T35" i="8"/>
  <c r="R35" i="8"/>
  <c r="P35" i="8"/>
  <c r="N35" i="8"/>
  <c r="L35" i="8"/>
  <c r="I35" i="8"/>
  <c r="J35" i="8" s="1"/>
  <c r="H35" i="8"/>
  <c r="G35" i="8"/>
  <c r="D35" i="8"/>
  <c r="E35" i="8" s="1"/>
  <c r="C35" i="8"/>
  <c r="AB34" i="8"/>
  <c r="X34" i="8"/>
  <c r="V34" i="8"/>
  <c r="T34" i="8"/>
  <c r="R34" i="8"/>
  <c r="P34" i="8"/>
  <c r="N34" i="8"/>
  <c r="L34" i="8"/>
  <c r="I34" i="8"/>
  <c r="Y34" i="8" s="1"/>
  <c r="Z34" i="8" s="1"/>
  <c r="H34" i="8"/>
  <c r="G34" i="8"/>
  <c r="E34" i="8"/>
  <c r="D34" i="8"/>
  <c r="C34" i="8"/>
  <c r="AB33" i="8"/>
  <c r="Z33" i="8"/>
  <c r="Y33" i="8"/>
  <c r="AC33" i="8" s="1"/>
  <c r="X33" i="8"/>
  <c r="V33" i="8"/>
  <c r="T33" i="8"/>
  <c r="R33" i="8"/>
  <c r="P33" i="8"/>
  <c r="N33" i="8"/>
  <c r="L33" i="8"/>
  <c r="I33" i="8"/>
  <c r="J33" i="8" s="1"/>
  <c r="H33" i="8"/>
  <c r="G33" i="8"/>
  <c r="E33" i="8"/>
  <c r="D33" i="8"/>
  <c r="C33" i="8"/>
  <c r="AB32" i="8"/>
  <c r="X32" i="8"/>
  <c r="V32" i="8"/>
  <c r="T32" i="8"/>
  <c r="R32" i="8"/>
  <c r="P32" i="8"/>
  <c r="N32" i="8"/>
  <c r="L32" i="8"/>
  <c r="J32" i="8"/>
  <c r="I32" i="8"/>
  <c r="Y32" i="8" s="1"/>
  <c r="H32" i="8"/>
  <c r="G32" i="8"/>
  <c r="E32" i="8"/>
  <c r="D32" i="8"/>
  <c r="C32" i="8"/>
  <c r="AB31" i="8"/>
  <c r="Z31" i="8"/>
  <c r="Y31" i="8"/>
  <c r="AC31" i="8" s="1"/>
  <c r="X31" i="8"/>
  <c r="V31" i="8"/>
  <c r="T31" i="8"/>
  <c r="R31" i="8"/>
  <c r="P31" i="8"/>
  <c r="N31" i="8"/>
  <c r="L31" i="8"/>
  <c r="I31" i="8"/>
  <c r="H31" i="8"/>
  <c r="G31" i="8"/>
  <c r="E31" i="8"/>
  <c r="D31" i="8"/>
  <c r="C31" i="8"/>
  <c r="AB30" i="8"/>
  <c r="Y30" i="8"/>
  <c r="AC30" i="8" s="1"/>
  <c r="X30" i="8"/>
  <c r="V30" i="8"/>
  <c r="T30" i="8"/>
  <c r="R30" i="8"/>
  <c r="P30" i="8"/>
  <c r="N30" i="8"/>
  <c r="L30" i="8"/>
  <c r="J30" i="8"/>
  <c r="I30" i="8"/>
  <c r="H30" i="8"/>
  <c r="G30" i="8"/>
  <c r="E30" i="8"/>
  <c r="D30" i="8"/>
  <c r="C30" i="8"/>
  <c r="AC29" i="8"/>
  <c r="AD29" i="8" s="1"/>
  <c r="AB29" i="8"/>
  <c r="X29" i="8"/>
  <c r="V29" i="8"/>
  <c r="T29" i="8"/>
  <c r="R29" i="8"/>
  <c r="P29" i="8"/>
  <c r="N29" i="8"/>
  <c r="L29" i="8"/>
  <c r="I29" i="8"/>
  <c r="Y29" i="8" s="1"/>
  <c r="Z41" i="8" s="1"/>
  <c r="H29" i="8"/>
  <c r="G29" i="8"/>
  <c r="D29" i="8"/>
  <c r="E29" i="8" s="1"/>
  <c r="C29" i="8"/>
  <c r="AB28" i="8"/>
  <c r="Y28" i="8"/>
  <c r="X28" i="8"/>
  <c r="V28" i="8"/>
  <c r="T28" i="8"/>
  <c r="R28" i="8"/>
  <c r="P28" i="8"/>
  <c r="N28" i="8"/>
  <c r="L28" i="8"/>
  <c r="J28" i="8"/>
  <c r="I28" i="8"/>
  <c r="H28" i="8"/>
  <c r="G28" i="8"/>
  <c r="D28" i="8"/>
  <c r="E28" i="8" s="1"/>
  <c r="C28" i="8"/>
  <c r="AB27" i="8"/>
  <c r="X27" i="8"/>
  <c r="V27" i="8"/>
  <c r="T27" i="8"/>
  <c r="R27" i="8"/>
  <c r="P27" i="8"/>
  <c r="N27" i="8"/>
  <c r="L27" i="8"/>
  <c r="I27" i="8"/>
  <c r="Y27" i="8" s="1"/>
  <c r="H27" i="8"/>
  <c r="G27" i="8"/>
  <c r="D27" i="8"/>
  <c r="E27" i="8" s="1"/>
  <c r="C27" i="8"/>
  <c r="AB26" i="8"/>
  <c r="Y26" i="8"/>
  <c r="AC26" i="8" s="1"/>
  <c r="X26" i="8"/>
  <c r="V26" i="8"/>
  <c r="T26" i="8"/>
  <c r="R26" i="8"/>
  <c r="P26" i="8"/>
  <c r="N26" i="8"/>
  <c r="L26" i="8"/>
  <c r="J26" i="8"/>
  <c r="I26" i="8"/>
  <c r="H26" i="8"/>
  <c r="G26" i="8"/>
  <c r="D26" i="8"/>
  <c r="E26" i="8" s="1"/>
  <c r="C26" i="8"/>
  <c r="AB25" i="8"/>
  <c r="X25" i="8"/>
  <c r="V25" i="8"/>
  <c r="T25" i="8"/>
  <c r="R25" i="8"/>
  <c r="P25" i="8"/>
  <c r="N25" i="8"/>
  <c r="L25" i="8"/>
  <c r="I25" i="8"/>
  <c r="J25" i="8" s="1"/>
  <c r="H25" i="8"/>
  <c r="G25" i="8"/>
  <c r="D25" i="8"/>
  <c r="E25" i="8" s="1"/>
  <c r="C25" i="8"/>
  <c r="AB24" i="8"/>
  <c r="X24" i="8"/>
  <c r="V24" i="8"/>
  <c r="T24" i="8"/>
  <c r="R24" i="8"/>
  <c r="P24" i="8"/>
  <c r="N24" i="8"/>
  <c r="L24" i="8"/>
  <c r="I24" i="8"/>
  <c r="Y24" i="8" s="1"/>
  <c r="H24" i="8"/>
  <c r="G24" i="8"/>
  <c r="D24" i="8"/>
  <c r="C24" i="8"/>
  <c r="AB23" i="8"/>
  <c r="Y23" i="8"/>
  <c r="AC23" i="8" s="1"/>
  <c r="X23" i="8"/>
  <c r="V23" i="8"/>
  <c r="T23" i="8"/>
  <c r="R23" i="8"/>
  <c r="P23" i="8"/>
  <c r="N23" i="8"/>
  <c r="L23" i="8"/>
  <c r="I23" i="8"/>
  <c r="J23" i="8" s="1"/>
  <c r="H23" i="8"/>
  <c r="G23" i="8"/>
  <c r="D23" i="8"/>
  <c r="E23" i="8" s="1"/>
  <c r="C23" i="8"/>
  <c r="AC22" i="8"/>
  <c r="AD22" i="8" s="1"/>
  <c r="AB22" i="8"/>
  <c r="X22" i="8"/>
  <c r="V22" i="8"/>
  <c r="T22" i="8"/>
  <c r="R22" i="8"/>
  <c r="P22" i="8"/>
  <c r="N22" i="8"/>
  <c r="L22" i="8"/>
  <c r="I22" i="8"/>
  <c r="Y22" i="8" s="1"/>
  <c r="H22" i="8"/>
  <c r="G22" i="8"/>
  <c r="D22" i="8"/>
  <c r="C22" i="8"/>
  <c r="AB21" i="8"/>
  <c r="Y21" i="8"/>
  <c r="AC21" i="8" s="1"/>
  <c r="X21" i="8"/>
  <c r="V21" i="8"/>
  <c r="T21" i="8"/>
  <c r="R21" i="8"/>
  <c r="P21" i="8"/>
  <c r="N21" i="8"/>
  <c r="L21" i="8"/>
  <c r="I21" i="8"/>
  <c r="J21" i="8" s="1"/>
  <c r="H21" i="8"/>
  <c r="G21" i="8"/>
  <c r="E21" i="8"/>
  <c r="D21" i="8"/>
  <c r="C21" i="8"/>
  <c r="AB20" i="8"/>
  <c r="X20" i="8"/>
  <c r="V20" i="8"/>
  <c r="T20" i="8"/>
  <c r="R20" i="8"/>
  <c r="P20" i="8"/>
  <c r="N20" i="8"/>
  <c r="L20" i="8"/>
  <c r="J20" i="8"/>
  <c r="I20" i="8"/>
  <c r="Y20" i="8" s="1"/>
  <c r="H20" i="8"/>
  <c r="G20" i="8"/>
  <c r="D20" i="8"/>
  <c r="C20" i="8"/>
  <c r="AB19" i="8"/>
  <c r="Y19" i="8"/>
  <c r="AC19" i="8" s="1"/>
  <c r="AD19" i="8" s="1"/>
  <c r="X19" i="8"/>
  <c r="V19" i="8"/>
  <c r="T19" i="8"/>
  <c r="R19" i="8"/>
  <c r="P19" i="8"/>
  <c r="N19" i="8"/>
  <c r="L19" i="8"/>
  <c r="I19" i="8"/>
  <c r="H19" i="8"/>
  <c r="G19" i="8"/>
  <c r="D19" i="8"/>
  <c r="C19" i="8"/>
  <c r="AB18" i="8"/>
  <c r="Y18" i="8"/>
  <c r="X18" i="8"/>
  <c r="V18" i="8"/>
  <c r="T18" i="8"/>
  <c r="R18" i="8"/>
  <c r="P18" i="8"/>
  <c r="N18" i="8"/>
  <c r="L18" i="8"/>
  <c r="I18" i="8"/>
  <c r="H18" i="8"/>
  <c r="G18" i="8"/>
  <c r="E18" i="8"/>
  <c r="D18" i="8"/>
  <c r="C18" i="8"/>
  <c r="AC17" i="8"/>
  <c r="AD17" i="8" s="1"/>
  <c r="AB17" i="8"/>
  <c r="X17" i="8"/>
  <c r="V17" i="8"/>
  <c r="T17" i="8"/>
  <c r="R17" i="8"/>
  <c r="P17" i="8"/>
  <c r="N17" i="8"/>
  <c r="L17" i="8"/>
  <c r="J17" i="8"/>
  <c r="I17" i="8"/>
  <c r="Y17" i="8" s="1"/>
  <c r="H17" i="8"/>
  <c r="G17" i="8"/>
  <c r="D17" i="8"/>
  <c r="C17" i="8"/>
  <c r="AB16" i="8"/>
  <c r="Y16" i="8"/>
  <c r="X16" i="8"/>
  <c r="V16" i="8"/>
  <c r="T16" i="8"/>
  <c r="R16" i="8"/>
  <c r="P16" i="8"/>
  <c r="N16" i="8"/>
  <c r="L16" i="8"/>
  <c r="I16" i="8"/>
  <c r="H16" i="8"/>
  <c r="G16" i="8"/>
  <c r="D16" i="8"/>
  <c r="E16" i="8" s="1"/>
  <c r="C16" i="8"/>
  <c r="AC15" i="8"/>
  <c r="AD15" i="8" s="1"/>
  <c r="AB15" i="8"/>
  <c r="X15" i="8"/>
  <c r="V15" i="8"/>
  <c r="T15" i="8"/>
  <c r="R15" i="8"/>
  <c r="P15" i="8"/>
  <c r="N15" i="8"/>
  <c r="L15" i="8"/>
  <c r="J15" i="8"/>
  <c r="I15" i="8"/>
  <c r="Y15" i="8" s="1"/>
  <c r="Z15" i="8" s="1"/>
  <c r="H15" i="8"/>
  <c r="G15" i="8"/>
  <c r="D15" i="8"/>
  <c r="E15" i="8" s="1"/>
  <c r="C15" i="8"/>
  <c r="AB14" i="8"/>
  <c r="Y14" i="8"/>
  <c r="AC14" i="8" s="1"/>
  <c r="X14" i="8"/>
  <c r="V14" i="8"/>
  <c r="T14" i="8"/>
  <c r="R14" i="8"/>
  <c r="P14" i="8"/>
  <c r="N14" i="8"/>
  <c r="L14" i="8"/>
  <c r="I14" i="8"/>
  <c r="H14" i="8"/>
  <c r="G14" i="8"/>
  <c r="D14" i="8"/>
  <c r="E14" i="8" s="1"/>
  <c r="C14" i="8"/>
  <c r="Y13" i="8"/>
  <c r="AC13" i="8" s="1"/>
  <c r="I13" i="8"/>
  <c r="H13" i="8"/>
  <c r="D13" i="8"/>
  <c r="AC12" i="8"/>
  <c r="I12" i="8"/>
  <c r="Y12" i="8" s="1"/>
  <c r="H12" i="8"/>
  <c r="D12" i="8"/>
  <c r="E24" i="8" s="1"/>
  <c r="AC11" i="8"/>
  <c r="Y11" i="8"/>
  <c r="Z23" i="8" s="1"/>
  <c r="I11" i="8"/>
  <c r="H11" i="8"/>
  <c r="D11" i="8"/>
  <c r="I10" i="8"/>
  <c r="Y10" i="8" s="1"/>
  <c r="AC10" i="8" s="1"/>
  <c r="H10" i="8"/>
  <c r="D10" i="8"/>
  <c r="E22" i="8" s="1"/>
  <c r="AC9" i="8"/>
  <c r="Y9" i="8"/>
  <c r="Z21" i="8" s="1"/>
  <c r="I9" i="8"/>
  <c r="H9" i="8"/>
  <c r="D9" i="8"/>
  <c r="I8" i="8"/>
  <c r="Y8" i="8" s="1"/>
  <c r="AC8" i="8" s="1"/>
  <c r="H8" i="8"/>
  <c r="D8" i="8"/>
  <c r="E20" i="8" s="1"/>
  <c r="Y7" i="8"/>
  <c r="AC7" i="8" s="1"/>
  <c r="I7" i="8"/>
  <c r="H7" i="8"/>
  <c r="D7" i="8"/>
  <c r="E19" i="8" s="1"/>
  <c r="AC6" i="8"/>
  <c r="I6" i="8"/>
  <c r="Y6" i="8" s="1"/>
  <c r="H6" i="8"/>
  <c r="D6" i="8"/>
  <c r="Y5" i="8"/>
  <c r="AC5" i="8" s="1"/>
  <c r="I5" i="8"/>
  <c r="H5" i="8"/>
  <c r="D5" i="8"/>
  <c r="AC4" i="8"/>
  <c r="Y4" i="8"/>
  <c r="I4" i="8"/>
  <c r="J16" i="8" s="1"/>
  <c r="H4" i="8"/>
  <c r="D4" i="8"/>
  <c r="Y3" i="8"/>
  <c r="AC3" i="8" s="1"/>
  <c r="I3" i="8"/>
  <c r="D3" i="8"/>
  <c r="I2" i="8"/>
  <c r="J14" i="8" s="1"/>
  <c r="H2" i="8"/>
  <c r="D2" i="8"/>
  <c r="AA79" i="4"/>
  <c r="W79" i="4"/>
  <c r="X79" i="4" s="1"/>
  <c r="V79" i="4"/>
  <c r="U79" i="4"/>
  <c r="S79" i="4"/>
  <c r="T79" i="4" s="1"/>
  <c r="Q79" i="4"/>
  <c r="R79" i="4" s="1"/>
  <c r="O79" i="4"/>
  <c r="M79" i="4"/>
  <c r="K79" i="4"/>
  <c r="L79" i="4" s="1"/>
  <c r="F79" i="4"/>
  <c r="B79" i="4"/>
  <c r="AB78" i="4"/>
  <c r="Y78" i="4"/>
  <c r="AC78" i="4" s="1"/>
  <c r="X78" i="4"/>
  <c r="V78" i="4"/>
  <c r="T78" i="4"/>
  <c r="R78" i="4"/>
  <c r="P78" i="4"/>
  <c r="N78" i="4"/>
  <c r="L78" i="4"/>
  <c r="I78" i="4"/>
  <c r="H78" i="4"/>
  <c r="G78" i="4"/>
  <c r="D78" i="4"/>
  <c r="E78" i="4" s="1"/>
  <c r="C78" i="4"/>
  <c r="AB77" i="4"/>
  <c r="X77" i="4"/>
  <c r="V77" i="4"/>
  <c r="T77" i="4"/>
  <c r="R77" i="4"/>
  <c r="P77" i="4"/>
  <c r="N77" i="4"/>
  <c r="L77" i="4"/>
  <c r="I77" i="4"/>
  <c r="J77" i="4" s="1"/>
  <c r="H77" i="4"/>
  <c r="G77" i="4"/>
  <c r="D77" i="4"/>
  <c r="E77" i="4" s="1"/>
  <c r="C77" i="4"/>
  <c r="AB76" i="4"/>
  <c r="X76" i="4"/>
  <c r="V76" i="4"/>
  <c r="T76" i="4"/>
  <c r="R76" i="4"/>
  <c r="P76" i="4"/>
  <c r="N76" i="4"/>
  <c r="L76" i="4"/>
  <c r="I76" i="4"/>
  <c r="Y76" i="4" s="1"/>
  <c r="H76" i="4"/>
  <c r="G76" i="4"/>
  <c r="D76" i="4"/>
  <c r="C76" i="4"/>
  <c r="AB75" i="4"/>
  <c r="Y75" i="4"/>
  <c r="AC75" i="4" s="1"/>
  <c r="X75" i="4"/>
  <c r="V75" i="4"/>
  <c r="T75" i="4"/>
  <c r="R75" i="4"/>
  <c r="P75" i="4"/>
  <c r="N75" i="4"/>
  <c r="L75" i="4"/>
  <c r="I75" i="4"/>
  <c r="H75" i="4"/>
  <c r="G75" i="4"/>
  <c r="D75" i="4"/>
  <c r="E75" i="4" s="1"/>
  <c r="C75" i="4"/>
  <c r="AB74" i="4"/>
  <c r="Y74" i="4"/>
  <c r="X74" i="4"/>
  <c r="V74" i="4"/>
  <c r="T74" i="4"/>
  <c r="R74" i="4"/>
  <c r="P74" i="4"/>
  <c r="N74" i="4"/>
  <c r="L74" i="4"/>
  <c r="I74" i="4"/>
  <c r="J74" i="4" s="1"/>
  <c r="H74" i="4"/>
  <c r="G74" i="4"/>
  <c r="E74" i="4"/>
  <c r="D74" i="4"/>
  <c r="C74" i="4"/>
  <c r="AB73" i="4"/>
  <c r="X73" i="4"/>
  <c r="V73" i="4"/>
  <c r="T73" i="4"/>
  <c r="R73" i="4"/>
  <c r="P73" i="4"/>
  <c r="N73" i="4"/>
  <c r="L73" i="4"/>
  <c r="I73" i="4"/>
  <c r="Y73" i="4" s="1"/>
  <c r="H73" i="4"/>
  <c r="G73" i="4"/>
  <c r="E73" i="4"/>
  <c r="D73" i="4"/>
  <c r="C73" i="4"/>
  <c r="AB72" i="4"/>
  <c r="X72" i="4"/>
  <c r="V72" i="4"/>
  <c r="T72" i="4"/>
  <c r="R72" i="4"/>
  <c r="P72" i="4"/>
  <c r="N72" i="4"/>
  <c r="L72" i="4"/>
  <c r="I72" i="4"/>
  <c r="Y72" i="4" s="1"/>
  <c r="H72" i="4"/>
  <c r="G72" i="4"/>
  <c r="D72" i="4"/>
  <c r="C72" i="4"/>
  <c r="AB71" i="4"/>
  <c r="X71" i="4"/>
  <c r="V71" i="4"/>
  <c r="T71" i="4"/>
  <c r="R71" i="4"/>
  <c r="P71" i="4"/>
  <c r="N71" i="4"/>
  <c r="L71" i="4"/>
  <c r="I71" i="4"/>
  <c r="H71" i="4"/>
  <c r="G71" i="4"/>
  <c r="E71" i="4"/>
  <c r="D71" i="4"/>
  <c r="C71" i="4"/>
  <c r="AB70" i="4"/>
  <c r="Y70" i="4"/>
  <c r="X70" i="4"/>
  <c r="V70" i="4"/>
  <c r="T70" i="4"/>
  <c r="R70" i="4"/>
  <c r="P70" i="4"/>
  <c r="N70" i="4"/>
  <c r="L70" i="4"/>
  <c r="I70" i="4"/>
  <c r="H70" i="4"/>
  <c r="G70" i="4"/>
  <c r="D70" i="4"/>
  <c r="C70" i="4"/>
  <c r="AB69" i="4"/>
  <c r="Z69" i="4"/>
  <c r="X69" i="4"/>
  <c r="V69" i="4"/>
  <c r="T69" i="4"/>
  <c r="R69" i="4"/>
  <c r="P69" i="4"/>
  <c r="N69" i="4"/>
  <c r="L69" i="4"/>
  <c r="I69" i="4"/>
  <c r="Y69" i="4" s="1"/>
  <c r="AC69" i="4" s="1"/>
  <c r="H69" i="4"/>
  <c r="G69" i="4"/>
  <c r="D69" i="4"/>
  <c r="E69" i="4" s="1"/>
  <c r="C69" i="4"/>
  <c r="AB68" i="4"/>
  <c r="Y68" i="4"/>
  <c r="X68" i="4"/>
  <c r="V68" i="4"/>
  <c r="T68" i="4"/>
  <c r="R68" i="4"/>
  <c r="P68" i="4"/>
  <c r="N68" i="4"/>
  <c r="L68" i="4"/>
  <c r="I68" i="4"/>
  <c r="H68" i="4"/>
  <c r="H79" i="4" s="1"/>
  <c r="G68" i="4"/>
  <c r="D68" i="4"/>
  <c r="C68" i="4"/>
  <c r="AB67" i="4"/>
  <c r="X67" i="4"/>
  <c r="V67" i="4"/>
  <c r="T67" i="4"/>
  <c r="R67" i="4"/>
  <c r="P67" i="4"/>
  <c r="N67" i="4"/>
  <c r="L67" i="4"/>
  <c r="I67" i="4"/>
  <c r="Y67" i="4" s="1"/>
  <c r="AC67" i="4" s="1"/>
  <c r="H67" i="4"/>
  <c r="G67" i="4"/>
  <c r="D67" i="4"/>
  <c r="C67" i="4"/>
  <c r="AA66" i="4"/>
  <c r="AB66" i="4" s="1"/>
  <c r="W66" i="4"/>
  <c r="U66" i="4"/>
  <c r="S66" i="4"/>
  <c r="Q66" i="4"/>
  <c r="O66" i="4"/>
  <c r="P66" i="4" s="1"/>
  <c r="N66" i="4"/>
  <c r="M66" i="4"/>
  <c r="K66" i="4"/>
  <c r="F66" i="4"/>
  <c r="B66" i="4"/>
  <c r="C79" i="4" s="1"/>
  <c r="AB65" i="4"/>
  <c r="Z65" i="4"/>
  <c r="X65" i="4"/>
  <c r="V65" i="4"/>
  <c r="T65" i="4"/>
  <c r="R65" i="4"/>
  <c r="P65" i="4"/>
  <c r="N65" i="4"/>
  <c r="L65" i="4"/>
  <c r="I65" i="4"/>
  <c r="Y65" i="4" s="1"/>
  <c r="AC65" i="4" s="1"/>
  <c r="H65" i="4"/>
  <c r="G65" i="4"/>
  <c r="D65" i="4"/>
  <c r="E65" i="4" s="1"/>
  <c r="C65" i="4"/>
  <c r="AB64" i="4"/>
  <c r="Y64" i="4"/>
  <c r="AC64" i="4" s="1"/>
  <c r="AD64" i="4" s="1"/>
  <c r="X64" i="4"/>
  <c r="V64" i="4"/>
  <c r="T64" i="4"/>
  <c r="R64" i="4"/>
  <c r="P64" i="4"/>
  <c r="N64" i="4"/>
  <c r="L64" i="4"/>
  <c r="I64" i="4"/>
  <c r="H64" i="4"/>
  <c r="G64" i="4"/>
  <c r="E64" i="4"/>
  <c r="D64" i="4"/>
  <c r="C64" i="4"/>
  <c r="AB63" i="4"/>
  <c r="X63" i="4"/>
  <c r="V63" i="4"/>
  <c r="T63" i="4"/>
  <c r="R63" i="4"/>
  <c r="P63" i="4"/>
  <c r="N63" i="4"/>
  <c r="L63" i="4"/>
  <c r="I63" i="4"/>
  <c r="H63" i="4"/>
  <c r="G63" i="4"/>
  <c r="D63" i="4"/>
  <c r="E63" i="4" s="1"/>
  <c r="C63" i="4"/>
  <c r="AB62" i="4"/>
  <c r="X62" i="4"/>
  <c r="V62" i="4"/>
  <c r="T62" i="4"/>
  <c r="R62" i="4"/>
  <c r="P62" i="4"/>
  <c r="N62" i="4"/>
  <c r="L62" i="4"/>
  <c r="I62" i="4"/>
  <c r="Y62" i="4" s="1"/>
  <c r="H62" i="4"/>
  <c r="G62" i="4"/>
  <c r="D62" i="4"/>
  <c r="C62" i="4"/>
  <c r="AB61" i="4"/>
  <c r="X61" i="4"/>
  <c r="V61" i="4"/>
  <c r="T61" i="4"/>
  <c r="R61" i="4"/>
  <c r="P61" i="4"/>
  <c r="N61" i="4"/>
  <c r="L61" i="4"/>
  <c r="I61" i="4"/>
  <c r="H61" i="4"/>
  <c r="G61" i="4"/>
  <c r="D61" i="4"/>
  <c r="E61" i="4" s="1"/>
  <c r="C61" i="4"/>
  <c r="AC60" i="4"/>
  <c r="AB60" i="4"/>
  <c r="Y60" i="4"/>
  <c r="X60" i="4"/>
  <c r="V60" i="4"/>
  <c r="T60" i="4"/>
  <c r="R60" i="4"/>
  <c r="P60" i="4"/>
  <c r="N60" i="4"/>
  <c r="L60" i="4"/>
  <c r="I60" i="4"/>
  <c r="J60" i="4" s="1"/>
  <c r="H60" i="4"/>
  <c r="G60" i="4"/>
  <c r="D60" i="4"/>
  <c r="C60" i="4"/>
  <c r="AB59" i="4"/>
  <c r="X59" i="4"/>
  <c r="V59" i="4"/>
  <c r="T59" i="4"/>
  <c r="R59" i="4"/>
  <c r="P59" i="4"/>
  <c r="N59" i="4"/>
  <c r="L59" i="4"/>
  <c r="I59" i="4"/>
  <c r="J59" i="4" s="1"/>
  <c r="H59" i="4"/>
  <c r="G59" i="4"/>
  <c r="D59" i="4"/>
  <c r="E72" i="4" s="1"/>
  <c r="C59" i="4"/>
  <c r="AB58" i="4"/>
  <c r="X58" i="4"/>
  <c r="V58" i="4"/>
  <c r="T58" i="4"/>
  <c r="R58" i="4"/>
  <c r="P58" i="4"/>
  <c r="N58" i="4"/>
  <c r="L58" i="4"/>
  <c r="I58" i="4"/>
  <c r="Y58" i="4" s="1"/>
  <c r="H58" i="4"/>
  <c r="G58" i="4"/>
  <c r="D58" i="4"/>
  <c r="C58" i="4"/>
  <c r="AB57" i="4"/>
  <c r="Y57" i="4"/>
  <c r="AC57" i="4" s="1"/>
  <c r="AD57" i="4" s="1"/>
  <c r="X57" i="4"/>
  <c r="V57" i="4"/>
  <c r="T57" i="4"/>
  <c r="R57" i="4"/>
  <c r="P57" i="4"/>
  <c r="N57" i="4"/>
  <c r="L57" i="4"/>
  <c r="I57" i="4"/>
  <c r="J57" i="4" s="1"/>
  <c r="H57" i="4"/>
  <c r="G57" i="4"/>
  <c r="D57" i="4"/>
  <c r="E70" i="4" s="1"/>
  <c r="C57" i="4"/>
  <c r="AB56" i="4"/>
  <c r="Y56" i="4"/>
  <c r="X56" i="4"/>
  <c r="V56" i="4"/>
  <c r="T56" i="4"/>
  <c r="R56" i="4"/>
  <c r="P56" i="4"/>
  <c r="N56" i="4"/>
  <c r="L56" i="4"/>
  <c r="I56" i="4"/>
  <c r="H56" i="4"/>
  <c r="G56" i="4"/>
  <c r="D56" i="4"/>
  <c r="C56" i="4"/>
  <c r="AB55" i="4"/>
  <c r="X55" i="4"/>
  <c r="V55" i="4"/>
  <c r="T55" i="4"/>
  <c r="R55" i="4"/>
  <c r="P55" i="4"/>
  <c r="N55" i="4"/>
  <c r="L55" i="4"/>
  <c r="I55" i="4"/>
  <c r="J68" i="4" s="1"/>
  <c r="H55" i="4"/>
  <c r="G55" i="4"/>
  <c r="D55" i="4"/>
  <c r="E68" i="4" s="1"/>
  <c r="C55" i="4"/>
  <c r="AB54" i="4"/>
  <c r="Y54" i="4"/>
  <c r="X54" i="4"/>
  <c r="V54" i="4"/>
  <c r="T54" i="4"/>
  <c r="R54" i="4"/>
  <c r="P54" i="4"/>
  <c r="N54" i="4"/>
  <c r="L54" i="4"/>
  <c r="I54" i="4"/>
  <c r="H54" i="4"/>
  <c r="H66" i="4" s="1"/>
  <c r="G54" i="4"/>
  <c r="D54" i="4"/>
  <c r="C54" i="4"/>
  <c r="AA53" i="4"/>
  <c r="AB53" i="4" s="1"/>
  <c r="W53" i="4"/>
  <c r="U53" i="4"/>
  <c r="V53" i="4" s="1"/>
  <c r="S53" i="4"/>
  <c r="T66" i="4" s="1"/>
  <c r="Q53" i="4"/>
  <c r="R53" i="4" s="1"/>
  <c r="O53" i="4"/>
  <c r="P53" i="4" s="1"/>
  <c r="M53" i="4"/>
  <c r="K53" i="4"/>
  <c r="F53" i="4"/>
  <c r="D53" i="4"/>
  <c r="B53" i="4"/>
  <c r="AB52" i="4"/>
  <c r="Y52" i="4"/>
  <c r="X52" i="4"/>
  <c r="V52" i="4"/>
  <c r="T52" i="4"/>
  <c r="R52" i="4"/>
  <c r="P52" i="4"/>
  <c r="N52" i="4"/>
  <c r="L52" i="4"/>
  <c r="I52" i="4"/>
  <c r="H52" i="4"/>
  <c r="G52" i="4"/>
  <c r="D52" i="4"/>
  <c r="E52" i="4" s="1"/>
  <c r="C52" i="4"/>
  <c r="AC51" i="4"/>
  <c r="AB51" i="4"/>
  <c r="X51" i="4"/>
  <c r="V51" i="4"/>
  <c r="T51" i="4"/>
  <c r="R51" i="4"/>
  <c r="P51" i="4"/>
  <c r="N51" i="4"/>
  <c r="L51" i="4"/>
  <c r="J51" i="4"/>
  <c r="I51" i="4"/>
  <c r="Y51" i="4" s="1"/>
  <c r="H51" i="4"/>
  <c r="G51" i="4"/>
  <c r="D51" i="4"/>
  <c r="C51" i="4"/>
  <c r="AB50" i="4"/>
  <c r="Y50" i="4"/>
  <c r="AC50" i="4" s="1"/>
  <c r="X50" i="4"/>
  <c r="V50" i="4"/>
  <c r="T50" i="4"/>
  <c r="R50" i="4"/>
  <c r="P50" i="4"/>
  <c r="N50" i="4"/>
  <c r="L50" i="4"/>
  <c r="J50" i="4"/>
  <c r="I50" i="4"/>
  <c r="H50" i="4"/>
  <c r="G50" i="4"/>
  <c r="D50" i="4"/>
  <c r="C50" i="4"/>
  <c r="AB49" i="4"/>
  <c r="X49" i="4"/>
  <c r="V49" i="4"/>
  <c r="T49" i="4"/>
  <c r="R49" i="4"/>
  <c r="P49" i="4"/>
  <c r="N49" i="4"/>
  <c r="L49" i="4"/>
  <c r="I49" i="4"/>
  <c r="Y49" i="4" s="1"/>
  <c r="Z49" i="4" s="1"/>
  <c r="H49" i="4"/>
  <c r="G49" i="4"/>
  <c r="D49" i="4"/>
  <c r="C49" i="4"/>
  <c r="AB48" i="4"/>
  <c r="X48" i="4"/>
  <c r="V48" i="4"/>
  <c r="T48" i="4"/>
  <c r="R48" i="4"/>
  <c r="P48" i="4"/>
  <c r="N48" i="4"/>
  <c r="L48" i="4"/>
  <c r="J48" i="4"/>
  <c r="I48" i="4"/>
  <c r="Y48" i="4" s="1"/>
  <c r="H48" i="4"/>
  <c r="G48" i="4"/>
  <c r="D48" i="4"/>
  <c r="E48" i="4" s="1"/>
  <c r="C48" i="4"/>
  <c r="AB47" i="4"/>
  <c r="X47" i="4"/>
  <c r="V47" i="4"/>
  <c r="T47" i="4"/>
  <c r="R47" i="4"/>
  <c r="P47" i="4"/>
  <c r="N47" i="4"/>
  <c r="L47" i="4"/>
  <c r="I47" i="4"/>
  <c r="H47" i="4"/>
  <c r="G47" i="4"/>
  <c r="D47" i="4"/>
  <c r="E60" i="4" s="1"/>
  <c r="C47" i="4"/>
  <c r="AB46" i="4"/>
  <c r="X46" i="4"/>
  <c r="V46" i="4"/>
  <c r="T46" i="4"/>
  <c r="R46" i="4"/>
  <c r="P46" i="4"/>
  <c r="N46" i="4"/>
  <c r="L46" i="4"/>
  <c r="I46" i="4"/>
  <c r="J46" i="4" s="1"/>
  <c r="H46" i="4"/>
  <c r="G46" i="4"/>
  <c r="E46" i="4"/>
  <c r="D46" i="4"/>
  <c r="C46" i="4"/>
  <c r="AB45" i="4"/>
  <c r="Y45" i="4"/>
  <c r="AC45" i="4" s="1"/>
  <c r="X45" i="4"/>
  <c r="V45" i="4"/>
  <c r="T45" i="4"/>
  <c r="R45" i="4"/>
  <c r="P45" i="4"/>
  <c r="N45" i="4"/>
  <c r="L45" i="4"/>
  <c r="I45" i="4"/>
  <c r="H45" i="4"/>
  <c r="G45" i="4"/>
  <c r="E45" i="4"/>
  <c r="D45" i="4"/>
  <c r="E58" i="4" s="1"/>
  <c r="C45" i="4"/>
  <c r="AC44" i="4"/>
  <c r="AD44" i="4" s="1"/>
  <c r="AB44" i="4"/>
  <c r="Y44" i="4"/>
  <c r="Z44" i="4" s="1"/>
  <c r="X44" i="4"/>
  <c r="V44" i="4"/>
  <c r="T44" i="4"/>
  <c r="R44" i="4"/>
  <c r="P44" i="4"/>
  <c r="N44" i="4"/>
  <c r="L44" i="4"/>
  <c r="I44" i="4"/>
  <c r="J44" i="4" s="1"/>
  <c r="H44" i="4"/>
  <c r="H53" i="4" s="1"/>
  <c r="G44" i="4"/>
  <c r="E44" i="4"/>
  <c r="D44" i="4"/>
  <c r="C44" i="4"/>
  <c r="AB43" i="4"/>
  <c r="X43" i="4"/>
  <c r="V43" i="4"/>
  <c r="T43" i="4"/>
  <c r="R43" i="4"/>
  <c r="P43" i="4"/>
  <c r="N43" i="4"/>
  <c r="L43" i="4"/>
  <c r="I43" i="4"/>
  <c r="H43" i="4"/>
  <c r="G43" i="4"/>
  <c r="D43" i="4"/>
  <c r="E43" i="4" s="1"/>
  <c r="C43" i="4"/>
  <c r="AB42" i="4"/>
  <c r="Y42" i="4"/>
  <c r="X42" i="4"/>
  <c r="V42" i="4"/>
  <c r="T42" i="4"/>
  <c r="R42" i="4"/>
  <c r="P42" i="4"/>
  <c r="N42" i="4"/>
  <c r="L42" i="4"/>
  <c r="J42" i="4"/>
  <c r="I42" i="4"/>
  <c r="H42" i="4"/>
  <c r="G42" i="4"/>
  <c r="E42" i="4"/>
  <c r="D42" i="4"/>
  <c r="C42" i="4"/>
  <c r="AB41" i="4"/>
  <c r="X41" i="4"/>
  <c r="V41" i="4"/>
  <c r="T41" i="4"/>
  <c r="R41" i="4"/>
  <c r="P41" i="4"/>
  <c r="N41" i="4"/>
  <c r="L41" i="4"/>
  <c r="I41" i="4"/>
  <c r="J54" i="4" s="1"/>
  <c r="H41" i="4"/>
  <c r="G41" i="4"/>
  <c r="D41" i="4"/>
  <c r="E54" i="4" s="1"/>
  <c r="C41" i="4"/>
  <c r="AA40" i="4"/>
  <c r="W40" i="4"/>
  <c r="X40" i="4" s="1"/>
  <c r="U40" i="4"/>
  <c r="V40" i="4" s="1"/>
  <c r="S40" i="4"/>
  <c r="Q40" i="4"/>
  <c r="O40" i="4"/>
  <c r="N40" i="4"/>
  <c r="M40" i="4"/>
  <c r="K40" i="4"/>
  <c r="L40" i="4" s="1"/>
  <c r="F40" i="4"/>
  <c r="G40" i="4" s="1"/>
  <c r="B40" i="4"/>
  <c r="AB39" i="4"/>
  <c r="X39" i="4"/>
  <c r="V39" i="4"/>
  <c r="T39" i="4"/>
  <c r="R39" i="4"/>
  <c r="P39" i="4"/>
  <c r="N39" i="4"/>
  <c r="L39" i="4"/>
  <c r="I39" i="4"/>
  <c r="J52" i="4" s="1"/>
  <c r="H39" i="4"/>
  <c r="G39" i="4"/>
  <c r="D39" i="4"/>
  <c r="E39" i="4" s="1"/>
  <c r="C39" i="4"/>
  <c r="AB38" i="4"/>
  <c r="Y38" i="4"/>
  <c r="Z51" i="4" s="1"/>
  <c r="X38" i="4"/>
  <c r="V38" i="4"/>
  <c r="T38" i="4"/>
  <c r="R38" i="4"/>
  <c r="P38" i="4"/>
  <c r="N38" i="4"/>
  <c r="L38" i="4"/>
  <c r="J38" i="4"/>
  <c r="I38" i="4"/>
  <c r="H38" i="4"/>
  <c r="G38" i="4"/>
  <c r="D38" i="4"/>
  <c r="C38" i="4"/>
  <c r="AC37" i="4"/>
  <c r="AD37" i="4" s="1"/>
  <c r="AB37" i="4"/>
  <c r="Z37" i="4"/>
  <c r="X37" i="4"/>
  <c r="V37" i="4"/>
  <c r="T37" i="4"/>
  <c r="R37" i="4"/>
  <c r="P37" i="4"/>
  <c r="N37" i="4"/>
  <c r="L37" i="4"/>
  <c r="I37" i="4"/>
  <c r="Y37" i="4" s="1"/>
  <c r="H37" i="4"/>
  <c r="G37" i="4"/>
  <c r="D37" i="4"/>
  <c r="C37" i="4"/>
  <c r="AD36" i="4"/>
  <c r="AB36" i="4"/>
  <c r="Y36" i="4"/>
  <c r="AC36" i="4" s="1"/>
  <c r="X36" i="4"/>
  <c r="V36" i="4"/>
  <c r="T36" i="4"/>
  <c r="R36" i="4"/>
  <c r="P36" i="4"/>
  <c r="N36" i="4"/>
  <c r="L36" i="4"/>
  <c r="J36" i="4"/>
  <c r="I36" i="4"/>
  <c r="H36" i="4"/>
  <c r="G36" i="4"/>
  <c r="D36" i="4"/>
  <c r="E36" i="4" s="1"/>
  <c r="C36" i="4"/>
  <c r="AC35" i="4"/>
  <c r="AB35" i="4"/>
  <c r="X35" i="4"/>
  <c r="V35" i="4"/>
  <c r="T35" i="4"/>
  <c r="R35" i="4"/>
  <c r="P35" i="4"/>
  <c r="N35" i="4"/>
  <c r="L35" i="4"/>
  <c r="I35" i="4"/>
  <c r="Y35" i="4" s="1"/>
  <c r="H35" i="4"/>
  <c r="G35" i="4"/>
  <c r="D35" i="4"/>
  <c r="C35" i="4"/>
  <c r="AB34" i="4"/>
  <c r="X34" i="4"/>
  <c r="V34" i="4"/>
  <c r="T34" i="4"/>
  <c r="R34" i="4"/>
  <c r="P34" i="4"/>
  <c r="N34" i="4"/>
  <c r="L34" i="4"/>
  <c r="I34" i="4"/>
  <c r="Y34" i="4" s="1"/>
  <c r="H34" i="4"/>
  <c r="G34" i="4"/>
  <c r="D34" i="4"/>
  <c r="E34" i="4" s="1"/>
  <c r="C34" i="4"/>
  <c r="AB33" i="4"/>
  <c r="X33" i="4"/>
  <c r="V33" i="4"/>
  <c r="T33" i="4"/>
  <c r="R33" i="4"/>
  <c r="P33" i="4"/>
  <c r="N33" i="4"/>
  <c r="L33" i="4"/>
  <c r="I33" i="4"/>
  <c r="H33" i="4"/>
  <c r="G33" i="4"/>
  <c r="D33" i="4"/>
  <c r="C33" i="4"/>
  <c r="AB32" i="4"/>
  <c r="X32" i="4"/>
  <c r="V32" i="4"/>
  <c r="T32" i="4"/>
  <c r="R32" i="4"/>
  <c r="P32" i="4"/>
  <c r="N32" i="4"/>
  <c r="L32" i="4"/>
  <c r="I32" i="4"/>
  <c r="Y32" i="4" s="1"/>
  <c r="H32" i="4"/>
  <c r="G32" i="4"/>
  <c r="D32" i="4"/>
  <c r="C32" i="4"/>
  <c r="AC31" i="4"/>
  <c r="AB31" i="4"/>
  <c r="Y31" i="4"/>
  <c r="X31" i="4"/>
  <c r="V31" i="4"/>
  <c r="T31" i="4"/>
  <c r="R31" i="4"/>
  <c r="P31" i="4"/>
  <c r="N31" i="4"/>
  <c r="L31" i="4"/>
  <c r="I31" i="4"/>
  <c r="H31" i="4"/>
  <c r="G31" i="4"/>
  <c r="D31" i="4"/>
  <c r="E31" i="4" s="1"/>
  <c r="C31" i="4"/>
  <c r="AB30" i="4"/>
  <c r="Y30" i="4"/>
  <c r="X30" i="4"/>
  <c r="V30" i="4"/>
  <c r="T30" i="4"/>
  <c r="R30" i="4"/>
  <c r="P30" i="4"/>
  <c r="N30" i="4"/>
  <c r="L30" i="4"/>
  <c r="I30" i="4"/>
  <c r="J30" i="4" s="1"/>
  <c r="H30" i="4"/>
  <c r="G30" i="4"/>
  <c r="D30" i="4"/>
  <c r="C30" i="4"/>
  <c r="AB29" i="4"/>
  <c r="X29" i="4"/>
  <c r="V29" i="4"/>
  <c r="T29" i="4"/>
  <c r="R29" i="4"/>
  <c r="P29" i="4"/>
  <c r="N29" i="4"/>
  <c r="L29" i="4"/>
  <c r="I29" i="4"/>
  <c r="Y29" i="4" s="1"/>
  <c r="H29" i="4"/>
  <c r="G29" i="4"/>
  <c r="E29" i="4"/>
  <c r="D29" i="4"/>
  <c r="C29" i="4"/>
  <c r="AB28" i="4"/>
  <c r="Y28" i="4"/>
  <c r="X28" i="4"/>
  <c r="V28" i="4"/>
  <c r="T28" i="4"/>
  <c r="R28" i="4"/>
  <c r="P28" i="4"/>
  <c r="N28" i="4"/>
  <c r="L28" i="4"/>
  <c r="I28" i="4"/>
  <c r="H28" i="4"/>
  <c r="H40" i="4" s="1"/>
  <c r="G28" i="4"/>
  <c r="D28" i="4"/>
  <c r="C28" i="4"/>
  <c r="AA27" i="4"/>
  <c r="W27" i="4"/>
  <c r="U27" i="4"/>
  <c r="S27" i="4"/>
  <c r="T27" i="4" s="1"/>
  <c r="R27" i="4"/>
  <c r="Q27" i="4"/>
  <c r="R40" i="4" s="1"/>
  <c r="P27" i="4"/>
  <c r="O27" i="4"/>
  <c r="P40" i="4" s="1"/>
  <c r="M27" i="4"/>
  <c r="K27" i="4"/>
  <c r="F27" i="4"/>
  <c r="G27" i="4" s="1"/>
  <c r="C27" i="4"/>
  <c r="B27" i="4"/>
  <c r="AB26" i="4"/>
  <c r="Y26" i="4"/>
  <c r="X26" i="4"/>
  <c r="V26" i="4"/>
  <c r="T26" i="4"/>
  <c r="R26" i="4"/>
  <c r="P26" i="4"/>
  <c r="N26" i="4"/>
  <c r="L26" i="4"/>
  <c r="J26" i="4"/>
  <c r="I26" i="4"/>
  <c r="H26" i="4"/>
  <c r="G26" i="4"/>
  <c r="D26" i="4"/>
  <c r="C26" i="4"/>
  <c r="AB25" i="4"/>
  <c r="Y25" i="4"/>
  <c r="AC25" i="4" s="1"/>
  <c r="AD25" i="4" s="1"/>
  <c r="X25" i="4"/>
  <c r="V25" i="4"/>
  <c r="T25" i="4"/>
  <c r="R25" i="4"/>
  <c r="P25" i="4"/>
  <c r="N25" i="4"/>
  <c r="L25" i="4"/>
  <c r="I25" i="4"/>
  <c r="H25" i="4"/>
  <c r="G25" i="4"/>
  <c r="E25" i="4"/>
  <c r="D25" i="4"/>
  <c r="E38" i="4" s="1"/>
  <c r="C25" i="4"/>
  <c r="AD24" i="4"/>
  <c r="AB24" i="4"/>
  <c r="Z24" i="4"/>
  <c r="Y24" i="4"/>
  <c r="AC24" i="4" s="1"/>
  <c r="X24" i="4"/>
  <c r="V24" i="4"/>
  <c r="T24" i="4"/>
  <c r="R24" i="4"/>
  <c r="P24" i="4"/>
  <c r="N24" i="4"/>
  <c r="L24" i="4"/>
  <c r="J24" i="4"/>
  <c r="I24" i="4"/>
  <c r="H24" i="4"/>
  <c r="G24" i="4"/>
  <c r="D24" i="4"/>
  <c r="E24" i="4" s="1"/>
  <c r="C24" i="4"/>
  <c r="AC23" i="4"/>
  <c r="AB23" i="4"/>
  <c r="X23" i="4"/>
  <c r="V23" i="4"/>
  <c r="T23" i="4"/>
  <c r="R23" i="4"/>
  <c r="P23" i="4"/>
  <c r="N23" i="4"/>
  <c r="L23" i="4"/>
  <c r="I23" i="4"/>
  <c r="Y23" i="4" s="1"/>
  <c r="Z36" i="4" s="1"/>
  <c r="H23" i="4"/>
  <c r="G23" i="4"/>
  <c r="D23" i="4"/>
  <c r="E23" i="4" s="1"/>
  <c r="C23" i="4"/>
  <c r="AB22" i="4"/>
  <c r="X22" i="4"/>
  <c r="V22" i="4"/>
  <c r="T22" i="4"/>
  <c r="R22" i="4"/>
  <c r="P22" i="4"/>
  <c r="N22" i="4"/>
  <c r="L22" i="4"/>
  <c r="I22" i="4"/>
  <c r="Y22" i="4" s="1"/>
  <c r="H22" i="4"/>
  <c r="G22" i="4"/>
  <c r="D22" i="4"/>
  <c r="E22" i="4" s="1"/>
  <c r="C22" i="4"/>
  <c r="AC21" i="4"/>
  <c r="AB21" i="4"/>
  <c r="X21" i="4"/>
  <c r="V21" i="4"/>
  <c r="T21" i="4"/>
  <c r="R21" i="4"/>
  <c r="P21" i="4"/>
  <c r="N21" i="4"/>
  <c r="L21" i="4"/>
  <c r="J21" i="4"/>
  <c r="I21" i="4"/>
  <c r="Y21" i="4" s="1"/>
  <c r="H21" i="4"/>
  <c r="G21" i="4"/>
  <c r="D21" i="4"/>
  <c r="E21" i="4" s="1"/>
  <c r="C21" i="4"/>
  <c r="AB20" i="4"/>
  <c r="X20" i="4"/>
  <c r="V20" i="4"/>
  <c r="T20" i="4"/>
  <c r="R20" i="4"/>
  <c r="P20" i="4"/>
  <c r="N20" i="4"/>
  <c r="L20" i="4"/>
  <c r="I20" i="4"/>
  <c r="Y20" i="4" s="1"/>
  <c r="H20" i="4"/>
  <c r="G20" i="4"/>
  <c r="D20" i="4"/>
  <c r="E20" i="4" s="1"/>
  <c r="C20" i="4"/>
  <c r="AB19" i="4"/>
  <c r="Y19" i="4"/>
  <c r="AC19" i="4" s="1"/>
  <c r="AD19" i="4" s="1"/>
  <c r="X19" i="4"/>
  <c r="V19" i="4"/>
  <c r="T19" i="4"/>
  <c r="R19" i="4"/>
  <c r="P19" i="4"/>
  <c r="N19" i="4"/>
  <c r="L19" i="4"/>
  <c r="I19" i="4"/>
  <c r="J32" i="4" s="1"/>
  <c r="H19" i="4"/>
  <c r="G19" i="4"/>
  <c r="D19" i="4"/>
  <c r="E32" i="4" s="1"/>
  <c r="C19" i="4"/>
  <c r="AB18" i="4"/>
  <c r="X18" i="4"/>
  <c r="V18" i="4"/>
  <c r="T18" i="4"/>
  <c r="R18" i="4"/>
  <c r="P18" i="4"/>
  <c r="N18" i="4"/>
  <c r="L18" i="4"/>
  <c r="I18" i="4"/>
  <c r="Y18" i="4" s="1"/>
  <c r="H18" i="4"/>
  <c r="G18" i="4"/>
  <c r="D18" i="4"/>
  <c r="C18" i="4"/>
  <c r="AB17" i="4"/>
  <c r="Y17" i="4"/>
  <c r="AC17" i="4" s="1"/>
  <c r="X17" i="4"/>
  <c r="V17" i="4"/>
  <c r="T17" i="4"/>
  <c r="R17" i="4"/>
  <c r="P17" i="4"/>
  <c r="N17" i="4"/>
  <c r="L17" i="4"/>
  <c r="I17" i="4"/>
  <c r="J17" i="4" s="1"/>
  <c r="H17" i="4"/>
  <c r="G17" i="4"/>
  <c r="D17" i="4"/>
  <c r="E17" i="4" s="1"/>
  <c r="C17" i="4"/>
  <c r="AB16" i="4"/>
  <c r="X16" i="4"/>
  <c r="V16" i="4"/>
  <c r="T16" i="4"/>
  <c r="R16" i="4"/>
  <c r="P16" i="4"/>
  <c r="N16" i="4"/>
  <c r="L16" i="4"/>
  <c r="I16" i="4"/>
  <c r="Y16" i="4" s="1"/>
  <c r="H16" i="4"/>
  <c r="G16" i="4"/>
  <c r="D16" i="4"/>
  <c r="C16" i="4"/>
  <c r="AB15" i="4"/>
  <c r="Y15" i="4"/>
  <c r="X15" i="4"/>
  <c r="V15" i="4"/>
  <c r="T15" i="4"/>
  <c r="R15" i="4"/>
  <c r="P15" i="4"/>
  <c r="N15" i="4"/>
  <c r="L15" i="4"/>
  <c r="I15" i="4"/>
  <c r="J28" i="4" s="1"/>
  <c r="H15" i="4"/>
  <c r="G15" i="4"/>
  <c r="E15" i="4"/>
  <c r="D15" i="4"/>
  <c r="E28" i="4" s="1"/>
  <c r="C15" i="4"/>
  <c r="W14" i="4"/>
  <c r="AE14" i="4" s="1"/>
  <c r="U14" i="4"/>
  <c r="S14" i="4"/>
  <c r="Q14" i="4"/>
  <c r="O14" i="4"/>
  <c r="M14" i="4"/>
  <c r="N27" i="4" s="1"/>
  <c r="K14" i="4"/>
  <c r="F14" i="4"/>
  <c r="B14" i="4"/>
  <c r="Y13" i="4"/>
  <c r="AC13" i="4" s="1"/>
  <c r="I13" i="4"/>
  <c r="H13" i="4"/>
  <c r="D13" i="4"/>
  <c r="E26" i="4" s="1"/>
  <c r="AC12" i="4"/>
  <c r="Y12" i="4"/>
  <c r="I12" i="4"/>
  <c r="J25" i="4" s="1"/>
  <c r="H12" i="4"/>
  <c r="D12" i="4"/>
  <c r="AC11" i="4"/>
  <c r="I11" i="4"/>
  <c r="Y11" i="4" s="1"/>
  <c r="D11" i="4"/>
  <c r="I10" i="4"/>
  <c r="J23" i="4" s="1"/>
  <c r="H10" i="4"/>
  <c r="D10" i="4"/>
  <c r="Y9" i="4"/>
  <c r="AC9" i="4" s="1"/>
  <c r="I9" i="4"/>
  <c r="H9" i="4"/>
  <c r="D9" i="4"/>
  <c r="Y8" i="4"/>
  <c r="AC8" i="4" s="1"/>
  <c r="I8" i="4"/>
  <c r="H8" i="4"/>
  <c r="D8" i="4"/>
  <c r="AC7" i="4"/>
  <c r="Y7" i="4"/>
  <c r="I7" i="4"/>
  <c r="H7" i="4"/>
  <c r="H14" i="4" s="1"/>
  <c r="D7" i="4"/>
  <c r="I6" i="4"/>
  <c r="Y6" i="4" s="1"/>
  <c r="AC6" i="4" s="1"/>
  <c r="H6" i="4"/>
  <c r="D6" i="4"/>
  <c r="I5" i="4"/>
  <c r="Y5" i="4" s="1"/>
  <c r="AC5" i="4" s="1"/>
  <c r="H5" i="4"/>
  <c r="D5" i="4"/>
  <c r="E18" i="4" s="1"/>
  <c r="I4" i="4"/>
  <c r="Y4" i="4" s="1"/>
  <c r="AC4" i="4" s="1"/>
  <c r="H4" i="4"/>
  <c r="D4" i="4"/>
  <c r="I3" i="4"/>
  <c r="Y3" i="4" s="1"/>
  <c r="H3" i="4"/>
  <c r="D3" i="4"/>
  <c r="E16" i="4" s="1"/>
  <c r="I2" i="4"/>
  <c r="I14" i="4" s="1"/>
  <c r="H2" i="4"/>
  <c r="D2" i="4"/>
  <c r="D14" i="4" s="1"/>
  <c r="C43" i="1"/>
  <c r="BZ41" i="1"/>
  <c r="BY41" i="1"/>
  <c r="BX41" i="1"/>
  <c r="BW41" i="1"/>
  <c r="BV41" i="1"/>
  <c r="BU41" i="1"/>
  <c r="BT41" i="1"/>
  <c r="BS41" i="1"/>
  <c r="BR41" i="1"/>
  <c r="BQ41" i="1"/>
  <c r="BP41" i="1"/>
  <c r="BO41" i="1"/>
  <c r="BM41" i="1"/>
  <c r="BL41" i="1"/>
  <c r="BK41" i="1"/>
  <c r="BJ41" i="1"/>
  <c r="BI41" i="1"/>
  <c r="BH41" i="1"/>
  <c r="BG41" i="1"/>
  <c r="BF41" i="1"/>
  <c r="BE41" i="1"/>
  <c r="BD41" i="1"/>
  <c r="BC41" i="1"/>
  <c r="BB41" i="1"/>
  <c r="AZ41" i="1"/>
  <c r="AY41" i="1"/>
  <c r="AX41" i="1"/>
  <c r="AW41" i="1"/>
  <c r="AV41" i="1"/>
  <c r="AU41" i="1"/>
  <c r="AT41" i="1"/>
  <c r="AS41" i="1"/>
  <c r="AR41" i="1"/>
  <c r="AQ41" i="1"/>
  <c r="AP41" i="1"/>
  <c r="AO41" i="1"/>
  <c r="AN41" i="1"/>
  <c r="AM41" i="1"/>
  <c r="AL41" i="1"/>
  <c r="AK41" i="1"/>
  <c r="AJ41" i="1"/>
  <c r="AI41" i="1"/>
  <c r="AH41" i="1"/>
  <c r="AG41" i="1"/>
  <c r="AF41" i="1"/>
  <c r="AE41" i="1"/>
  <c r="AD41" i="1"/>
  <c r="AC41" i="1"/>
  <c r="AB41" i="1"/>
  <c r="Z41" i="1"/>
  <c r="Y41" i="1"/>
  <c r="X41" i="1"/>
  <c r="W41" i="1"/>
  <c r="V41" i="1"/>
  <c r="U41" i="1"/>
  <c r="T41" i="1"/>
  <c r="S41" i="1"/>
  <c r="R41" i="1"/>
  <c r="Q41" i="1"/>
  <c r="P41" i="1"/>
  <c r="O41" i="1"/>
  <c r="CA40" i="1"/>
  <c r="BN40" i="1"/>
  <c r="CA41" i="1" s="1"/>
  <c r="BA40" i="1"/>
  <c r="BA41" i="1" s="1"/>
  <c r="AN40" i="1"/>
  <c r="AA40" i="1"/>
  <c r="N40" i="1"/>
  <c r="AR38" i="1"/>
  <c r="BX37" i="1"/>
  <c r="BL37" i="1"/>
  <c r="AZ37" i="1"/>
  <c r="AK37" i="1"/>
  <c r="AB37" i="1"/>
  <c r="P37" i="1"/>
  <c r="D37" i="1"/>
  <c r="D43" i="1" s="1"/>
  <c r="CA35" i="1"/>
  <c r="BZ35" i="1"/>
  <c r="BY35" i="1"/>
  <c r="BX35" i="1"/>
  <c r="BW35" i="1"/>
  <c r="BV35" i="1"/>
  <c r="BU35" i="1"/>
  <c r="BT35" i="1"/>
  <c r="BS35" i="1"/>
  <c r="BR35" i="1"/>
  <c r="BQ35" i="1"/>
  <c r="BP35" i="1"/>
  <c r="BO35" i="1"/>
  <c r="BM35" i="1"/>
  <c r="BL35" i="1"/>
  <c r="BK35" i="1"/>
  <c r="BJ35" i="1"/>
  <c r="BI35" i="1"/>
  <c r="BH35" i="1"/>
  <c r="BG35" i="1"/>
  <c r="BF35" i="1"/>
  <c r="BE35" i="1"/>
  <c r="BD35" i="1"/>
  <c r="BC35" i="1"/>
  <c r="BB35" i="1"/>
  <c r="AZ35" i="1"/>
  <c r="AY35" i="1"/>
  <c r="AX35" i="1"/>
  <c r="AW35" i="1"/>
  <c r="AV35" i="1"/>
  <c r="AU35" i="1"/>
  <c r="AT35" i="1"/>
  <c r="AS35" i="1"/>
  <c r="AR35" i="1"/>
  <c r="AQ35" i="1"/>
  <c r="AP35" i="1"/>
  <c r="AO35" i="1"/>
  <c r="AM35" i="1"/>
  <c r="AL35" i="1"/>
  <c r="AK35" i="1"/>
  <c r="AJ35" i="1"/>
  <c r="AI35" i="1"/>
  <c r="AH35" i="1"/>
  <c r="AG35" i="1"/>
  <c r="AF35" i="1"/>
  <c r="AE35" i="1"/>
  <c r="AD35" i="1"/>
  <c r="AC35" i="1"/>
  <c r="AB35" i="1"/>
  <c r="Z35" i="1"/>
  <c r="Y35" i="1"/>
  <c r="X35" i="1"/>
  <c r="W35" i="1"/>
  <c r="V35" i="1"/>
  <c r="U35" i="1"/>
  <c r="T35" i="1"/>
  <c r="S35" i="1"/>
  <c r="R35" i="1"/>
  <c r="Q35" i="1"/>
  <c r="P35" i="1"/>
  <c r="O35" i="1"/>
  <c r="CA34" i="1"/>
  <c r="BN34" i="1"/>
  <c r="BA34" i="1"/>
  <c r="BN35" i="1" s="1"/>
  <c r="AN34" i="1"/>
  <c r="BA35" i="1" s="1"/>
  <c r="AA34" i="1"/>
  <c r="AA35" i="1" s="1"/>
  <c r="N34" i="1"/>
  <c r="BZ32" i="1"/>
  <c r="BY32" i="1"/>
  <c r="BX32" i="1"/>
  <c r="BW32" i="1"/>
  <c r="BV32" i="1"/>
  <c r="BU32" i="1"/>
  <c r="BT32" i="1"/>
  <c r="BS32" i="1"/>
  <c r="BR32" i="1"/>
  <c r="BQ32" i="1"/>
  <c r="BP32" i="1"/>
  <c r="BO32" i="1"/>
  <c r="BM32" i="1"/>
  <c r="BL32" i="1"/>
  <c r="BK32" i="1"/>
  <c r="BJ32" i="1"/>
  <c r="BI32" i="1"/>
  <c r="BH32" i="1"/>
  <c r="BG32" i="1"/>
  <c r="BF32" i="1"/>
  <c r="BE32" i="1"/>
  <c r="BD32" i="1"/>
  <c r="BC32" i="1"/>
  <c r="BB32" i="1"/>
  <c r="AZ32" i="1"/>
  <c r="AY32" i="1"/>
  <c r="AX32" i="1"/>
  <c r="AW32" i="1"/>
  <c r="AV32" i="1"/>
  <c r="AU32" i="1"/>
  <c r="AT32" i="1"/>
  <c r="AS32" i="1"/>
  <c r="AR32" i="1"/>
  <c r="AQ32" i="1"/>
  <c r="AP32" i="1"/>
  <c r="AO32" i="1"/>
  <c r="AM32" i="1"/>
  <c r="AL32" i="1"/>
  <c r="AK32" i="1"/>
  <c r="AJ32" i="1"/>
  <c r="AI32" i="1"/>
  <c r="AH32" i="1"/>
  <c r="AG32" i="1"/>
  <c r="AF32" i="1"/>
  <c r="AE32" i="1"/>
  <c r="AD32" i="1"/>
  <c r="AC32" i="1"/>
  <c r="AB32" i="1"/>
  <c r="Z32" i="1"/>
  <c r="Y32" i="1"/>
  <c r="X32" i="1"/>
  <c r="W32" i="1"/>
  <c r="V32" i="1"/>
  <c r="U32" i="1"/>
  <c r="T32" i="1"/>
  <c r="S32" i="1"/>
  <c r="R32" i="1"/>
  <c r="Q32" i="1"/>
  <c r="P32" i="1"/>
  <c r="O32" i="1"/>
  <c r="CA31" i="1"/>
  <c r="CA32" i="1" s="1"/>
  <c r="BN31" i="1"/>
  <c r="BN32" i="1" s="1"/>
  <c r="BA31" i="1"/>
  <c r="AN31" i="1"/>
  <c r="BA32" i="1" s="1"/>
  <c r="AA31" i="1"/>
  <c r="N31" i="1"/>
  <c r="BZ29" i="1"/>
  <c r="BY29" i="1"/>
  <c r="BX29" i="1"/>
  <c r="BW29" i="1"/>
  <c r="BV29" i="1"/>
  <c r="BU29" i="1"/>
  <c r="BT29" i="1"/>
  <c r="BS29" i="1"/>
  <c r="BR29" i="1"/>
  <c r="BQ29" i="1"/>
  <c r="BP29" i="1"/>
  <c r="BO29" i="1"/>
  <c r="BM29" i="1"/>
  <c r="BL29" i="1"/>
  <c r="BK29" i="1"/>
  <c r="BJ29" i="1"/>
  <c r="BI29" i="1"/>
  <c r="BH29" i="1"/>
  <c r="BG29" i="1"/>
  <c r="BF29" i="1"/>
  <c r="BE29" i="1"/>
  <c r="BD29" i="1"/>
  <c r="BC29" i="1"/>
  <c r="BB29" i="1"/>
  <c r="BA29" i="1"/>
  <c r="AZ29" i="1"/>
  <c r="AY29" i="1"/>
  <c r="AX29" i="1"/>
  <c r="AW29" i="1"/>
  <c r="AV29" i="1"/>
  <c r="AU29" i="1"/>
  <c r="AT29" i="1"/>
  <c r="AS29" i="1"/>
  <c r="AR29" i="1"/>
  <c r="AQ29" i="1"/>
  <c r="AP29" i="1"/>
  <c r="AO29" i="1"/>
  <c r="AM29" i="1"/>
  <c r="AL29" i="1"/>
  <c r="AK29" i="1"/>
  <c r="AJ29" i="1"/>
  <c r="AI29" i="1"/>
  <c r="AH29" i="1"/>
  <c r="AG29" i="1"/>
  <c r="AF29" i="1"/>
  <c r="AE29" i="1"/>
  <c r="AD29" i="1"/>
  <c r="AC29" i="1"/>
  <c r="AB29" i="1"/>
  <c r="Z29" i="1"/>
  <c r="Y29" i="1"/>
  <c r="X29" i="1"/>
  <c r="W29" i="1"/>
  <c r="V29" i="1"/>
  <c r="U29" i="1"/>
  <c r="T29" i="1"/>
  <c r="S29" i="1"/>
  <c r="R29" i="1"/>
  <c r="Q29" i="1"/>
  <c r="P29" i="1"/>
  <c r="O29" i="1"/>
  <c r="CA28" i="1"/>
  <c r="BN28" i="1"/>
  <c r="CA29" i="1" s="1"/>
  <c r="BA28" i="1"/>
  <c r="AN28" i="1"/>
  <c r="AA28" i="1"/>
  <c r="AN29" i="1" s="1"/>
  <c r="N28" i="1"/>
  <c r="AA29" i="1" s="1"/>
  <c r="CA26" i="1"/>
  <c r="BZ26" i="1"/>
  <c r="BY26" i="1"/>
  <c r="BX26" i="1"/>
  <c r="BW26" i="1"/>
  <c r="BV26" i="1"/>
  <c r="BU26" i="1"/>
  <c r="BT26" i="1"/>
  <c r="BS26" i="1"/>
  <c r="BR26" i="1"/>
  <c r="BQ26" i="1"/>
  <c r="BP26" i="1"/>
  <c r="BO26" i="1"/>
  <c r="BM26" i="1"/>
  <c r="BL26" i="1"/>
  <c r="BK26" i="1"/>
  <c r="BJ26" i="1"/>
  <c r="BI26" i="1"/>
  <c r="BH26" i="1"/>
  <c r="BG26" i="1"/>
  <c r="BF26" i="1"/>
  <c r="BE26" i="1"/>
  <c r="BD26" i="1"/>
  <c r="BC26" i="1"/>
  <c r="BB26" i="1"/>
  <c r="AZ26" i="1"/>
  <c r="AY26" i="1"/>
  <c r="AX26" i="1"/>
  <c r="AW26" i="1"/>
  <c r="AV26" i="1"/>
  <c r="AU26" i="1"/>
  <c r="AT26" i="1"/>
  <c r="AS26" i="1"/>
  <c r="AR26" i="1"/>
  <c r="AQ26" i="1"/>
  <c r="AP26" i="1"/>
  <c r="AO26" i="1"/>
  <c r="AM26" i="1"/>
  <c r="AL26" i="1"/>
  <c r="AK26" i="1"/>
  <c r="AJ26" i="1"/>
  <c r="AI26" i="1"/>
  <c r="AH26" i="1"/>
  <c r="AG26" i="1"/>
  <c r="AF26" i="1"/>
  <c r="AE26" i="1"/>
  <c r="AD26" i="1"/>
  <c r="AC26" i="1"/>
  <c r="AB26" i="1"/>
  <c r="Z26" i="1"/>
  <c r="Y26" i="1"/>
  <c r="X26" i="1"/>
  <c r="W26" i="1"/>
  <c r="V26" i="1"/>
  <c r="U26" i="1"/>
  <c r="T26" i="1"/>
  <c r="S26" i="1"/>
  <c r="R26" i="1"/>
  <c r="Q26" i="1"/>
  <c r="P26" i="1"/>
  <c r="O26" i="1"/>
  <c r="CA25" i="1"/>
  <c r="BN25" i="1"/>
  <c r="BA25" i="1"/>
  <c r="BN26" i="1" s="1"/>
  <c r="AN25" i="1"/>
  <c r="AN26" i="1" s="1"/>
  <c r="AA25" i="1"/>
  <c r="AA26" i="1" s="1"/>
  <c r="N25" i="1"/>
  <c r="CA23" i="1"/>
  <c r="BZ23" i="1"/>
  <c r="BY23" i="1"/>
  <c r="BX23" i="1"/>
  <c r="BW23" i="1"/>
  <c r="BV23" i="1"/>
  <c r="BU23" i="1"/>
  <c r="BT23" i="1"/>
  <c r="BS23" i="1"/>
  <c r="BR23" i="1"/>
  <c r="BQ23" i="1"/>
  <c r="BP23" i="1"/>
  <c r="BO23" i="1"/>
  <c r="BN23" i="1"/>
  <c r="BM23" i="1"/>
  <c r="BL23" i="1"/>
  <c r="BK23" i="1"/>
  <c r="BJ23" i="1"/>
  <c r="BI23" i="1"/>
  <c r="BH23" i="1"/>
  <c r="BG23" i="1"/>
  <c r="BF23" i="1"/>
  <c r="BE23" i="1"/>
  <c r="BD23" i="1"/>
  <c r="BC23" i="1"/>
  <c r="BB23" i="1"/>
  <c r="AZ23" i="1"/>
  <c r="AY23" i="1"/>
  <c r="AX23" i="1"/>
  <c r="AW23" i="1"/>
  <c r="AV23" i="1"/>
  <c r="AU23" i="1"/>
  <c r="AT23" i="1"/>
  <c r="AS23" i="1"/>
  <c r="AR23" i="1"/>
  <c r="AQ23" i="1"/>
  <c r="AP23" i="1"/>
  <c r="AO23" i="1"/>
  <c r="AM23" i="1"/>
  <c r="AL23" i="1"/>
  <c r="AK23" i="1"/>
  <c r="AJ23" i="1"/>
  <c r="AI23" i="1"/>
  <c r="AH23" i="1"/>
  <c r="AG23" i="1"/>
  <c r="AF23" i="1"/>
  <c r="AE23" i="1"/>
  <c r="AD23" i="1"/>
  <c r="AC23" i="1"/>
  <c r="AB23" i="1"/>
  <c r="Z23" i="1"/>
  <c r="Y23" i="1"/>
  <c r="X23" i="1"/>
  <c r="W23" i="1"/>
  <c r="V23" i="1"/>
  <c r="U23" i="1"/>
  <c r="T23" i="1"/>
  <c r="S23" i="1"/>
  <c r="R23" i="1"/>
  <c r="Q23" i="1"/>
  <c r="P23" i="1"/>
  <c r="O23" i="1"/>
  <c r="CA22" i="1"/>
  <c r="BN22" i="1"/>
  <c r="BA22" i="1"/>
  <c r="AN22" i="1"/>
  <c r="BA23" i="1" s="1"/>
  <c r="AA22" i="1"/>
  <c r="AA23" i="1" s="1"/>
  <c r="N22" i="1"/>
  <c r="BZ20" i="1"/>
  <c r="BY20" i="1"/>
  <c r="BX20" i="1"/>
  <c r="BW20" i="1"/>
  <c r="BV20" i="1"/>
  <c r="BU20" i="1"/>
  <c r="BT20" i="1"/>
  <c r="BS20" i="1"/>
  <c r="BR20" i="1"/>
  <c r="BQ20" i="1"/>
  <c r="BP20" i="1"/>
  <c r="BO20" i="1"/>
  <c r="BN20" i="1"/>
  <c r="BM20" i="1"/>
  <c r="BL20" i="1"/>
  <c r="BK20" i="1"/>
  <c r="BJ20" i="1"/>
  <c r="BI20" i="1"/>
  <c r="BH20" i="1"/>
  <c r="BG20" i="1"/>
  <c r="BF20" i="1"/>
  <c r="BE20" i="1"/>
  <c r="BD20" i="1"/>
  <c r="BC20" i="1"/>
  <c r="BB20" i="1"/>
  <c r="BA20" i="1"/>
  <c r="AZ20" i="1"/>
  <c r="AY20" i="1"/>
  <c r="AX20" i="1"/>
  <c r="AW20" i="1"/>
  <c r="AV20" i="1"/>
  <c r="AU20" i="1"/>
  <c r="AT20" i="1"/>
  <c r="AS20" i="1"/>
  <c r="AR20" i="1"/>
  <c r="AQ20" i="1"/>
  <c r="AP20" i="1"/>
  <c r="AO20" i="1"/>
  <c r="AN20" i="1"/>
  <c r="AM20" i="1"/>
  <c r="AL20" i="1"/>
  <c r="AK20" i="1"/>
  <c r="AJ20" i="1"/>
  <c r="AI20" i="1"/>
  <c r="AH20" i="1"/>
  <c r="AG20" i="1"/>
  <c r="AF20" i="1"/>
  <c r="AE20" i="1"/>
  <c r="AD20" i="1"/>
  <c r="AC20" i="1"/>
  <c r="AB20" i="1"/>
  <c r="Z20" i="1"/>
  <c r="Y20" i="1"/>
  <c r="X20" i="1"/>
  <c r="W20" i="1"/>
  <c r="V20" i="1"/>
  <c r="U20" i="1"/>
  <c r="T20" i="1"/>
  <c r="S20" i="1"/>
  <c r="R20" i="1"/>
  <c r="Q20" i="1"/>
  <c r="P20" i="1"/>
  <c r="O20" i="1"/>
  <c r="CA19" i="1"/>
  <c r="CA20" i="1" s="1"/>
  <c r="BN19" i="1"/>
  <c r="BA19" i="1"/>
  <c r="AN19" i="1"/>
  <c r="AA19" i="1"/>
  <c r="N19" i="1"/>
  <c r="AA20" i="1" s="1"/>
  <c r="BZ17" i="1"/>
  <c r="BY17" i="1"/>
  <c r="BX17" i="1"/>
  <c r="BW17" i="1"/>
  <c r="BV17" i="1"/>
  <c r="BU17" i="1"/>
  <c r="BT17" i="1"/>
  <c r="BS17" i="1"/>
  <c r="BR17" i="1"/>
  <c r="BQ17" i="1"/>
  <c r="BP17" i="1"/>
  <c r="BO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AE17" i="1"/>
  <c r="AD17" i="1"/>
  <c r="AC17" i="1"/>
  <c r="AB17" i="1"/>
  <c r="AA17" i="1"/>
  <c r="Z17" i="1"/>
  <c r="Y17" i="1"/>
  <c r="X17" i="1"/>
  <c r="W17" i="1"/>
  <c r="V17" i="1"/>
  <c r="U17" i="1"/>
  <c r="T17" i="1"/>
  <c r="S17" i="1"/>
  <c r="R17" i="1"/>
  <c r="Q17" i="1"/>
  <c r="P17" i="1"/>
  <c r="O17" i="1"/>
  <c r="CA16" i="1"/>
  <c r="BN16" i="1"/>
  <c r="BN17" i="1" s="1"/>
  <c r="BA16" i="1"/>
  <c r="AN16" i="1"/>
  <c r="AA16" i="1"/>
  <c r="N16" i="1"/>
  <c r="BW14" i="1"/>
  <c r="BV14" i="1"/>
  <c r="AZ14" i="1"/>
  <c r="AJ14" i="1"/>
  <c r="AF14" i="1"/>
  <c r="P14" i="1"/>
  <c r="BZ13" i="1"/>
  <c r="BY13" i="1"/>
  <c r="BX13" i="1"/>
  <c r="BW13" i="1"/>
  <c r="BW37" i="1" s="1"/>
  <c r="BW43" i="1" s="1"/>
  <c r="BV13" i="1"/>
  <c r="BV37" i="1" s="1"/>
  <c r="BU13" i="1"/>
  <c r="BU37" i="1" s="1"/>
  <c r="BT13" i="1"/>
  <c r="BT37" i="1" s="1"/>
  <c r="BS13" i="1"/>
  <c r="BS14" i="1" s="1"/>
  <c r="BR13" i="1"/>
  <c r="BQ13" i="1"/>
  <c r="BP13" i="1"/>
  <c r="BP37" i="1" s="1"/>
  <c r="BP43" i="1" s="1"/>
  <c r="BO13" i="1"/>
  <c r="BO37" i="1" s="1"/>
  <c r="BM13" i="1"/>
  <c r="BL13" i="1"/>
  <c r="BK13" i="1"/>
  <c r="BK37" i="1" s="1"/>
  <c r="BK43" i="1" s="1"/>
  <c r="BJ13" i="1"/>
  <c r="BJ37" i="1" s="1"/>
  <c r="BI13" i="1"/>
  <c r="BI37" i="1" s="1"/>
  <c r="BH13" i="1"/>
  <c r="BH37" i="1" s="1"/>
  <c r="BG13" i="1"/>
  <c r="BG14" i="1" s="1"/>
  <c r="BF13" i="1"/>
  <c r="BE13" i="1"/>
  <c r="BD13" i="1"/>
  <c r="BD37" i="1" s="1"/>
  <c r="BD43" i="1" s="1"/>
  <c r="BC13" i="1"/>
  <c r="BC37" i="1" s="1"/>
  <c r="BB13" i="1"/>
  <c r="AZ13" i="1"/>
  <c r="AY13" i="1"/>
  <c r="AY37" i="1" s="1"/>
  <c r="AY43" i="1" s="1"/>
  <c r="AX13" i="1"/>
  <c r="AX37" i="1" s="1"/>
  <c r="AW13" i="1"/>
  <c r="AW14" i="1" s="1"/>
  <c r="AV13" i="1"/>
  <c r="AV37" i="1" s="1"/>
  <c r="AU13" i="1"/>
  <c r="AT13" i="1"/>
  <c r="AS13" i="1"/>
  <c r="AR13" i="1"/>
  <c r="AR37" i="1" s="1"/>
  <c r="AR43" i="1" s="1"/>
  <c r="AQ13" i="1"/>
  <c r="AQ37" i="1" s="1"/>
  <c r="AP13" i="1"/>
  <c r="AO13" i="1"/>
  <c r="AM13" i="1"/>
  <c r="AM37" i="1" s="1"/>
  <c r="AM43" i="1" s="1"/>
  <c r="AL13" i="1"/>
  <c r="AL37" i="1" s="1"/>
  <c r="AK13" i="1"/>
  <c r="AX14" i="1" s="1"/>
  <c r="AJ13" i="1"/>
  <c r="AJ37" i="1" s="1"/>
  <c r="AI13" i="1"/>
  <c r="AI14" i="1" s="1"/>
  <c r="AH13" i="1"/>
  <c r="AG13" i="1"/>
  <c r="AF13" i="1"/>
  <c r="AF37" i="1" s="1"/>
  <c r="AF43" i="1" s="1"/>
  <c r="AE13" i="1"/>
  <c r="AE37" i="1" s="1"/>
  <c r="AD13" i="1"/>
  <c r="AC13" i="1"/>
  <c r="AB13" i="1"/>
  <c r="Z13" i="1"/>
  <c r="Z37" i="1" s="1"/>
  <c r="Y13" i="1"/>
  <c r="Y37" i="1" s="1"/>
  <c r="X13" i="1"/>
  <c r="X37" i="1" s="1"/>
  <c r="W13" i="1"/>
  <c r="V13" i="1"/>
  <c r="U13" i="1"/>
  <c r="T13" i="1"/>
  <c r="T37" i="1" s="1"/>
  <c r="T43" i="1" s="1"/>
  <c r="S13" i="1"/>
  <c r="S37" i="1" s="1"/>
  <c r="R13" i="1"/>
  <c r="Q13" i="1"/>
  <c r="P13" i="1"/>
  <c r="O13" i="1"/>
  <c r="O37" i="1" s="1"/>
  <c r="O43" i="1" s="1"/>
  <c r="M13" i="1"/>
  <c r="M37" i="1" s="1"/>
  <c r="M43" i="1" s="1"/>
  <c r="L13" i="1"/>
  <c r="L37" i="1" s="1"/>
  <c r="L43" i="1" s="1"/>
  <c r="K13" i="1"/>
  <c r="K37" i="1" s="1"/>
  <c r="K43" i="1" s="1"/>
  <c r="J13" i="1"/>
  <c r="J37" i="1" s="1"/>
  <c r="J43" i="1" s="1"/>
  <c r="I13" i="1"/>
  <c r="I37" i="1" s="1"/>
  <c r="I43" i="1" s="1"/>
  <c r="H13" i="1"/>
  <c r="H37" i="1" s="1"/>
  <c r="H43" i="1" s="1"/>
  <c r="G13" i="1"/>
  <c r="G37" i="1" s="1"/>
  <c r="G43" i="1" s="1"/>
  <c r="F13" i="1"/>
  <c r="F37" i="1" s="1"/>
  <c r="F43" i="1" s="1"/>
  <c r="E13" i="1"/>
  <c r="E37" i="1" s="1"/>
  <c r="E43" i="1" s="1"/>
  <c r="D13" i="1"/>
  <c r="C13" i="1"/>
  <c r="C37" i="1" s="1"/>
  <c r="B13" i="1"/>
  <c r="BZ11" i="1"/>
  <c r="BY11" i="1"/>
  <c r="BX11" i="1"/>
  <c r="BW11" i="1"/>
  <c r="BV11" i="1"/>
  <c r="BU11" i="1"/>
  <c r="BT11" i="1"/>
  <c r="BS11" i="1"/>
  <c r="BR11" i="1"/>
  <c r="BQ11" i="1"/>
  <c r="BP11" i="1"/>
  <c r="BO11" i="1"/>
  <c r="CA11" i="1" s="1"/>
  <c r="BM11" i="1"/>
  <c r="BL11" i="1"/>
  <c r="BK11" i="1"/>
  <c r="BJ11" i="1"/>
  <c r="BI11" i="1"/>
  <c r="BH11" i="1"/>
  <c r="BG11" i="1"/>
  <c r="BF11" i="1"/>
  <c r="BE11" i="1"/>
  <c r="BD11" i="1"/>
  <c r="BC11" i="1"/>
  <c r="BB11" i="1"/>
  <c r="BN11" i="1" s="1"/>
  <c r="AZ11" i="1"/>
  <c r="AY11" i="1"/>
  <c r="AX11" i="1"/>
  <c r="AW11" i="1"/>
  <c r="AV11" i="1"/>
  <c r="AU11" i="1"/>
  <c r="AT11" i="1"/>
  <c r="AS11" i="1"/>
  <c r="AR11" i="1"/>
  <c r="AQ11" i="1"/>
  <c r="AP11" i="1"/>
  <c r="AO11" i="1"/>
  <c r="BA11" i="1" s="1"/>
  <c r="AM11" i="1"/>
  <c r="AL11" i="1"/>
  <c r="AK11" i="1"/>
  <c r="AJ11" i="1"/>
  <c r="AI11" i="1"/>
  <c r="AH11" i="1"/>
  <c r="AG11" i="1"/>
  <c r="AF11" i="1"/>
  <c r="AE11" i="1"/>
  <c r="AD11" i="1"/>
  <c r="AC11" i="1"/>
  <c r="AB11" i="1"/>
  <c r="AN11" i="1" s="1"/>
  <c r="Z11" i="1"/>
  <c r="Y11" i="1"/>
  <c r="X11" i="1"/>
  <c r="W11" i="1"/>
  <c r="V11" i="1"/>
  <c r="U11" i="1"/>
  <c r="T11" i="1"/>
  <c r="S11" i="1"/>
  <c r="R11" i="1"/>
  <c r="Q11" i="1"/>
  <c r="P11" i="1"/>
  <c r="O11" i="1"/>
  <c r="AA11" i="1" s="1"/>
  <c r="M11" i="1"/>
  <c r="L11" i="1"/>
  <c r="K11" i="1"/>
  <c r="J11" i="1"/>
  <c r="I11" i="1"/>
  <c r="H11" i="1"/>
  <c r="G11" i="1"/>
  <c r="F11" i="1"/>
  <c r="E11" i="1"/>
  <c r="D11" i="1"/>
  <c r="C11" i="1"/>
  <c r="B11" i="1"/>
  <c r="N11" i="1" s="1"/>
  <c r="BZ9" i="1"/>
  <c r="BY9" i="1"/>
  <c r="BX9" i="1"/>
  <c r="BW9" i="1"/>
  <c r="BV9" i="1"/>
  <c r="BU9" i="1"/>
  <c r="BT9" i="1"/>
  <c r="BS9" i="1"/>
  <c r="BR9" i="1"/>
  <c r="BQ9" i="1"/>
  <c r="BP9" i="1"/>
  <c r="BO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AE9" i="1"/>
  <c r="AD9" i="1"/>
  <c r="AC9" i="1"/>
  <c r="AB9" i="1"/>
  <c r="Z9" i="1"/>
  <c r="Y9" i="1"/>
  <c r="X9" i="1"/>
  <c r="W9" i="1"/>
  <c r="V9" i="1"/>
  <c r="U9" i="1"/>
  <c r="T9" i="1"/>
  <c r="S9" i="1"/>
  <c r="R9" i="1"/>
  <c r="Q9" i="1"/>
  <c r="P9" i="1"/>
  <c r="O9" i="1"/>
  <c r="CA8" i="1"/>
  <c r="BN8" i="1"/>
  <c r="CA9" i="1" s="1"/>
  <c r="BA8" i="1"/>
  <c r="AN8" i="1"/>
  <c r="AA8" i="1"/>
  <c r="AA9" i="1" s="1"/>
  <c r="N8" i="1"/>
  <c r="BX6" i="1"/>
  <c r="BW6" i="1"/>
  <c r="BT6" i="1"/>
  <c r="BL6" i="1"/>
  <c r="BK6" i="1"/>
  <c r="BH6" i="1"/>
  <c r="AZ6" i="1"/>
  <c r="AY6" i="1"/>
  <c r="AV6" i="1"/>
  <c r="AM6" i="1"/>
  <c r="AJ6" i="1"/>
  <c r="AB6" i="1"/>
  <c r="X6" i="1"/>
  <c r="P6" i="1"/>
  <c r="O6" i="1"/>
  <c r="BZ5" i="1"/>
  <c r="BY5" i="1"/>
  <c r="BY6" i="1" s="1"/>
  <c r="BX5" i="1"/>
  <c r="BW5" i="1"/>
  <c r="BV5" i="1"/>
  <c r="BV6" i="1" s="1"/>
  <c r="BU5" i="1"/>
  <c r="BU6" i="1" s="1"/>
  <c r="BT5" i="1"/>
  <c r="BS5" i="1"/>
  <c r="BR5" i="1"/>
  <c r="BR6" i="1" s="1"/>
  <c r="BQ5" i="1"/>
  <c r="BQ6" i="1" s="1"/>
  <c r="BP5" i="1"/>
  <c r="BP6" i="1" s="1"/>
  <c r="BO5" i="1"/>
  <c r="BO6" i="1" s="1"/>
  <c r="BM5" i="1"/>
  <c r="BZ6" i="1" s="1"/>
  <c r="BL5" i="1"/>
  <c r="BK5" i="1"/>
  <c r="BJ5" i="1"/>
  <c r="BJ6" i="1" s="1"/>
  <c r="BI5" i="1"/>
  <c r="BI6" i="1" s="1"/>
  <c r="BH5" i="1"/>
  <c r="BG5" i="1"/>
  <c r="BG6" i="1" s="1"/>
  <c r="BF5" i="1"/>
  <c r="BS6" i="1" s="1"/>
  <c r="BE5" i="1"/>
  <c r="BE6" i="1" s="1"/>
  <c r="BD5" i="1"/>
  <c r="BD6" i="1" s="1"/>
  <c r="BC5" i="1"/>
  <c r="BC6" i="1" s="1"/>
  <c r="BB5" i="1"/>
  <c r="BN5" i="1" s="1"/>
  <c r="AZ5" i="1"/>
  <c r="AY5" i="1"/>
  <c r="AX5" i="1"/>
  <c r="AX6" i="1" s="1"/>
  <c r="AW5" i="1"/>
  <c r="AW6" i="1" s="1"/>
  <c r="AV5" i="1"/>
  <c r="AU5" i="1"/>
  <c r="AT5" i="1"/>
  <c r="AT6" i="1" s="1"/>
  <c r="AS5" i="1"/>
  <c r="AS6" i="1" s="1"/>
  <c r="AR5" i="1"/>
  <c r="AR6" i="1" s="1"/>
  <c r="AQ5" i="1"/>
  <c r="AQ6" i="1" s="1"/>
  <c r="AP5" i="1"/>
  <c r="AO5" i="1"/>
  <c r="AO6" i="1" s="1"/>
  <c r="AM5" i="1"/>
  <c r="AL5" i="1"/>
  <c r="AL6" i="1" s="1"/>
  <c r="AK5" i="1"/>
  <c r="AK6" i="1" s="1"/>
  <c r="AJ5" i="1"/>
  <c r="AI5" i="1"/>
  <c r="AI6" i="1" s="1"/>
  <c r="AH5" i="1"/>
  <c r="AU6" i="1" s="1"/>
  <c r="AG5" i="1"/>
  <c r="AG6" i="1" s="1"/>
  <c r="AF5" i="1"/>
  <c r="AF6" i="1" s="1"/>
  <c r="AE5" i="1"/>
  <c r="AE6" i="1" s="1"/>
  <c r="AD5" i="1"/>
  <c r="AD6" i="1" s="1"/>
  <c r="AC5" i="1"/>
  <c r="AP6" i="1" s="1"/>
  <c r="AB5" i="1"/>
  <c r="AN5" i="1" s="1"/>
  <c r="Z5" i="1"/>
  <c r="Z6" i="1" s="1"/>
  <c r="Y5" i="1"/>
  <c r="Y6" i="1" s="1"/>
  <c r="X5" i="1"/>
  <c r="W5" i="1"/>
  <c r="V5" i="1"/>
  <c r="V6" i="1" s="1"/>
  <c r="U5" i="1"/>
  <c r="U6" i="1" s="1"/>
  <c r="T5" i="1"/>
  <c r="T6" i="1" s="1"/>
  <c r="S5" i="1"/>
  <c r="S6" i="1" s="1"/>
  <c r="R5" i="1"/>
  <c r="R6" i="1" s="1"/>
  <c r="Q5" i="1"/>
  <c r="Q6" i="1" s="1"/>
  <c r="P5" i="1"/>
  <c r="O5" i="1"/>
  <c r="AA5" i="1" s="1"/>
  <c r="M5" i="1"/>
  <c r="L5" i="1"/>
  <c r="K5" i="1"/>
  <c r="J5" i="1"/>
  <c r="W6" i="1" s="1"/>
  <c r="I5" i="1"/>
  <c r="H5" i="1"/>
  <c r="G5" i="1"/>
  <c r="F5" i="1"/>
  <c r="E5" i="1"/>
  <c r="D5" i="1"/>
  <c r="C5" i="1"/>
  <c r="B5" i="1"/>
  <c r="N5" i="1" s="1"/>
  <c r="BZ3" i="1"/>
  <c r="BY3" i="1"/>
  <c r="BX3" i="1"/>
  <c r="BW3" i="1"/>
  <c r="BV3" i="1"/>
  <c r="BU3" i="1"/>
  <c r="BT3" i="1"/>
  <c r="BS3" i="1"/>
  <c r="BR3" i="1"/>
  <c r="BQ3" i="1"/>
  <c r="BP3" i="1"/>
  <c r="BO3" i="1"/>
  <c r="BM3" i="1"/>
  <c r="BL3" i="1"/>
  <c r="BK3" i="1"/>
  <c r="BJ3" i="1"/>
  <c r="BI3" i="1"/>
  <c r="BH3" i="1"/>
  <c r="BG3" i="1"/>
  <c r="BF3" i="1"/>
  <c r="BE3" i="1"/>
  <c r="BD3" i="1"/>
  <c r="BC3" i="1"/>
  <c r="BB3" i="1"/>
  <c r="AZ3" i="1"/>
  <c r="AY3" i="1"/>
  <c r="AX3" i="1"/>
  <c r="AW3" i="1"/>
  <c r="AV3" i="1"/>
  <c r="AU3" i="1"/>
  <c r="AT3" i="1"/>
  <c r="AS3" i="1"/>
  <c r="AR3" i="1"/>
  <c r="AQ3" i="1"/>
  <c r="AP3" i="1"/>
  <c r="AO3" i="1"/>
  <c r="AM3" i="1"/>
  <c r="AL3" i="1"/>
  <c r="AK3" i="1"/>
  <c r="AJ3" i="1"/>
  <c r="AI3" i="1"/>
  <c r="AH3" i="1"/>
  <c r="AG3" i="1"/>
  <c r="AF3" i="1"/>
  <c r="AE3" i="1"/>
  <c r="AD3" i="1"/>
  <c r="AC3" i="1"/>
  <c r="AB3" i="1"/>
  <c r="AA3" i="1"/>
  <c r="Z3" i="1"/>
  <c r="Y3" i="1"/>
  <c r="X3" i="1"/>
  <c r="W3" i="1"/>
  <c r="V3" i="1"/>
  <c r="U3" i="1"/>
  <c r="T3" i="1"/>
  <c r="S3" i="1"/>
  <c r="R3" i="1"/>
  <c r="Q3" i="1"/>
  <c r="P3" i="1"/>
  <c r="O3" i="1"/>
  <c r="CA2" i="1"/>
  <c r="CA3" i="1" s="1"/>
  <c r="BN2" i="1"/>
  <c r="BN3" i="1" s="1"/>
  <c r="BA2" i="1"/>
  <c r="AN2" i="1"/>
  <c r="AN3" i="1" s="1"/>
  <c r="AA2" i="1"/>
  <c r="N2" i="1"/>
  <c r="C8" i="16"/>
  <c r="C9" i="16"/>
  <c r="C8" i="15"/>
  <c r="H8" i="15"/>
  <c r="C9" i="15"/>
  <c r="H7" i="15"/>
  <c r="H2" i="15"/>
  <c r="H3" i="15"/>
  <c r="H4" i="15"/>
  <c r="H5" i="15"/>
  <c r="H6" i="15"/>
  <c r="C8" i="14"/>
  <c r="C9" i="14"/>
  <c r="C8" i="13"/>
  <c r="H8" i="13"/>
  <c r="C9" i="13"/>
  <c r="H2" i="13"/>
  <c r="H3" i="13"/>
  <c r="H4" i="13"/>
  <c r="H5" i="13"/>
  <c r="H6" i="13"/>
  <c r="H7" i="13"/>
  <c r="C97" i="10"/>
  <c r="C93" i="10"/>
  <c r="C89" i="10"/>
  <c r="C85" i="10"/>
  <c r="C81" i="10"/>
  <c r="C77" i="10"/>
  <c r="C95" i="10"/>
  <c r="C87" i="10"/>
  <c r="C79" i="10"/>
  <c r="C94" i="10"/>
  <c r="C86" i="10"/>
  <c r="C78" i="10"/>
  <c r="C92" i="10"/>
  <c r="C84" i="10"/>
  <c r="C76" i="10"/>
  <c r="C91" i="10"/>
  <c r="C83" i="10"/>
  <c r="C75" i="10"/>
  <c r="C90" i="10"/>
  <c r="C82" i="10"/>
  <c r="C74" i="10"/>
  <c r="C96" i="10"/>
  <c r="C88" i="10"/>
  <c r="C80" i="10"/>
  <c r="C94" i="9"/>
  <c r="C93" i="9"/>
  <c r="C89" i="9"/>
  <c r="C91" i="9"/>
  <c r="C96" i="9"/>
  <c r="C85" i="9"/>
  <c r="C81" i="9"/>
  <c r="C86" i="9"/>
  <c r="C83" i="9"/>
  <c r="C88" i="9"/>
  <c r="C78" i="9"/>
  <c r="C80" i="9"/>
  <c r="C77" i="9"/>
  <c r="C75" i="9"/>
  <c r="C95" i="9"/>
  <c r="C92" i="9"/>
  <c r="C90" i="9"/>
  <c r="C84" i="9"/>
  <c r="C82" i="9"/>
  <c r="C79" i="9"/>
  <c r="C76" i="9"/>
  <c r="C74" i="9"/>
  <c r="C97" i="9"/>
  <c r="C87" i="9"/>
  <c r="C8" i="20"/>
  <c r="H8" i="20"/>
  <c r="C9" i="20"/>
  <c r="H2" i="20"/>
  <c r="H6" i="20"/>
  <c r="H3" i="20"/>
  <c r="H4" i="20"/>
  <c r="H5" i="20"/>
  <c r="H7" i="20"/>
  <c r="C8" i="28"/>
  <c r="C9" i="28"/>
  <c r="C9" i="26"/>
  <c r="C8" i="26"/>
  <c r="AB27" i="4" l="1"/>
  <c r="BU43" i="1"/>
  <c r="BU38" i="1"/>
  <c r="BI43" i="1"/>
  <c r="BI38" i="1"/>
  <c r="Y43" i="1"/>
  <c r="Y44" i="1" s="1"/>
  <c r="Y38" i="1"/>
  <c r="O44" i="1"/>
  <c r="AA6" i="1"/>
  <c r="AN6" i="1"/>
  <c r="BB14" i="1"/>
  <c r="BB37" i="1"/>
  <c r="AK43" i="1"/>
  <c r="AK38" i="1"/>
  <c r="BA5" i="1"/>
  <c r="BA6" i="1" s="1"/>
  <c r="CA5" i="1"/>
  <c r="CA6" i="1" s="1"/>
  <c r="N37" i="1"/>
  <c r="AN13" i="1"/>
  <c r="AO14" i="1"/>
  <c r="AO37" i="1"/>
  <c r="BA13" i="1"/>
  <c r="BM14" i="1"/>
  <c r="BM37" i="1"/>
  <c r="BY14" i="1"/>
  <c r="BY37" i="1"/>
  <c r="AE14" i="1"/>
  <c r="AY14" i="1"/>
  <c r="BU14" i="1"/>
  <c r="AB38" i="1"/>
  <c r="AB43" i="1"/>
  <c r="R14" i="1"/>
  <c r="R37" i="1"/>
  <c r="BC14" i="1"/>
  <c r="AC6" i="1"/>
  <c r="BM6" i="1"/>
  <c r="BN9" i="1"/>
  <c r="S38" i="1"/>
  <c r="S43" i="1"/>
  <c r="S44" i="1" s="1"/>
  <c r="AE38" i="1"/>
  <c r="AE43" i="1"/>
  <c r="AR44" i="1" s="1"/>
  <c r="BD44" i="1"/>
  <c r="BP44" i="1"/>
  <c r="O14" i="1"/>
  <c r="AK14" i="1"/>
  <c r="BD14" i="1"/>
  <c r="BX14" i="1"/>
  <c r="AW37" i="1"/>
  <c r="BD38" i="1"/>
  <c r="AD14" i="1"/>
  <c r="AD37" i="1"/>
  <c r="BB6" i="1"/>
  <c r="T44" i="1"/>
  <c r="AS14" i="1"/>
  <c r="AS37" i="1"/>
  <c r="BE14" i="1"/>
  <c r="BE37" i="1"/>
  <c r="BQ14" i="1"/>
  <c r="BQ37" i="1"/>
  <c r="AL14" i="1"/>
  <c r="BH14" i="1"/>
  <c r="BN29" i="1"/>
  <c r="AZ38" i="1"/>
  <c r="AZ43" i="1"/>
  <c r="AZ44" i="1" s="1"/>
  <c r="Z18" i="4"/>
  <c r="AC18" i="4"/>
  <c r="AD18" i="4" s="1"/>
  <c r="Z31" i="4"/>
  <c r="AC76" i="4"/>
  <c r="BZ14" i="1"/>
  <c r="BZ37" i="1"/>
  <c r="BC38" i="1"/>
  <c r="BC43" i="1"/>
  <c r="BA3" i="1"/>
  <c r="U14" i="1"/>
  <c r="U37" i="1"/>
  <c r="AG14" i="1"/>
  <c r="AG37" i="1"/>
  <c r="AT14" i="1"/>
  <c r="BF14" i="1"/>
  <c r="BR14" i="1"/>
  <c r="S14" i="1"/>
  <c r="AM14" i="1"/>
  <c r="BI14" i="1"/>
  <c r="BP38" i="1"/>
  <c r="Y14" i="4"/>
  <c r="AC3" i="4"/>
  <c r="AC29" i="4"/>
  <c r="Z29" i="4"/>
  <c r="Z62" i="4"/>
  <c r="Z75" i="4"/>
  <c r="AC62" i="4"/>
  <c r="BO38" i="1"/>
  <c r="BO43" i="1"/>
  <c r="N43" i="1"/>
  <c r="V14" i="1"/>
  <c r="V37" i="1"/>
  <c r="AA37" i="1" s="1"/>
  <c r="AA38" i="1" s="1"/>
  <c r="AH14" i="1"/>
  <c r="AH37" i="1"/>
  <c r="AU14" i="1"/>
  <c r="T14" i="1"/>
  <c r="BJ14" i="1"/>
  <c r="BA26" i="1"/>
  <c r="BL38" i="1"/>
  <c r="BL43" i="1"/>
  <c r="BL44" i="1" s="1"/>
  <c r="AD21" i="4"/>
  <c r="AC48" i="4"/>
  <c r="AD48" i="4" s="1"/>
  <c r="Z48" i="4"/>
  <c r="AD39" i="8"/>
  <c r="Q14" i="1"/>
  <c r="Q37" i="1"/>
  <c r="W14" i="1"/>
  <c r="AV43" i="1"/>
  <c r="BH43" i="1"/>
  <c r="BT43" i="1"/>
  <c r="X14" i="1"/>
  <c r="AQ14" i="1"/>
  <c r="BK14" i="1"/>
  <c r="AN23" i="1"/>
  <c r="AN32" i="1"/>
  <c r="AA32" i="1"/>
  <c r="Y27" i="4"/>
  <c r="Z20" i="4"/>
  <c r="AC20" i="4"/>
  <c r="AD20" i="4" s="1"/>
  <c r="Z24" i="8"/>
  <c r="AC24" i="8"/>
  <c r="AD24" i="8" s="1"/>
  <c r="AD31" i="8"/>
  <c r="BN13" i="1"/>
  <c r="BN14" i="1" s="1"/>
  <c r="AH6" i="1"/>
  <c r="BF6" i="1"/>
  <c r="X43" i="1"/>
  <c r="X44" i="1" s="1"/>
  <c r="X38" i="1"/>
  <c r="AJ43" i="1"/>
  <c r="Y14" i="1"/>
  <c r="AR14" i="1"/>
  <c r="BL14" i="1"/>
  <c r="BX38" i="1"/>
  <c r="BX43" i="1"/>
  <c r="BX44" i="1" s="1"/>
  <c r="AA41" i="1"/>
  <c r="AC14" i="1"/>
  <c r="AC37" i="1"/>
  <c r="Z16" i="4"/>
  <c r="AC16" i="4"/>
  <c r="AQ43" i="1"/>
  <c r="AX43" i="1"/>
  <c r="AX44" i="1" s="1"/>
  <c r="AX38" i="1"/>
  <c r="BJ43" i="1"/>
  <c r="BJ38" i="1"/>
  <c r="BV43" i="1"/>
  <c r="BV44" i="1" s="1"/>
  <c r="BV38" i="1"/>
  <c r="Z14" i="1"/>
  <c r="AV14" i="1"/>
  <c r="BO14" i="1"/>
  <c r="T38" i="1"/>
  <c r="AD72" i="8"/>
  <c r="AP14" i="1"/>
  <c r="AP37" i="1"/>
  <c r="Z43" i="1"/>
  <c r="Z44" i="1" s="1"/>
  <c r="Z38" i="1"/>
  <c r="AL43" i="1"/>
  <c r="AL44" i="1" s="1"/>
  <c r="AL38" i="1"/>
  <c r="AY38" i="1"/>
  <c r="BK38" i="1"/>
  <c r="BW38" i="1"/>
  <c r="BP14" i="1"/>
  <c r="CA17" i="1"/>
  <c r="P38" i="1"/>
  <c r="P43" i="1"/>
  <c r="P44" i="1" s="1"/>
  <c r="AD17" i="4"/>
  <c r="AD78" i="4"/>
  <c r="AD65" i="4"/>
  <c r="AC73" i="4"/>
  <c r="AD73" i="4" s="1"/>
  <c r="Z73" i="4"/>
  <c r="Z48" i="8"/>
  <c r="AC48" i="8"/>
  <c r="AD60" i="8" s="1"/>
  <c r="Z34" i="4"/>
  <c r="AC34" i="4"/>
  <c r="AD34" i="4" s="1"/>
  <c r="CA13" i="1"/>
  <c r="N13" i="1"/>
  <c r="B37" i="1"/>
  <c r="B43" i="1" s="1"/>
  <c r="O38" i="1"/>
  <c r="AA13" i="1"/>
  <c r="AA14" i="1" s="1"/>
  <c r="AM38" i="1"/>
  <c r="AB14" i="1"/>
  <c r="BT14" i="1"/>
  <c r="AF38" i="1"/>
  <c r="Z22" i="4"/>
  <c r="Z35" i="4"/>
  <c r="AC22" i="4"/>
  <c r="AD22" i="4" s="1"/>
  <c r="Z45" i="4"/>
  <c r="AC32" i="4"/>
  <c r="AD32" i="4" s="1"/>
  <c r="Z32" i="4"/>
  <c r="E30" i="4"/>
  <c r="Z30" i="4"/>
  <c r="J43" i="4"/>
  <c r="J56" i="4"/>
  <c r="Z27" i="8"/>
  <c r="Y36" i="8"/>
  <c r="Z51" i="8"/>
  <c r="J60" i="8"/>
  <c r="E64" i="8"/>
  <c r="AC64" i="8"/>
  <c r="Z64" i="8"/>
  <c r="E67" i="8"/>
  <c r="Y2" i="4"/>
  <c r="J16" i="4"/>
  <c r="J18" i="4"/>
  <c r="J20" i="4"/>
  <c r="J22" i="4"/>
  <c r="J34" i="4"/>
  <c r="Y39" i="4"/>
  <c r="J41" i="4"/>
  <c r="Y46" i="4"/>
  <c r="AD50" i="4"/>
  <c r="T53" i="4"/>
  <c r="I66" i="4"/>
  <c r="E55" i="4"/>
  <c r="Y55" i="4"/>
  <c r="E57" i="4"/>
  <c r="Z57" i="4"/>
  <c r="J76" i="4"/>
  <c r="I79" i="4"/>
  <c r="J79" i="4" s="1"/>
  <c r="AB79" i="4"/>
  <c r="J24" i="8"/>
  <c r="J27" i="8"/>
  <c r="Z55" i="8"/>
  <c r="AD71" i="8"/>
  <c r="AC28" i="4"/>
  <c r="Z28" i="4"/>
  <c r="AC30" i="4"/>
  <c r="AD30" i="4" s="1"/>
  <c r="E37" i="4"/>
  <c r="Y40" i="4"/>
  <c r="Z40" i="4" s="1"/>
  <c r="Z60" i="4"/>
  <c r="J62" i="4"/>
  <c r="J71" i="4"/>
  <c r="AC74" i="4"/>
  <c r="AC28" i="8"/>
  <c r="AD28" i="8" s="1"/>
  <c r="Z28" i="8"/>
  <c r="Z39" i="8"/>
  <c r="J48" i="8"/>
  <c r="AC52" i="8"/>
  <c r="Z52" i="8"/>
  <c r="E71" i="8"/>
  <c r="Z21" i="4"/>
  <c r="D27" i="4"/>
  <c r="E27" i="4" s="1"/>
  <c r="E35" i="4"/>
  <c r="E51" i="4"/>
  <c r="G53" i="4"/>
  <c r="X53" i="4"/>
  <c r="AC16" i="8"/>
  <c r="AD16" i="8" s="1"/>
  <c r="Z16" i="8"/>
  <c r="Z19" i="8"/>
  <c r="J39" i="8"/>
  <c r="Z65" i="8"/>
  <c r="Y70" i="8"/>
  <c r="J70" i="8"/>
  <c r="H27" i="4"/>
  <c r="Z17" i="4"/>
  <c r="E19" i="4"/>
  <c r="Z19" i="4"/>
  <c r="Z25" i="4"/>
  <c r="V27" i="4"/>
  <c r="AC42" i="4"/>
  <c r="AD42" i="4" s="1"/>
  <c r="Z42" i="4"/>
  <c r="J65" i="4"/>
  <c r="R66" i="4"/>
  <c r="D79" i="4"/>
  <c r="Z67" i="4"/>
  <c r="J69" i="4"/>
  <c r="AD75" i="4"/>
  <c r="N79" i="4"/>
  <c r="AC40" i="8"/>
  <c r="AD40" i="8" s="1"/>
  <c r="Z40" i="8"/>
  <c r="Y10" i="4"/>
  <c r="AC15" i="4"/>
  <c r="X27" i="4"/>
  <c r="E33" i="4"/>
  <c r="J39" i="4"/>
  <c r="AB40" i="4"/>
  <c r="E49" i="4"/>
  <c r="I53" i="4"/>
  <c r="J53" i="4" s="1"/>
  <c r="J55" i="4"/>
  <c r="C66" i="4"/>
  <c r="P79" i="4"/>
  <c r="Y2" i="8"/>
  <c r="Z22" i="8"/>
  <c r="AD23" i="8"/>
  <c r="AD26" i="8"/>
  <c r="Z29" i="8"/>
  <c r="AC34" i="8"/>
  <c r="AD34" i="8" s="1"/>
  <c r="AC43" i="8"/>
  <c r="AD43" i="8" s="1"/>
  <c r="AD47" i="8"/>
  <c r="E50" i="8"/>
  <c r="AD50" i="8"/>
  <c r="Z53" i="8"/>
  <c r="J55" i="8"/>
  <c r="Y58" i="8"/>
  <c r="J58" i="8"/>
  <c r="AD65" i="8"/>
  <c r="J15" i="4"/>
  <c r="J37" i="4"/>
  <c r="C40" i="4"/>
  <c r="AC49" i="4"/>
  <c r="AD49" i="4" s="1"/>
  <c r="L53" i="4"/>
  <c r="D66" i="4"/>
  <c r="E66" i="4" s="1"/>
  <c r="AC70" i="4"/>
  <c r="AD70" i="4" s="1"/>
  <c r="Z70" i="4"/>
  <c r="AC72" i="4"/>
  <c r="Z78" i="4"/>
  <c r="E17" i="8"/>
  <c r="Z17" i="8"/>
  <c r="J19" i="8"/>
  <c r="J22" i="8"/>
  <c r="Z26" i="8"/>
  <c r="J31" i="8"/>
  <c r="E47" i="8"/>
  <c r="J19" i="4"/>
  <c r="I27" i="4"/>
  <c r="J27" i="4" s="1"/>
  <c r="J35" i="4"/>
  <c r="D40" i="4"/>
  <c r="E53" i="4" s="1"/>
  <c r="E47" i="4"/>
  <c r="N53" i="4"/>
  <c r="J63" i="4"/>
  <c r="Y63" i="4"/>
  <c r="G66" i="4"/>
  <c r="V66" i="4"/>
  <c r="J72" i="4"/>
  <c r="E38" i="8"/>
  <c r="Y46" i="8"/>
  <c r="J46" i="8"/>
  <c r="AC68" i="8"/>
  <c r="AD68" i="8" s="1"/>
  <c r="Z68" i="8"/>
  <c r="Z72" i="8"/>
  <c r="L27" i="4"/>
  <c r="AD31" i="4"/>
  <c r="J33" i="4"/>
  <c r="Y33" i="4"/>
  <c r="AC38" i="4"/>
  <c r="AD38" i="4" s="1"/>
  <c r="Z38" i="4"/>
  <c r="Y43" i="4"/>
  <c r="AC52" i="4"/>
  <c r="Z52" i="4"/>
  <c r="E56" i="4"/>
  <c r="AC56" i="4"/>
  <c r="AD69" i="4" s="1"/>
  <c r="AC58" i="4"/>
  <c r="AD58" i="4" s="1"/>
  <c r="Z58" i="4"/>
  <c r="Y59" i="4"/>
  <c r="Z64" i="4"/>
  <c r="J67" i="4"/>
  <c r="J75" i="4"/>
  <c r="J34" i="8"/>
  <c r="AD66" i="8"/>
  <c r="Z69" i="8"/>
  <c r="AN35" i="1"/>
  <c r="AT37" i="1"/>
  <c r="BF37" i="1"/>
  <c r="BR37" i="1"/>
  <c r="CA37" i="1" s="1"/>
  <c r="BN41" i="1"/>
  <c r="J31" i="4"/>
  <c r="T40" i="4"/>
  <c r="E41" i="4"/>
  <c r="Y41" i="4"/>
  <c r="J49" i="4"/>
  <c r="AC54" i="4"/>
  <c r="Z54" i="4"/>
  <c r="J58" i="4"/>
  <c r="E59" i="4"/>
  <c r="X66" i="4"/>
  <c r="AC68" i="4"/>
  <c r="Z68" i="4"/>
  <c r="E76" i="4"/>
  <c r="J78" i="4"/>
  <c r="J29" i="8"/>
  <c r="AC56" i="8"/>
  <c r="AD56" i="8" s="1"/>
  <c r="Z56" i="8"/>
  <c r="AD57" i="8"/>
  <c r="Z60" i="8"/>
  <c r="W37" i="1"/>
  <c r="AI37" i="1"/>
  <c r="AV38" i="1" s="1"/>
  <c r="AU37" i="1"/>
  <c r="BH38" i="1" s="1"/>
  <c r="BG37" i="1"/>
  <c r="BT38" i="1" s="1"/>
  <c r="BS37" i="1"/>
  <c r="AC26" i="4"/>
  <c r="AD26" i="4" s="1"/>
  <c r="Z26" i="4"/>
  <c r="J29" i="4"/>
  <c r="I40" i="4"/>
  <c r="J47" i="4"/>
  <c r="Y47" i="4"/>
  <c r="E50" i="4"/>
  <c r="J61" i="4"/>
  <c r="E62" i="4"/>
  <c r="L66" i="4"/>
  <c r="J70" i="4"/>
  <c r="Y71" i="4"/>
  <c r="Y79" i="4" s="1"/>
  <c r="J73" i="4"/>
  <c r="AC20" i="8"/>
  <c r="AD20" i="8" s="1"/>
  <c r="Z20" i="8"/>
  <c r="AD21" i="8"/>
  <c r="AC27" i="8"/>
  <c r="AD27" i="8" s="1"/>
  <c r="AC51" i="8"/>
  <c r="AD51" i="8" s="1"/>
  <c r="AD54" i="8"/>
  <c r="Z57" i="8"/>
  <c r="Z63" i="8"/>
  <c r="J45" i="4"/>
  <c r="Z50" i="4"/>
  <c r="C53" i="4"/>
  <c r="J64" i="4"/>
  <c r="G79" i="4"/>
  <c r="AC18" i="8"/>
  <c r="AD18" i="8" s="1"/>
  <c r="Z18" i="8"/>
  <c r="AD30" i="8"/>
  <c r="AC32" i="8"/>
  <c r="AD32" i="8" s="1"/>
  <c r="Z32" i="8"/>
  <c r="AD33" i="8"/>
  <c r="J41" i="8"/>
  <c r="AC44" i="8"/>
  <c r="AD44" i="8" s="1"/>
  <c r="Z44" i="8"/>
  <c r="AD45" i="8"/>
  <c r="J63" i="8"/>
  <c r="Y67" i="8"/>
  <c r="Y61" i="4"/>
  <c r="Y77" i="4"/>
  <c r="Y25" i="8"/>
  <c r="Z30" i="8"/>
  <c r="Y37" i="8"/>
  <c r="Z42" i="8"/>
  <c r="Y49" i="8"/>
  <c r="Z54" i="8"/>
  <c r="Y61" i="8"/>
  <c r="Z66" i="8"/>
  <c r="Y73" i="8"/>
  <c r="E67" i="4"/>
  <c r="J18" i="8"/>
  <c r="E9" i="16"/>
  <c r="D9" i="16"/>
  <c r="D8" i="16"/>
  <c r="E8" i="16"/>
  <c r="D9" i="15"/>
  <c r="E9" i="15"/>
  <c r="D8" i="15"/>
  <c r="E8" i="15"/>
  <c r="E9" i="14"/>
  <c r="D8" i="14"/>
  <c r="D9" i="14"/>
  <c r="E8" i="14"/>
  <c r="E9" i="13"/>
  <c r="D9" i="13"/>
  <c r="D8" i="13"/>
  <c r="E8" i="13"/>
  <c r="E77" i="10"/>
  <c r="E82" i="10"/>
  <c r="D94" i="10"/>
  <c r="D77" i="10"/>
  <c r="E83" i="10"/>
  <c r="E81" i="10"/>
  <c r="E88" i="10"/>
  <c r="D90" i="10"/>
  <c r="D81" i="10"/>
  <c r="E84" i="10"/>
  <c r="D97" i="10"/>
  <c r="E85" i="10"/>
  <c r="D91" i="10"/>
  <c r="D85" i="10"/>
  <c r="E86" i="10"/>
  <c r="D92" i="10"/>
  <c r="E80" i="10"/>
  <c r="E74" i="10"/>
  <c r="E75" i="10"/>
  <c r="E76" i="10"/>
  <c r="E78" i="10"/>
  <c r="E79" i="10"/>
  <c r="E89" i="10"/>
  <c r="E87" i="10"/>
  <c r="D80" i="10"/>
  <c r="D74" i="10"/>
  <c r="D75" i="10"/>
  <c r="D76" i="10"/>
  <c r="D78" i="10"/>
  <c r="D79" i="10"/>
  <c r="D89" i="10"/>
  <c r="E93" i="10"/>
  <c r="D95" i="10"/>
  <c r="D88" i="10"/>
  <c r="D82" i="10"/>
  <c r="D83" i="10"/>
  <c r="D84" i="10"/>
  <c r="D86" i="10"/>
  <c r="D87" i="10"/>
  <c r="D93" i="10"/>
  <c r="E96" i="10"/>
  <c r="E90" i="10"/>
  <c r="E91" i="10"/>
  <c r="E92" i="10"/>
  <c r="E94" i="10"/>
  <c r="E95" i="10"/>
  <c r="E97" i="10"/>
  <c r="D96" i="10"/>
  <c r="D87" i="9"/>
  <c r="E92" i="9"/>
  <c r="D80" i="9"/>
  <c r="D81" i="9"/>
  <c r="E74" i="9"/>
  <c r="D76" i="9"/>
  <c r="E87" i="9"/>
  <c r="D93" i="9"/>
  <c r="E75" i="9"/>
  <c r="D78" i="9"/>
  <c r="E81" i="9"/>
  <c r="D96" i="9"/>
  <c r="E76" i="9"/>
  <c r="D79" i="9"/>
  <c r="D90" i="9"/>
  <c r="D89" i="9"/>
  <c r="E78" i="9"/>
  <c r="D77" i="9"/>
  <c r="E96" i="9"/>
  <c r="E90" i="9"/>
  <c r="D92" i="9"/>
  <c r="E77" i="9"/>
  <c r="D88" i="9"/>
  <c r="D94" i="9"/>
  <c r="D82" i="9"/>
  <c r="E79" i="9"/>
  <c r="D91" i="9"/>
  <c r="E91" i="9"/>
  <c r="E89" i="9"/>
  <c r="E88" i="9"/>
  <c r="D83" i="9"/>
  <c r="E94" i="9"/>
  <c r="D85" i="9"/>
  <c r="E82" i="9"/>
  <c r="D84" i="9"/>
  <c r="E95" i="9"/>
  <c r="E97" i="9"/>
  <c r="E83" i="9"/>
  <c r="D86" i="9"/>
  <c r="E85" i="9"/>
  <c r="D74" i="9"/>
  <c r="E84" i="9"/>
  <c r="E80" i="9"/>
  <c r="D75" i="9"/>
  <c r="E86" i="9"/>
  <c r="E93" i="9"/>
  <c r="D97" i="9"/>
  <c r="D95" i="9"/>
  <c r="E8" i="20"/>
  <c r="D8" i="20"/>
  <c r="D9" i="20"/>
  <c r="E9" i="20"/>
  <c r="E8" i="28"/>
  <c r="D8" i="28"/>
  <c r="E9" i="28"/>
  <c r="D9" i="28"/>
  <c r="E8" i="26"/>
  <c r="D8" i="26"/>
  <c r="D9" i="26"/>
  <c r="E9" i="26"/>
  <c r="AB44" i="1" l="1"/>
  <c r="AN14" i="1"/>
  <c r="AC47" i="4"/>
  <c r="Z47" i="4"/>
  <c r="AC66" i="4"/>
  <c r="AD52" i="4"/>
  <c r="Z46" i="8"/>
  <c r="AC46" i="8"/>
  <c r="AD46" i="8" s="1"/>
  <c r="AC39" i="4"/>
  <c r="AD39" i="4" s="1"/>
  <c r="Z39" i="4"/>
  <c r="AD35" i="4"/>
  <c r="AM44" i="1"/>
  <c r="AC43" i="4"/>
  <c r="AD43" i="4" s="1"/>
  <c r="Z43" i="4"/>
  <c r="CA43" i="1"/>
  <c r="AC61" i="4"/>
  <c r="AD61" i="4" s="1"/>
  <c r="Z61" i="4"/>
  <c r="AD51" i="4"/>
  <c r="BZ38" i="1"/>
  <c r="BZ43" i="1"/>
  <c r="BQ43" i="1"/>
  <c r="BQ44" i="1" s="1"/>
  <c r="BQ38" i="1"/>
  <c r="W43" i="1"/>
  <c r="W44" i="1" s="1"/>
  <c r="W38" i="1"/>
  <c r="E79" i="4"/>
  <c r="AC33" i="4"/>
  <c r="AD33" i="4" s="1"/>
  <c r="Z33" i="4"/>
  <c r="Z74" i="4"/>
  <c r="AP38" i="1"/>
  <c r="AP43" i="1"/>
  <c r="BY38" i="1"/>
  <c r="BY43" i="1"/>
  <c r="BY44" i="1" s="1"/>
  <c r="AK44" i="1"/>
  <c r="BK44" i="1"/>
  <c r="AC77" i="4"/>
  <c r="AD77" i="4" s="1"/>
  <c r="Z77" i="4"/>
  <c r="Z70" i="8"/>
  <c r="AC70" i="8"/>
  <c r="AD70" i="8" s="1"/>
  <c r="Z67" i="8"/>
  <c r="AC67" i="8"/>
  <c r="AD67" i="8" s="1"/>
  <c r="AC73" i="8"/>
  <c r="AD73" i="8" s="1"/>
  <c r="Z73" i="8"/>
  <c r="AC59" i="4"/>
  <c r="AD72" i="4" s="1"/>
  <c r="Z59" i="4"/>
  <c r="Z63" i="4"/>
  <c r="AC63" i="4"/>
  <c r="AD63" i="4" s="1"/>
  <c r="AD55" i="8"/>
  <c r="Y66" i="4"/>
  <c r="Z66" i="4" s="1"/>
  <c r="AC55" i="4"/>
  <c r="AD55" i="4" s="1"/>
  <c r="Z55" i="4"/>
  <c r="CA14" i="1"/>
  <c r="AD62" i="4"/>
  <c r="BE43" i="1"/>
  <c r="BE44" i="1" s="1"/>
  <c r="BE38" i="1"/>
  <c r="AW43" i="1"/>
  <c r="AW44" i="1" s="1"/>
  <c r="AW38" i="1"/>
  <c r="BB38" i="1"/>
  <c r="BN37" i="1"/>
  <c r="BN38" i="1" s="1"/>
  <c r="BB43" i="1"/>
  <c r="BW44" i="1"/>
  <c r="V43" i="1"/>
  <c r="V44" i="1" s="1"/>
  <c r="V38" i="1"/>
  <c r="AC25" i="8"/>
  <c r="AD25" i="8" s="1"/>
  <c r="Z25" i="8"/>
  <c r="AD38" i="1"/>
  <c r="AD43" i="1"/>
  <c r="AD52" i="8"/>
  <c r="Z15" i="4"/>
  <c r="AC2" i="4"/>
  <c r="Z76" i="4"/>
  <c r="BM38" i="1"/>
  <c r="BM43" i="1"/>
  <c r="BM44" i="1" s="1"/>
  <c r="AD74" i="4"/>
  <c r="AC38" i="1"/>
  <c r="AC43" i="1"/>
  <c r="AC44" i="1" s="1"/>
  <c r="AN37" i="1"/>
  <c r="AN38" i="1" s="1"/>
  <c r="AY44" i="1"/>
  <c r="J40" i="4"/>
  <c r="Z71" i="4"/>
  <c r="AC71" i="4"/>
  <c r="BS43" i="1"/>
  <c r="BS44" i="1" s="1"/>
  <c r="BS38" i="1"/>
  <c r="AC61" i="8"/>
  <c r="Z61" i="8"/>
  <c r="BG43" i="1"/>
  <c r="BG44" i="1" s="1"/>
  <c r="BG38" i="1"/>
  <c r="AD68" i="4"/>
  <c r="BR43" i="1"/>
  <c r="BR38" i="1"/>
  <c r="AC27" i="4"/>
  <c r="AC40" i="4"/>
  <c r="AD40" i="4" s="1"/>
  <c r="AD28" i="4"/>
  <c r="J66" i="4"/>
  <c r="AD45" i="4"/>
  <c r="AQ44" i="1"/>
  <c r="AJ38" i="1"/>
  <c r="Z27" i="4"/>
  <c r="AG43" i="1"/>
  <c r="AG44" i="1" s="1"/>
  <c r="AG38" i="1"/>
  <c r="AS43" i="1"/>
  <c r="AS44" i="1" s="1"/>
  <c r="AS38" i="1"/>
  <c r="BI44" i="1"/>
  <c r="AC46" i="4"/>
  <c r="AD46" i="4" s="1"/>
  <c r="Z46" i="4"/>
  <c r="AC36" i="8"/>
  <c r="AD36" i="8" s="1"/>
  <c r="Z36" i="8"/>
  <c r="BC44" i="1"/>
  <c r="AU43" i="1"/>
  <c r="AU38" i="1"/>
  <c r="AD63" i="8"/>
  <c r="AQ38" i="1"/>
  <c r="AJ44" i="1"/>
  <c r="BA14" i="1"/>
  <c r="BN6" i="1"/>
  <c r="AC37" i="8"/>
  <c r="AD37" i="8" s="1"/>
  <c r="Z37" i="8"/>
  <c r="Y53" i="4"/>
  <c r="Z53" i="4" s="1"/>
  <c r="Z41" i="4"/>
  <c r="AC41" i="4"/>
  <c r="AD54" i="4" s="1"/>
  <c r="BF43" i="1"/>
  <c r="BF38" i="1"/>
  <c r="Z56" i="4"/>
  <c r="AC10" i="4"/>
  <c r="AD23" i="4" s="1"/>
  <c r="Z23" i="4"/>
  <c r="AC49" i="8"/>
  <c r="Z49" i="8"/>
  <c r="AI43" i="1"/>
  <c r="AI38" i="1"/>
  <c r="AT43" i="1"/>
  <c r="AT44" i="1" s="1"/>
  <c r="AT38" i="1"/>
  <c r="AD56" i="4"/>
  <c r="E40" i="4"/>
  <c r="Z72" i="4"/>
  <c r="Z58" i="8"/>
  <c r="AC58" i="8"/>
  <c r="Z14" i="8"/>
  <c r="AC2" i="8"/>
  <c r="AD14" i="8" s="1"/>
  <c r="AD64" i="8"/>
  <c r="AD67" i="4"/>
  <c r="AD48" i="8"/>
  <c r="AD16" i="4"/>
  <c r="Q38" i="1"/>
  <c r="Q43" i="1"/>
  <c r="AH43" i="1"/>
  <c r="AH38" i="1"/>
  <c r="AD29" i="4"/>
  <c r="U43" i="1"/>
  <c r="U44" i="1" s="1"/>
  <c r="U38" i="1"/>
  <c r="AF44" i="1"/>
  <c r="R38" i="1"/>
  <c r="R43" i="1"/>
  <c r="R44" i="1" s="1"/>
  <c r="AO38" i="1"/>
  <c r="BA37" i="1"/>
  <c r="BA38" i="1" s="1"/>
  <c r="AO43" i="1"/>
  <c r="BU44" i="1"/>
  <c r="Q44" i="1" l="1"/>
  <c r="AA43" i="1"/>
  <c r="AA44" i="1" s="1"/>
  <c r="AO44" i="1"/>
  <c r="BA43" i="1"/>
  <c r="AD61" i="8"/>
  <c r="BB44" i="1"/>
  <c r="BN43" i="1"/>
  <c r="BN44" i="1" s="1"/>
  <c r="AI44" i="1"/>
  <c r="AC14" i="4"/>
  <c r="AD27" i="4" s="1"/>
  <c r="BO44" i="1"/>
  <c r="AD66" i="4"/>
  <c r="AD71" i="4"/>
  <c r="AC79" i="4"/>
  <c r="AD79" i="4" s="1"/>
  <c r="AE44" i="1"/>
  <c r="AD49" i="8"/>
  <c r="AD15" i="4"/>
  <c r="AD47" i="4"/>
  <c r="AD60" i="4"/>
  <c r="AD44" i="1"/>
  <c r="CA44" i="1"/>
  <c r="AD59" i="4"/>
  <c r="AN43" i="1"/>
  <c r="AN44" i="1" s="1"/>
  <c r="AD58" i="8"/>
  <c r="BZ44" i="1"/>
  <c r="BR44" i="1"/>
  <c r="AD76" i="4"/>
  <c r="BJ44" i="1"/>
  <c r="AC53" i="4"/>
  <c r="AD53" i="4" s="1"/>
  <c r="AD41" i="4"/>
  <c r="AV44" i="1"/>
  <c r="AP44" i="1"/>
  <c r="BT44" i="1"/>
  <c r="Z79" i="4"/>
  <c r="AH44" i="1"/>
  <c r="BF44" i="1"/>
  <c r="AU44" i="1"/>
  <c r="BH44" i="1"/>
  <c r="CA38" i="1"/>
  <c r="BA44" i="1" l="1"/>
</calcChain>
</file>

<file path=xl/sharedStrings.xml><?xml version="1.0" encoding="utf-8"?>
<sst xmlns="http://schemas.openxmlformats.org/spreadsheetml/2006/main" count="679" uniqueCount="145">
  <si>
    <t>Маржинальность</t>
  </si>
  <si>
    <t>Расходы суммарно</t>
  </si>
  <si>
    <t>% прироста год к году</t>
  </si>
  <si>
    <t>Маркетинговые расходы</t>
  </si>
  <si>
    <t>Расходы на аренду</t>
  </si>
  <si>
    <t>Расходы на интернет и телефонию</t>
  </si>
  <si>
    <t>Транспортные расходы</t>
  </si>
  <si>
    <t>Офисные расходы</t>
  </si>
  <si>
    <t>Финансовые расходы</t>
  </si>
  <si>
    <t>EBITDA</t>
  </si>
  <si>
    <t>Налоги</t>
  </si>
  <si>
    <t>Чистая прибыль</t>
  </si>
  <si>
    <t>Выручка</t>
  </si>
  <si>
    <t>Себестоимость</t>
  </si>
  <si>
    <t>Валовая прибыль</t>
  </si>
  <si>
    <t>Расходы на ФОТ</t>
  </si>
  <si>
    <t>ИТОГ 2017</t>
  </si>
  <si>
    <t>ИТОГ 2018</t>
  </si>
  <si>
    <t>ИТОГ 2019</t>
  </si>
  <si>
    <t>ИТОГ 2020</t>
  </si>
  <si>
    <t>ИТОГ 2021</t>
  </si>
  <si>
    <t>ИТОГ 2022</t>
  </si>
  <si>
    <t>Row Labels</t>
  </si>
  <si>
    <t>Grand Total</t>
  </si>
  <si>
    <t xml:space="preserve">Месяц </t>
  </si>
  <si>
    <t>Sum of Выручка</t>
  </si>
  <si>
    <t>Sum of Валовая прибыль</t>
  </si>
  <si>
    <t>Sum of Расходы суммарно</t>
  </si>
  <si>
    <t>Sum of Чистая прибыль</t>
  </si>
  <si>
    <t>Sum of EBITDA</t>
  </si>
  <si>
    <t>Sum of Маржинальность</t>
  </si>
  <si>
    <t>Sum of Налоги</t>
  </si>
  <si>
    <t>Sum of Маркетинговые расходы</t>
  </si>
  <si>
    <t>Sum of Расходы на ФОТ</t>
  </si>
  <si>
    <t>Sum of Расходы на аренду</t>
  </si>
  <si>
    <t>Sum of Расходы на интернет и телефонию</t>
  </si>
  <si>
    <t>Sum of Транспортные расходы</t>
  </si>
  <si>
    <t>Sum of Офисные расходы</t>
  </si>
  <si>
    <t>Sum of Финансовые расходы</t>
  </si>
  <si>
    <t>Total Sum of Офисные расходы</t>
  </si>
  <si>
    <t>Total Sum of Расходы на интернет и телефонию</t>
  </si>
  <si>
    <t>Total Sum of Финансовые расходы</t>
  </si>
  <si>
    <t>Total Sum of Транспортные расходы</t>
  </si>
  <si>
    <t>Total Sum of Расходы на аренду</t>
  </si>
  <si>
    <t>Total Sum of Маркетинговые расходы</t>
  </si>
  <si>
    <t>Total Sum of Расходы на ФОТ</t>
  </si>
  <si>
    <t>Sum of % прироста год к году</t>
  </si>
  <si>
    <t>Sum of % прироста год к году13</t>
  </si>
  <si>
    <t>2017</t>
  </si>
  <si>
    <t>2018</t>
  </si>
  <si>
    <t>2019</t>
  </si>
  <si>
    <t>2020</t>
  </si>
  <si>
    <t>2021</t>
  </si>
  <si>
    <t>2022</t>
  </si>
  <si>
    <t>Forecast(Выручка)</t>
  </si>
  <si>
    <t>Lower Confidence Bound(Выручка)</t>
  </si>
  <si>
    <t>Upper Confidence Bound(Выручка)</t>
  </si>
  <si>
    <t>Forecast(Чистая прибыль)</t>
  </si>
  <si>
    <t>Lower Confidence Bound(Чистая прибыль)</t>
  </si>
  <si>
    <t>Upper Confidence Bound(Чистая прибыль)</t>
  </si>
  <si>
    <t>Jan</t>
  </si>
  <si>
    <t>Statistic</t>
  </si>
  <si>
    <t>Value</t>
  </si>
  <si>
    <t>Alpha</t>
  </si>
  <si>
    <t>Beta</t>
  </si>
  <si>
    <t>Gamma</t>
  </si>
  <si>
    <t>MASE</t>
  </si>
  <si>
    <t>SMAPE</t>
  </si>
  <si>
    <t>MAE</t>
  </si>
  <si>
    <t>RMSE</t>
  </si>
  <si>
    <t>Forecast(Расходы суммарно)</t>
  </si>
  <si>
    <t>Lower Confidence Bound(Расходы суммарно)</t>
  </si>
  <si>
    <t>Upper Confidence Bound(Расходы суммарно)</t>
  </si>
  <si>
    <t>Forecast(Валовая прибыль)</t>
  </si>
  <si>
    <t>Lower Confidence Bound(Валовая прибыль)</t>
  </si>
  <si>
    <t>Upper Confidence Bound(Валовая прибыль)</t>
  </si>
  <si>
    <t>Feb</t>
  </si>
  <si>
    <t>Mar</t>
  </si>
  <si>
    <t>Apr</t>
  </si>
  <si>
    <t>May</t>
  </si>
  <si>
    <t>Jun</t>
  </si>
  <si>
    <t>Jul</t>
  </si>
  <si>
    <t>Aug</t>
  </si>
  <si>
    <t>Sep</t>
  </si>
  <si>
    <t>Oct</t>
  </si>
  <si>
    <t>Nov</t>
  </si>
  <si>
    <t>Dec</t>
  </si>
  <si>
    <t>Sum of Field1</t>
  </si>
  <si>
    <t>Sum of Себестоимость</t>
  </si>
  <si>
    <t>Colors</t>
  </si>
  <si>
    <t>#0047B3</t>
  </si>
  <si>
    <t>black</t>
  </si>
  <si>
    <t>#B3B3B3</t>
  </si>
  <si>
    <t>#0080FF</t>
  </si>
  <si>
    <t>#CCFFFF</t>
  </si>
  <si>
    <t>#4A6666</t>
  </si>
  <si>
    <t>Average of Маржинальность</t>
  </si>
  <si>
    <t>Sum of Margin</t>
  </si>
  <si>
    <t>Timeline</t>
  </si>
  <si>
    <t>Values</t>
  </si>
  <si>
    <t>Forecast</t>
  </si>
  <si>
    <t>Lower Confidence Bound</t>
  </si>
  <si>
    <t>Upper Confidence Bound</t>
  </si>
  <si>
    <t>Sum</t>
  </si>
  <si>
    <t>Category</t>
  </si>
  <si>
    <t>ФОТ</t>
  </si>
  <si>
    <t>Маркетинг</t>
  </si>
  <si>
    <t>Aрендa</t>
  </si>
  <si>
    <t>Транспорт</t>
  </si>
  <si>
    <t>Интернет и Телефонию</t>
  </si>
  <si>
    <t xml:space="preserve">Не ФОТ </t>
  </si>
  <si>
    <t>Янв</t>
  </si>
  <si>
    <t>Фев</t>
  </si>
  <si>
    <t>Мар</t>
  </si>
  <si>
    <t>Апр</t>
  </si>
  <si>
    <t>Май</t>
  </si>
  <si>
    <t>Июн</t>
  </si>
  <si>
    <t>Июл</t>
  </si>
  <si>
    <t>Авг</t>
  </si>
  <si>
    <t>Сен</t>
  </si>
  <si>
    <t>Окт</t>
  </si>
  <si>
    <t>Ноя</t>
  </si>
  <si>
    <t>Дек</t>
  </si>
  <si>
    <t>x</t>
  </si>
  <si>
    <t>y</t>
  </si>
  <si>
    <t>Aренда</t>
  </si>
  <si>
    <t>Офисные рaсходы</t>
  </si>
  <si>
    <t>Интернет и Tелефон</t>
  </si>
  <si>
    <t>Нaлоги</t>
  </si>
  <si>
    <t>Tранспорт</t>
  </si>
  <si>
    <t>Фин. рaсходы</t>
  </si>
  <si>
    <t>Вaловая прибыль</t>
  </si>
  <si>
    <t>Выручкa</t>
  </si>
  <si>
    <t>Чистaя прибыль</t>
  </si>
  <si>
    <t>-</t>
  </si>
  <si>
    <t>Расходы</t>
  </si>
  <si>
    <t>Валовaя прибыль</t>
  </si>
  <si>
    <t>Расходы суммарнo</t>
  </si>
  <si>
    <t>Маржинaльность</t>
  </si>
  <si>
    <t>Forecast(Маржинальность)</t>
  </si>
  <si>
    <t>Lower Confidence Bound(Маржинальность)</t>
  </si>
  <si>
    <t>Upper Confidence Bound(Маржинальность)</t>
  </si>
  <si>
    <t>Forecast(Себестоимость)</t>
  </si>
  <si>
    <t>Lower Confidence Bound(Себестоимость)</t>
  </si>
  <si>
    <t>Upper Confidence Bound(Себестоимость)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</si>
</sst>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0\ &quot;₽&quot;"/>
    <numFmt numFmtId="165" formatCode="[$-409]mmm\-yy;@"/>
    <numFmt numFmtId="166" formatCode="#,##0\ [$₽-419]"/>
    <numFmt numFmtId="167" formatCode="#,##0.00\ [$₽-419]"/>
    <numFmt numFmtId="168" formatCode="[$-419]mmmm\ yyyy;@"/>
    <numFmt numFmtId="169" formatCode="[$-FC19]yyyy"/>
    <numFmt numFmtId="170" formatCode="[$-419]mmm\ yyyy;@"/>
    <numFmt numFmtId="172" formatCode="_-* #,##0\ [$₽-419]_-;\-* #,##0\ [$₽-419]_-;_-* &quot;-&quot;\ [$₽-419]_-;_-@_-"/>
    <numFmt numFmtId="173" formatCode="[&gt;999999]#,,&quot;M&quot;\ [$₽-419];#,&quot;K&quot;\ [$₽-419]"/>
    <numFmt numFmtId="174" formatCode="yyyy"/>
  </numFmts>
  <fonts count="3" x14ac:knownFonts="1">
    <font>
      <sz val="11"/>
      <color theme="1"/>
      <name val="Calibri"/>
      <family val="2"/>
      <charset val="204"/>
      <scheme val="minor"/>
    </font>
    <font>
      <b/>
      <sz val="11"/>
      <color theme="1"/>
      <name val="Calibri"/>
      <family val="2"/>
      <charset val="204"/>
      <scheme val="minor"/>
    </font>
    <font>
      <sz val="11"/>
      <color rgb="FFCCFFFF"/>
      <name val="Calibri"/>
      <family val="2"/>
      <charset val="204"/>
      <scheme val="minor"/>
    </font>
  </fonts>
  <fills count="12">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0047B3"/>
        <bgColor indexed="64"/>
      </patternFill>
    </fill>
    <fill>
      <patternFill patternType="solid">
        <fgColor theme="1"/>
        <bgColor indexed="64"/>
      </patternFill>
    </fill>
    <fill>
      <patternFill patternType="solid">
        <fgColor rgb="FFB3B3B3"/>
        <bgColor indexed="64"/>
      </patternFill>
    </fill>
    <fill>
      <patternFill patternType="solid">
        <fgColor rgb="FF0080FF"/>
        <bgColor indexed="64"/>
      </patternFill>
    </fill>
    <fill>
      <patternFill patternType="solid">
        <fgColor rgb="FFCCFFFF"/>
        <bgColor indexed="64"/>
      </patternFill>
    </fill>
    <fill>
      <patternFill patternType="solid">
        <fgColor rgb="FF4A6666"/>
        <bgColor indexed="64"/>
      </patternFill>
    </fill>
    <fill>
      <patternFill patternType="solid">
        <fgColor theme="4" tint="0.79998168889431442"/>
        <bgColor theme="4" tint="0.79998168889431442"/>
      </patternFill>
    </fill>
  </fills>
  <borders count="4">
    <border>
      <left/>
      <right/>
      <top/>
      <bottom/>
      <diagonal/>
    </border>
    <border>
      <left style="hair">
        <color auto="1"/>
      </left>
      <right style="hair">
        <color auto="1"/>
      </right>
      <top style="hair">
        <color auto="1"/>
      </top>
      <bottom style="hair">
        <color auto="1"/>
      </bottom>
      <diagonal/>
    </border>
    <border>
      <left style="hair">
        <color rgb="FFCCCCCC"/>
      </left>
      <right style="hair">
        <color rgb="FFCCCCCC"/>
      </right>
      <top style="hair">
        <color rgb="FFCCCCCC"/>
      </top>
      <bottom style="hair">
        <color rgb="FFCCCCCC"/>
      </bottom>
      <diagonal/>
    </border>
    <border>
      <left/>
      <right/>
      <top/>
      <bottom style="thin">
        <color theme="4" tint="0.39997558519241921"/>
      </bottom>
      <diagonal/>
    </border>
  </borders>
  <cellStyleXfs count="1">
    <xf numFmtId="0" fontId="0" fillId="0" borderId="0"/>
  </cellStyleXfs>
  <cellXfs count="75">
    <xf numFmtId="0" fontId="0" fillId="0" borderId="0" xfId="0"/>
    <xf numFmtId="0" fontId="1" fillId="0" borderId="0" xfId="0" applyFont="1"/>
    <xf numFmtId="0" fontId="0" fillId="0" borderId="0" xfId="0" applyFont="1"/>
    <xf numFmtId="164" fontId="1" fillId="2" borderId="1" xfId="0" applyNumberFormat="1" applyFont="1" applyFill="1" applyBorder="1"/>
    <xf numFmtId="164" fontId="1" fillId="2" borderId="1" xfId="0" applyNumberFormat="1" applyFont="1" applyFill="1" applyBorder="1" applyAlignment="1">
      <alignment horizontal="right" wrapText="1"/>
    </xf>
    <xf numFmtId="0" fontId="0" fillId="0" borderId="1" xfId="0" applyFont="1" applyBorder="1"/>
    <xf numFmtId="10" fontId="1" fillId="0" borderId="0" xfId="0" applyNumberFormat="1" applyFont="1"/>
    <xf numFmtId="164" fontId="1" fillId="2" borderId="1" xfId="0" applyNumberFormat="1" applyFont="1" applyFill="1" applyBorder="1" applyAlignment="1">
      <alignment horizontal="right"/>
    </xf>
    <xf numFmtId="0" fontId="0" fillId="0" borderId="1" xfId="0" applyFont="1" applyBorder="1" applyAlignment="1">
      <alignment horizontal="right"/>
    </xf>
    <xf numFmtId="10" fontId="1" fillId="0" borderId="0" xfId="0" applyNumberFormat="1" applyFont="1" applyAlignment="1">
      <alignment horizontal="right"/>
    </xf>
    <xf numFmtId="10" fontId="0" fillId="0" borderId="1" xfId="0" applyNumberFormat="1" applyFont="1" applyBorder="1" applyAlignment="1">
      <alignment horizontal="right"/>
    </xf>
    <xf numFmtId="10" fontId="0" fillId="0" borderId="1" xfId="0" applyNumberFormat="1" applyFont="1" applyBorder="1"/>
    <xf numFmtId="164" fontId="0" fillId="2" borderId="2" xfId="0" applyNumberFormat="1" applyFont="1" applyFill="1" applyBorder="1" applyAlignment="1">
      <alignment horizontal="right"/>
    </xf>
    <xf numFmtId="17" fontId="0" fillId="0" borderId="0" xfId="0" applyNumberFormat="1" applyFont="1" applyAlignment="1">
      <alignment horizontal="right"/>
    </xf>
    <xf numFmtId="0" fontId="0" fillId="0" borderId="0" xfId="0" applyFont="1" applyAlignment="1">
      <alignment horizontal="right"/>
    </xf>
    <xf numFmtId="10" fontId="0" fillId="0" borderId="0" xfId="0" applyNumberFormat="1" applyFont="1"/>
    <xf numFmtId="10" fontId="0" fillId="0" borderId="0" xfId="0" applyNumberFormat="1" applyFont="1" applyAlignment="1">
      <alignment horizontal="right"/>
    </xf>
    <xf numFmtId="10" fontId="0" fillId="0" borderId="2" xfId="0" applyNumberFormat="1" applyFont="1" applyBorder="1" applyAlignment="1">
      <alignment horizontal="right"/>
    </xf>
    <xf numFmtId="164" fontId="1" fillId="2" borderId="2" xfId="0" applyNumberFormat="1" applyFont="1" applyFill="1" applyBorder="1" applyAlignment="1">
      <alignment horizontal="right" wrapText="1"/>
    </xf>
    <xf numFmtId="164" fontId="1" fillId="2" borderId="2" xfId="0" applyNumberFormat="1" applyFont="1" applyFill="1" applyBorder="1" applyAlignment="1">
      <alignment horizontal="right"/>
    </xf>
    <xf numFmtId="10" fontId="0" fillId="2" borderId="2" xfId="0" applyNumberFormat="1" applyFont="1" applyFill="1" applyBorder="1" applyAlignment="1">
      <alignment horizontal="right"/>
    </xf>
    <xf numFmtId="164" fontId="1" fillId="0" borderId="0" xfId="0" applyNumberFormat="1" applyFont="1" applyAlignment="1">
      <alignment horizontal="right"/>
    </xf>
    <xf numFmtId="17" fontId="0" fillId="3" borderId="0" xfId="0" applyNumberFormat="1" applyFont="1" applyFill="1" applyAlignment="1">
      <alignment horizontal="right"/>
    </xf>
    <xf numFmtId="164" fontId="1" fillId="3" borderId="1" xfId="0" applyNumberFormat="1" applyFont="1" applyFill="1" applyBorder="1" applyAlignment="1">
      <alignment horizontal="right" wrapText="1"/>
    </xf>
    <xf numFmtId="10" fontId="0" fillId="3" borderId="1" xfId="0" applyNumberFormat="1" applyFont="1" applyFill="1" applyBorder="1" applyAlignment="1">
      <alignment horizontal="right"/>
    </xf>
    <xf numFmtId="0" fontId="0" fillId="3" borderId="1" xfId="0" applyFont="1" applyFill="1" applyBorder="1" applyAlignment="1">
      <alignment horizontal="right"/>
    </xf>
    <xf numFmtId="164" fontId="1" fillId="3" borderId="1" xfId="0" applyNumberFormat="1" applyFont="1" applyFill="1" applyBorder="1" applyAlignment="1">
      <alignment horizontal="right"/>
    </xf>
    <xf numFmtId="10" fontId="0" fillId="3" borderId="0" xfId="0" applyNumberFormat="1" applyFont="1" applyFill="1" applyAlignment="1">
      <alignment horizontal="right"/>
    </xf>
    <xf numFmtId="10" fontId="1" fillId="3" borderId="0" xfId="0" applyNumberFormat="1" applyFont="1" applyFill="1" applyAlignment="1">
      <alignment horizontal="right"/>
    </xf>
    <xf numFmtId="164" fontId="1" fillId="3" borderId="0" xfId="0" applyNumberFormat="1" applyFont="1" applyFill="1" applyAlignment="1">
      <alignment horizontal="right"/>
    </xf>
    <xf numFmtId="164" fontId="1" fillId="3" borderId="2" xfId="0" applyNumberFormat="1" applyFont="1" applyFill="1" applyBorder="1" applyAlignment="1">
      <alignment horizontal="right" wrapText="1"/>
    </xf>
    <xf numFmtId="10" fontId="0" fillId="3" borderId="2" xfId="0" applyNumberFormat="1" applyFont="1" applyFill="1" applyBorder="1" applyAlignment="1">
      <alignment horizontal="right"/>
    </xf>
    <xf numFmtId="164" fontId="0" fillId="3" borderId="2" xfId="0" applyNumberFormat="1" applyFont="1" applyFill="1" applyBorder="1" applyAlignment="1">
      <alignment horizontal="right"/>
    </xf>
    <xf numFmtId="164" fontId="1" fillId="3" borderId="2" xfId="0" applyNumberFormat="1" applyFont="1" applyFill="1" applyBorder="1" applyAlignment="1">
      <alignment horizontal="right"/>
    </xf>
    <xf numFmtId="0" fontId="0" fillId="3" borderId="0" xfId="0" applyFont="1" applyFill="1" applyAlignment="1">
      <alignment horizontal="right"/>
    </xf>
    <xf numFmtId="0"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10" fontId="0" fillId="0" borderId="0" xfId="0" applyNumberFormat="1"/>
    <xf numFmtId="164" fontId="0" fillId="0" borderId="0" xfId="0" applyNumberFormat="1"/>
    <xf numFmtId="0" fontId="0" fillId="0" borderId="0" xfId="0" applyAlignment="1">
      <alignment horizontal="left" indent="1"/>
    </xf>
    <xf numFmtId="165" fontId="0" fillId="0" borderId="0" xfId="0" applyNumberFormat="1"/>
    <xf numFmtId="0" fontId="0" fillId="4" borderId="0" xfId="0" applyFill="1"/>
    <xf numFmtId="0" fontId="0" fillId="2" borderId="0" xfId="0" applyFill="1"/>
    <xf numFmtId="1" fontId="0" fillId="0" borderId="0" xfId="0" applyNumberFormat="1"/>
    <xf numFmtId="14" fontId="0" fillId="0" borderId="0" xfId="0" applyNumberFormat="1"/>
    <xf numFmtId="4" fontId="0" fillId="0" borderId="0" xfId="0" applyNumberFormat="1"/>
    <xf numFmtId="166" fontId="0" fillId="0" borderId="0" xfId="0" applyNumberFormat="1"/>
    <xf numFmtId="166" fontId="2" fillId="0" borderId="0" xfId="0" applyNumberFormat="1" applyFont="1"/>
    <xf numFmtId="167" fontId="0" fillId="0" borderId="0" xfId="0" applyNumberFormat="1"/>
    <xf numFmtId="165" fontId="0" fillId="0" borderId="0" xfId="0" applyNumberFormat="1" applyAlignment="1">
      <alignment horizontal="left"/>
    </xf>
    <xf numFmtId="165" fontId="0" fillId="0" borderId="0" xfId="0" applyNumberFormat="1" applyAlignment="1">
      <alignment horizontal="left" indent="1"/>
    </xf>
    <xf numFmtId="9" fontId="0" fillId="0" borderId="0" xfId="0" applyNumberFormat="1"/>
    <xf numFmtId="166" fontId="0" fillId="2" borderId="0" xfId="0" applyNumberFormat="1" applyFill="1"/>
    <xf numFmtId="0" fontId="0" fillId="5" borderId="0" xfId="0" applyFont="1" applyFill="1"/>
    <xf numFmtId="0" fontId="0" fillId="6" borderId="0" xfId="0" applyFont="1" applyFill="1"/>
    <xf numFmtId="0" fontId="0" fillId="7" borderId="0" xfId="0" applyFont="1" applyFill="1"/>
    <xf numFmtId="0" fontId="0" fillId="8" borderId="0" xfId="0" applyFont="1" applyFill="1"/>
    <xf numFmtId="0" fontId="0" fillId="9" borderId="0" xfId="0" applyFont="1" applyFill="1"/>
    <xf numFmtId="0" fontId="0" fillId="10" borderId="0" xfId="0" applyFont="1" applyFill="1"/>
    <xf numFmtId="0" fontId="0" fillId="0" borderId="0" xfId="0" applyFont="1" applyAlignment="1">
      <alignment horizontal="center"/>
    </xf>
    <xf numFmtId="165" fontId="0" fillId="0" borderId="0" xfId="0" applyNumberFormat="1" applyFont="1" applyAlignment="1">
      <alignment horizontal="center"/>
    </xf>
    <xf numFmtId="17" fontId="0" fillId="3" borderId="0" xfId="0" applyNumberFormat="1" applyFont="1" applyFill="1" applyAlignment="1">
      <alignment horizontal="center"/>
    </xf>
    <xf numFmtId="0" fontId="0" fillId="3" borderId="0" xfId="0" applyFont="1" applyFill="1" applyAlignment="1">
      <alignment horizontal="center"/>
    </xf>
    <xf numFmtId="0" fontId="0" fillId="0" borderId="0" xfId="0" applyAlignment="1">
      <alignment horizontal="center"/>
    </xf>
    <xf numFmtId="14" fontId="0" fillId="0" borderId="0" xfId="0" applyNumberFormat="1" applyAlignment="1">
      <alignment horizontal="left" indent="1"/>
    </xf>
    <xf numFmtId="168" fontId="0" fillId="0" borderId="0" xfId="0" applyNumberFormat="1" applyFont="1" applyAlignment="1">
      <alignment horizontal="right"/>
    </xf>
    <xf numFmtId="168" fontId="0" fillId="0" borderId="0" xfId="0" applyNumberFormat="1" applyFont="1" applyAlignment="1">
      <alignment horizontal="center"/>
    </xf>
    <xf numFmtId="0" fontId="1" fillId="11" borderId="3" xfId="0" applyFont="1" applyFill="1" applyBorder="1"/>
    <xf numFmtId="169" fontId="0" fillId="0" borderId="0" xfId="0" applyNumberFormat="1"/>
    <xf numFmtId="170" fontId="0" fillId="0" borderId="0" xfId="0" applyNumberFormat="1"/>
    <xf numFmtId="172" fontId="0" fillId="0" borderId="0" xfId="0" applyNumberFormat="1"/>
    <xf numFmtId="173" fontId="0" fillId="0" borderId="0" xfId="0" applyNumberFormat="1"/>
    <xf numFmtId="174" fontId="0" fillId="0" borderId="0" xfId="0" applyNumberFormat="1"/>
  </cellXfs>
  <cellStyles count="1">
    <cellStyle name="Normal" xfId="0" builtinId="0"/>
  </cellStyles>
  <dxfs count="82">
    <dxf>
      <numFmt numFmtId="172" formatCode="_-* #,##0\ [$₽-419]_-;\-* #,##0\ [$₽-419]_-;_-* &quot;-&quot;\ [$₽-419]_-;_-@_-"/>
    </dxf>
    <dxf>
      <numFmt numFmtId="166" formatCode="#,##0\ [$₽-419]"/>
    </dxf>
    <dxf>
      <numFmt numFmtId="176" formatCode="[&gt;999999]#,,&quot;M&quot;\ [$₽-419];#,\ &quot;K&quot;\,\ [$₽-419]"/>
    </dxf>
    <dxf>
      <numFmt numFmtId="175" formatCode="[&gt;999999]#,,&quot;M&quot;;#,\ &quot;K&quot;\ [$₽]"/>
    </dxf>
    <dxf>
      <numFmt numFmtId="166" formatCode="#,##0\ [$₽-419]"/>
    </dxf>
    <dxf>
      <numFmt numFmtId="173" formatCode="[&gt;999999]#,,&quot;M&quot;\ [$₽-419];#,&quot;K&quot;\ [$₽-419]"/>
    </dxf>
    <dxf>
      <numFmt numFmtId="166" formatCode="#,##0\ [$₽-419]"/>
    </dxf>
    <dxf>
      <numFmt numFmtId="166" formatCode="#,##0\ [$₽-419]"/>
    </dxf>
    <dxf>
      <numFmt numFmtId="13" formatCode="0%"/>
    </dxf>
    <dxf>
      <numFmt numFmtId="171" formatCode="[$-419]mmmm;@"/>
    </dxf>
    <dxf>
      <numFmt numFmtId="166" formatCode="#,##0\ [$₽-419]"/>
    </dxf>
    <dxf>
      <numFmt numFmtId="166" formatCode="#,##0\ [$₽-419]"/>
    </dxf>
    <dxf>
      <numFmt numFmtId="166" formatCode="#,##0\ [$₽-419]"/>
    </dxf>
    <dxf>
      <numFmt numFmtId="166" formatCode="#,##0\ [$₽-419]"/>
    </dxf>
    <dxf>
      <numFmt numFmtId="166" formatCode="#,##0\ [$₽-419]"/>
    </dxf>
    <dxf>
      <numFmt numFmtId="166" formatCode="#,##0\ [$₽-419]"/>
    </dxf>
    <dxf>
      <numFmt numFmtId="166" formatCode="#,##0\ [$₽-419]"/>
    </dxf>
    <dxf>
      <numFmt numFmtId="166" formatCode="#,##0\ [$₽-419]"/>
    </dxf>
    <dxf>
      <numFmt numFmtId="166" formatCode="#,##0\ [$₽-419]"/>
    </dxf>
    <dxf>
      <numFmt numFmtId="166" formatCode="#,##0\ [$₽-419]"/>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numFmt numFmtId="166" formatCode="#,##0\ [$₽-419]"/>
    </dxf>
    <dxf>
      <font>
        <color rgb="FFCCFFFF"/>
      </font>
    </dxf>
    <dxf>
      <numFmt numFmtId="13" formatCode="0%"/>
    </dxf>
    <dxf>
      <numFmt numFmtId="167" formatCode="#,##0.00\ [$₽-419]"/>
    </dxf>
    <dxf>
      <numFmt numFmtId="19" formatCode="m/d/yyyy"/>
    </dxf>
    <dxf>
      <numFmt numFmtId="164" formatCode="#,##0.00\ &quot;₽&quot;"/>
    </dxf>
    <dxf>
      <numFmt numFmtId="164" formatCode="#,##0.00\ &quot;₽&quot;"/>
    </dxf>
    <dxf>
      <numFmt numFmtId="164" formatCode="#,##0.00\ &quot;₽&quot;"/>
    </dxf>
    <dxf>
      <numFmt numFmtId="164" formatCode="#,##0.00\ &quot;₽&quot;"/>
    </dxf>
    <dxf>
      <numFmt numFmtId="174" formatCode="yyyy"/>
    </dxf>
    <dxf>
      <numFmt numFmtId="14" formatCode="0.00%"/>
    </dxf>
    <dxf>
      <numFmt numFmtId="14" formatCode="0.00%"/>
    </dxf>
    <dxf>
      <numFmt numFmtId="14" formatCode="0.00%"/>
    </dxf>
    <dxf>
      <numFmt numFmtId="14" formatCode="0.00%"/>
    </dxf>
    <dxf>
      <numFmt numFmtId="174" formatCode="yyyy"/>
    </dxf>
    <dxf>
      <numFmt numFmtId="4" formatCode="#,##0.00"/>
    </dxf>
    <dxf>
      <numFmt numFmtId="164" formatCode="#,##0.00\ &quot;₽&quot;"/>
    </dxf>
    <dxf>
      <numFmt numFmtId="164" formatCode="#,##0.00\ &quot;₽&quot;"/>
    </dxf>
    <dxf>
      <numFmt numFmtId="164" formatCode="#,##0.00\ &quot;₽&quot;"/>
    </dxf>
    <dxf>
      <numFmt numFmtId="164" formatCode="#,##0.00\ &quot;₽&quot;"/>
    </dxf>
    <dxf>
      <numFmt numFmtId="169" formatCode="[$-FC19]yyyy"/>
    </dxf>
    <dxf>
      <numFmt numFmtId="164" formatCode="#,##0.00\ &quot;₽&quot;"/>
    </dxf>
    <dxf>
      <numFmt numFmtId="164" formatCode="#,##0.00\ &quot;₽&quot;"/>
    </dxf>
    <dxf>
      <numFmt numFmtId="164" formatCode="#,##0.00\ &quot;₽&quot;"/>
    </dxf>
    <dxf>
      <numFmt numFmtId="19" formatCode="m/d/yyyy"/>
    </dxf>
    <dxf>
      <numFmt numFmtId="4" formatCode="#,##0.00"/>
    </dxf>
    <dxf>
      <numFmt numFmtId="164" formatCode="#,##0.00\ &quot;₽&quot;"/>
    </dxf>
    <dxf>
      <numFmt numFmtId="164" formatCode="#,##0.00\ &quot;₽&quot;"/>
    </dxf>
    <dxf>
      <numFmt numFmtId="164" formatCode="#,##0.00\ &quot;₽&quot;"/>
    </dxf>
    <dxf>
      <numFmt numFmtId="164" formatCode="#,##0.00\ &quot;₽&quot;"/>
    </dxf>
    <dxf>
      <numFmt numFmtId="19" formatCode="m/d/yyyy"/>
    </dxf>
    <dxf>
      <numFmt numFmtId="164" formatCode="#,##0.00\ &quot;₽&quot;"/>
    </dxf>
    <dxf>
      <numFmt numFmtId="164" formatCode="#,##0.00\ &quot;₽&quot;"/>
    </dxf>
    <dxf>
      <numFmt numFmtId="164" formatCode="#,##0.00\ &quot;₽&quot;"/>
    </dxf>
    <dxf>
      <numFmt numFmtId="164" formatCode="#,##0.00\ &quot;₽&quot;"/>
    </dxf>
    <dxf>
      <numFmt numFmtId="19" formatCode="m/d/yyyy"/>
    </dxf>
    <dxf>
      <numFmt numFmtId="4" formatCode="#,##0.00"/>
    </dxf>
    <dxf>
      <numFmt numFmtId="164" formatCode="#,##0.00\ &quot;₽&quot;"/>
    </dxf>
    <dxf>
      <numFmt numFmtId="164" formatCode="#,##0.00\ &quot;₽&quot;"/>
    </dxf>
    <dxf>
      <numFmt numFmtId="164" formatCode="#,##0.00\ &quot;₽&quot;"/>
    </dxf>
    <dxf>
      <numFmt numFmtId="164" formatCode="#,##0.00\ &quot;₽&quot;"/>
    </dxf>
    <dxf>
      <numFmt numFmtId="19" formatCode="m/d/yyyy"/>
    </dxf>
    <dxf>
      <numFmt numFmtId="164" formatCode="#,##0.00\ &quot;₽&quot;"/>
    </dxf>
    <dxf>
      <numFmt numFmtId="164" formatCode="#,##0.00\ &quot;₽&quot;"/>
    </dxf>
    <dxf>
      <numFmt numFmtId="164" formatCode="#,##0.00\ &quot;₽&quot;"/>
    </dxf>
    <dxf>
      <numFmt numFmtId="165" formatCode="[$-409]mmm\-yy;@"/>
    </dxf>
    <dxf>
      <numFmt numFmtId="164" formatCode="#,##0.00\ &quot;₽&quot;"/>
    </dxf>
    <dxf>
      <numFmt numFmtId="164" formatCode="#,##0.00\ &quot;₽&quot;"/>
    </dxf>
    <dxf>
      <numFmt numFmtId="164" formatCode="#,##0.00\ &quot;₽&quot;"/>
    </dxf>
    <dxf>
      <numFmt numFmtId="170" formatCode="[$-419]mmm\ yyyy;@"/>
    </dxf>
    <dxf>
      <fill>
        <patternFill patternType="none">
          <fgColor auto="1"/>
          <bgColor auto="1"/>
        </patternFill>
      </fill>
      <border diagonalUp="0" diagonalDown="0">
        <left/>
        <right/>
        <top/>
        <bottom/>
        <vertical/>
        <horizontal/>
      </border>
    </dxf>
    <dxf>
      <font>
        <b/>
        <i val="0"/>
        <strike val="0"/>
        <sz val="14"/>
        <color rgb="FFCCFFFF"/>
        <name val="Calibri"/>
        <family val="2"/>
        <charset val="204"/>
        <scheme val="minor"/>
      </font>
      <fill>
        <patternFill patternType="solid">
          <bgColor rgb="FF0047B3"/>
        </patternFill>
      </fill>
      <border diagonalUp="0" diagonalDown="0">
        <left/>
        <right/>
        <top/>
        <bottom/>
        <vertical/>
        <horizontal/>
      </border>
    </dxf>
  </dxfs>
  <tableStyles count="1" defaultTableStyle="TableStyleMedium2" defaultPivotStyle="PivotStyleLight16">
    <tableStyle name="Ecvols Slicer" pivot="0" table="0" count="6" xr9:uid="{2A9F9F15-8FE3-4A93-85F7-39CB5E42A932}">
      <tableStyleElement type="wholeTable" dxfId="81"/>
      <tableStyleElement type="headerRow" dxfId="80"/>
    </tableStyle>
  </tableStyles>
  <colors>
    <mruColors>
      <color rgb="FFCCFFFF"/>
      <color rgb="FF4A6666"/>
      <color rgb="FFB3B3B3"/>
      <color rgb="FF0047B3"/>
      <color rgb="FF0080FF"/>
      <color rgb="FFFFFFFF"/>
      <color rgb="FFFF0000"/>
      <color rgb="FFCDF3FF"/>
    </mruColors>
  </colors>
  <extLst>
    <ext xmlns:x14="http://schemas.microsoft.com/office/spreadsheetml/2009/9/main" uri="{46F421CA-312F-682f-3DD2-61675219B42D}">
      <x14:dxfs count="4">
        <dxf>
          <fill>
            <patternFill>
              <bgColor rgb="FFB3B3B3"/>
            </patternFill>
          </fill>
        </dxf>
        <dxf>
          <fill>
            <patternFill>
              <bgColor rgb="FFB3B3B3"/>
            </patternFill>
          </fill>
        </dxf>
        <dxf>
          <fill>
            <patternFill patternType="solid">
              <fgColor auto="1"/>
              <bgColor rgb="FF0080FF"/>
            </patternFill>
          </fill>
        </dxf>
        <dxf>
          <fill>
            <patternFill>
              <bgColor theme="1"/>
            </patternFill>
          </fill>
        </dxf>
      </x14:dxfs>
    </ext>
    <ext xmlns:x14="http://schemas.microsoft.com/office/spreadsheetml/2009/9/main" uri="{EB79DEF2-80B8-43e5-95BD-54CBDDF9020C}">
      <x14:slicerStyles defaultSlicerStyle="SlicerStyleLight1">
        <x14:slicerStyle name="Ecvols Slicer">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5.xml"/><Relationship Id="rId30"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[Ecvols.xlsm]Pivot Tables 4!net profit</c:name>
    <c:fmtId val="2"/>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spPr>
          <a:solidFill>
            <a:srgbClr val="0080FF"/>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3"/>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4"/>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5"/>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6"/>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7"/>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8"/>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9"/>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0"/>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1"/>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2"/>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3"/>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4"/>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5"/>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6"/>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7"/>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8"/>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9"/>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0"/>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1"/>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2"/>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3"/>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4"/>
        <c:dLbl>
          <c:idx val="0"/>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5"/>
        <c:spPr>
          <a:ln w="15875" cmpd="sng">
            <a:solidFill>
              <a:srgbClr val="4A6666">
                <a:alpha val="56000"/>
              </a:srgbClr>
            </a:solidFill>
            <a:prstDash val="solid"/>
          </a:ln>
        </c:spPr>
        <c:marker>
          <c:symbol val="none"/>
        </c:marker>
        <c:dLbl>
          <c:idx val="0"/>
          <c:spPr>
            <a:noFill/>
            <a:ln>
              <a:noFill/>
            </a:ln>
            <a:effectLst/>
          </c:spPr>
          <c:txPr>
            <a:bodyPr wrap="square" lIns="38100" tIns="19050" rIns="38100" bIns="19050" anchor="ctr">
              <a:spAutoFit/>
            </a:bodyPr>
            <a:lstStyle/>
            <a:p>
              <a:pPr>
                <a:defRPr>
                  <a:noFill/>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84719717297912E-2"/>
          <c:y val="0.25698238452970973"/>
          <c:w val="0.84759160691505742"/>
          <c:h val="0.67216418924813204"/>
        </c:manualLayout>
      </c:layout>
      <c:barChart>
        <c:barDir val="col"/>
        <c:grouping val="clustered"/>
        <c:varyColors val="0"/>
        <c:ser>
          <c:idx val="0"/>
          <c:order val="0"/>
          <c:tx>
            <c:strRef>
              <c:f>'Pivot Tables 4'!$H$25</c:f>
              <c:strCache>
                <c:ptCount val="1"/>
                <c:pt idx="0">
                  <c:v>Sum of Чистая прибыль</c:v>
                </c:pt>
              </c:strCache>
            </c:strRef>
          </c:tx>
          <c:spPr>
            <a:solidFill>
              <a:srgbClr val="0080FF"/>
            </a:soli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anchor="ctr" anchorCtr="1"/>
              <a:lstStyle/>
              <a:p>
                <a:pPr>
                  <a:defRPr sz="800" b="0" i="0" u="none" strike="noStrike" kern="1200" baseline="0">
                    <a:solidFill>
                      <a:srgbClr val="CCFF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'Pivot Tables 4'!$G$26:$G$39</c:f>
              <c:multiLvlStrCache>
                <c:ptCount val="12"/>
                <c:lvl>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lvl>
                <c:lvl>
                  <c:pt idx="0">
                    <c:v>2017</c:v>
                  </c:pt>
                </c:lvl>
              </c:multiLvlStrCache>
            </c:multiLvlStrRef>
          </c:cat>
          <c:val>
            <c:numRef>
              <c:f>'Pivot Tables 4'!$H$26:$H$39</c:f>
              <c:numCache>
                <c:formatCode>#,##0\ [$₽-419]</c:formatCode>
                <c:ptCount val="12"/>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a:outerShdw blurRad="57150" dist="19050" dir="5400000" algn="ctr" rotWithShape="0">
                      <a:srgbClr val="000000">
                        <a:alpha val="63000"/>
                      </a:srgbClr>
                    </a:outerShdw>
                  </a:effectLst>
                </c14:spPr>
              </c14:invertSolidFillFmt>
            </c:ext>
            <c:ext xmlns:c16="http://schemas.microsoft.com/office/drawing/2014/chart" uri="{C3380CC4-5D6E-409C-BE32-E72D297353CC}">
              <c16:uniqueId val="{00000000-1B5E-4028-B814-ED8A61C7F2CA}"/>
            </c:ext>
          </c:extLst>
        </c:ser>
        <c:dLbls>
          <c:showLegendKey val="0"/>
          <c:showVal val="0"/>
          <c:showCatName val="0"/>
          <c:showSerName val="0"/>
          <c:showPercent val="0"/>
          <c:showBubbleSize val="0"/>
        </c:dLbls>
        <c:gapWidth val="100"/>
        <c:axId val="1620656911"/>
        <c:axId val="1620658575"/>
      </c:barChart>
      <c:lineChart>
        <c:grouping val="standard"/>
        <c:varyColors val="0"/>
        <c:ser>
          <c:idx val="1"/>
          <c:order val="1"/>
          <c:tx>
            <c:strRef>
              <c:f>'Pivot Tables 4'!$I$25</c:f>
              <c:strCache>
                <c:ptCount val="1"/>
                <c:pt idx="0">
                  <c:v>Sum of Маржинальность</c:v>
                </c:pt>
              </c:strCache>
            </c:strRef>
          </c:tx>
          <c:spPr>
            <a:ln w="15875" cmpd="sng">
              <a:solidFill>
                <a:srgbClr val="4A6666">
                  <a:alpha val="56000"/>
                </a:srgbClr>
              </a:solidFill>
              <a:prstDash val="solid"/>
            </a:ln>
          </c:spPr>
          <c:marker>
            <c:symbol val="none"/>
          </c:marker>
          <c:dLbls>
            <c:spPr>
              <a:noFill/>
              <a:ln>
                <a:noFill/>
              </a:ln>
              <a:effectLst/>
            </c:spPr>
            <c:txPr>
              <a:bodyPr wrap="square" lIns="38100" tIns="19050" rIns="38100" bIns="19050" anchor="ctr">
                <a:spAutoFit/>
              </a:bodyPr>
              <a:lstStyle/>
              <a:p>
                <a:pPr>
                  <a:defRPr>
                    <a:no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'Pivot Tables 4'!$G$26:$G$39</c:f>
              <c:multiLvlStrCache>
                <c:ptCount val="12"/>
                <c:lvl>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lvl>
                <c:lvl>
                  <c:pt idx="0">
                    <c:v>2017</c:v>
                  </c:pt>
                </c:lvl>
              </c:multiLvlStrCache>
            </c:multiLvlStrRef>
          </c:cat>
          <c:val>
            <c:numRef>
              <c:f>'Pivot Tables 4'!$I$26:$I$39</c:f>
              <c:numCache>
                <c:formatCode>0%</c:formatCode>
                <c:ptCount val="12"/>
                <c:pt idx="0">
                  <c:v>0.43263455806371032</c:v>
                </c:pt>
                <c:pt idx="1">
                  <c:v>0.38825087051509349</c:v>
                </c:pt>
                <c:pt idx="2">
                  <c:v>0.45185212607043912</c:v>
                </c:pt>
                <c:pt idx="3">
                  <c:v>0.47258909237782515</c:v>
                </c:pt>
                <c:pt idx="4">
                  <c:v>0.52259083922726846</c:v>
                </c:pt>
                <c:pt idx="5">
                  <c:v>0.5402158507169128</c:v>
                </c:pt>
                <c:pt idx="6">
                  <c:v>0.54638345170128721</c:v>
                </c:pt>
                <c:pt idx="7">
                  <c:v>0.57914097597648551</c:v>
                </c:pt>
                <c:pt idx="8">
                  <c:v>0.55410900571361443</c:v>
                </c:pt>
                <c:pt idx="9">
                  <c:v>0.5630887532476293</c:v>
                </c:pt>
                <c:pt idx="10">
                  <c:v>0.54694260139584994</c:v>
                </c:pt>
                <c:pt idx="11">
                  <c:v>0.53314049018943932</c:v>
                </c:pt>
              </c:numCache>
            </c:numRef>
          </c:val>
          <c:smooth val="0"/>
          <c:extLst>
            <c:ext xmlns:c16="http://schemas.microsoft.com/office/drawing/2014/chart" uri="{C3380CC4-5D6E-409C-BE32-E72D297353CC}">
              <c16:uniqueId val="{00000001-CD99-4793-A7E3-B6628E11B4B1}"/>
            </c:ext>
          </c:extLst>
        </c:ser>
        <c:dLbls>
          <c:showLegendKey val="0"/>
          <c:showVal val="0"/>
          <c:showCatName val="0"/>
          <c:showSerName val="0"/>
          <c:showPercent val="0"/>
          <c:showBubbleSize val="0"/>
        </c:dLbls>
        <c:marker val="1"/>
        <c:smooth val="0"/>
        <c:axId val="1562787120"/>
        <c:axId val="1559122496"/>
      </c:lineChart>
      <c:catAx>
        <c:axId val="1620656911"/>
        <c:scaling>
          <c:orientation val="minMax"/>
        </c:scaling>
        <c:delete val="0"/>
        <c:axPos val="b"/>
        <c:numFmt formatCode="General" sourceLinked="1"/>
        <c:majorTickMark val="none"/>
        <c:minorTickMark val="none"/>
        <c:tickLblPos val="high"/>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620658575"/>
        <c:crosses val="autoZero"/>
        <c:auto val="1"/>
        <c:lblAlgn val="ctr"/>
        <c:lblOffset val="100"/>
        <c:noMultiLvlLbl val="0"/>
      </c:catAx>
      <c:valAx>
        <c:axId val="1620658575"/>
        <c:scaling>
          <c:orientation val="minMax"/>
        </c:scaling>
        <c:delete val="0"/>
        <c:axPos val="l"/>
        <c:numFmt formatCode="#,##0&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620656911"/>
        <c:crosses val="autoZero"/>
        <c:crossBetween val="between"/>
        <c:dispUnits>
          <c:builtInUnit val="millions"/>
        </c:dispUnits>
      </c:valAx>
      <c:valAx>
        <c:axId val="1559122496"/>
        <c:scaling>
          <c:orientation val="minMax"/>
        </c:scaling>
        <c:delete val="0"/>
        <c:axPos val="r"/>
        <c:title>
          <c:tx>
            <c:rich>
              <a:bodyPr/>
              <a:lstStyle/>
              <a:p>
                <a:pPr>
                  <a:defRPr>
                    <a:solidFill>
                      <a:srgbClr val="4A6666"/>
                    </a:solidFill>
                  </a:defRPr>
                </a:pPr>
                <a:r>
                  <a:rPr lang="ru-RU" sz="900" b="1" i="0" u="none" strike="noStrike" baseline="0">
                    <a:solidFill>
                      <a:srgbClr val="4A6666"/>
                    </a:solidFill>
                    <a:effectLst/>
                  </a:rPr>
                  <a:t>Маржинальность</a:t>
                </a:r>
                <a:endParaRPr lang="en-US">
                  <a:solidFill>
                    <a:srgbClr val="4A6666"/>
                  </a:solidFill>
                </a:endParaRPr>
              </a:p>
            </c:rich>
          </c:tx>
          <c:overlay val="0"/>
        </c:title>
        <c:numFmt formatCode="0%" sourceLinked="1"/>
        <c:majorTickMark val="out"/>
        <c:minorTickMark val="none"/>
        <c:tickLblPos val="nextTo"/>
        <c:txPr>
          <a:bodyPr/>
          <a:lstStyle/>
          <a:p>
            <a:pPr>
              <a:defRPr>
                <a:solidFill>
                  <a:srgbClr val="4A6666"/>
                </a:solidFill>
              </a:defRPr>
            </a:pPr>
            <a:endParaRPr lang="en-US"/>
          </a:p>
        </c:txPr>
        <c:crossAx val="1562787120"/>
        <c:crosses val="max"/>
        <c:crossBetween val="between"/>
      </c:valAx>
      <c:catAx>
        <c:axId val="1562787120"/>
        <c:scaling>
          <c:orientation val="minMax"/>
        </c:scaling>
        <c:delete val="1"/>
        <c:axPos val="b"/>
        <c:numFmt formatCode="General" sourceLinked="1"/>
        <c:majorTickMark val="out"/>
        <c:minorTickMark val="none"/>
        <c:tickLblPos val="nextTo"/>
        <c:crossAx val="155912249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rgbClr val="CC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[Ecvols.xlsm]Pivot Tables 4!expenses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4'!$L$24</c:f>
              <c:strCache>
                <c:ptCount val="1"/>
                <c:pt idx="0">
                  <c:v>Total</c:v>
                </c:pt>
              </c:strCache>
            </c:strRef>
          </c:tx>
          <c:spPr>
            <a:solidFill>
              <a:srgbClr val="0080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 4'!$K$25:$K$38</c:f>
              <c:multiLvlStrCache>
                <c:ptCount val="12"/>
                <c:lvl>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lvl>
                <c:lvl>
                  <c:pt idx="0">
                    <c:v>2017</c:v>
                  </c:pt>
                </c:lvl>
              </c:multiLvlStrCache>
            </c:multiLvlStrRef>
          </c:cat>
          <c:val>
            <c:numRef>
              <c:f>'Pivot Tables 4'!$L$25:$L$38</c:f>
              <c:numCache>
                <c:formatCode>#,##0\ [$₽-419]</c:formatCode>
                <c:ptCount val="12"/>
                <c:pt idx="0">
                  <c:v>2440127</c:v>
                </c:pt>
                <c:pt idx="1">
                  <c:v>3074358</c:v>
                </c:pt>
                <c:pt idx="2">
                  <c:v>3423016</c:v>
                </c:pt>
                <c:pt idx="3">
                  <c:v>4356975</c:v>
                </c:pt>
                <c:pt idx="4">
                  <c:v>4780952</c:v>
                </c:pt>
                <c:pt idx="5">
                  <c:v>5154070</c:v>
                </c:pt>
                <c:pt idx="6">
                  <c:v>4549423</c:v>
                </c:pt>
                <c:pt idx="7">
                  <c:v>5663979</c:v>
                </c:pt>
                <c:pt idx="8">
                  <c:v>5837142</c:v>
                </c:pt>
                <c:pt idx="9">
                  <c:v>6752826</c:v>
                </c:pt>
                <c:pt idx="10">
                  <c:v>5464864</c:v>
                </c:pt>
                <c:pt idx="11">
                  <c:v>6030316</c:v>
                </c:pt>
              </c:numCache>
            </c:numRef>
          </c:val>
          <c:extLst>
            <c:ext xmlns:c16="http://schemas.microsoft.com/office/drawing/2014/chart" uri="{C3380CC4-5D6E-409C-BE32-E72D297353CC}">
              <c16:uniqueId val="{00000000-89BE-4EA3-BEAC-5D2963111FCC}"/>
            </c:ext>
          </c:extLst>
        </c:ser>
        <c:dLbls>
          <c:showLegendKey val="0"/>
          <c:showVal val="0"/>
          <c:showCatName val="0"/>
          <c:showSerName val="0"/>
          <c:showPercent val="0"/>
          <c:showBubbleSize val="0"/>
        </c:dLbls>
        <c:gapWidth val="150"/>
        <c:axId val="1195191135"/>
        <c:axId val="1195192799"/>
      </c:barChart>
      <c:catAx>
        <c:axId val="1195191135"/>
        <c:scaling>
          <c:orientation val="minMax"/>
        </c:scaling>
        <c:delete val="0"/>
        <c:axPos val="b"/>
        <c:numFmt formatCode="General" sourceLinked="1"/>
        <c:majorTickMark val="none"/>
        <c:minorTickMark val="none"/>
        <c:tickLblPos val="high"/>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195192799"/>
        <c:crosses val="autoZero"/>
        <c:auto val="0"/>
        <c:lblAlgn val="ctr"/>
        <c:lblOffset val="100"/>
        <c:noMultiLvlLbl val="0"/>
      </c:catAx>
      <c:valAx>
        <c:axId val="1195192799"/>
        <c:scaling>
          <c:orientation val="minMax"/>
        </c:scaling>
        <c:delete val="0"/>
        <c:axPos val="l"/>
        <c:numFmt formatCode="#,##0&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195191135"/>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rgbClr val="CC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Tables!3yearlysums</c:name>
    <c:fmtId val="2"/>
  </c:pivotSource>
  <c:chart>
    <c:autoTitleDeleted val="0"/>
    <c:pivotFmts>
      <c:pivotFmt>
        <c:idx val="0"/>
        <c:spPr>
          <a:solidFill>
            <a:schemeClr val="accent1"/>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3B3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B3B3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7"/>
        <c:spPr>
          <a:solidFill>
            <a:srgbClr val="B3B3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0047B3"/>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8"/>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9"/>
        <c:spPr>
          <a:solidFill>
            <a:schemeClr val="accent1"/>
          </a:solidFill>
          <a:ln>
            <a:solidFill>
              <a:schemeClr val="accent1">
                <a:shade val="50000"/>
              </a:schemeClr>
            </a:solidFill>
          </a:ln>
          <a:effectLst/>
        </c:spPr>
        <c:dLbl>
          <c:idx val="0"/>
          <c:layout>
            <c:manualLayout>
              <c:x val="0.10603048376408217"/>
              <c:y val="-0.2407407407407407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CCFFFF"/>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0.27218025182239897"/>
                  <c:h val="0.11560185185185186"/>
                </c:manualLayout>
              </c15:layout>
            </c:ext>
          </c:extLst>
        </c:dLbl>
      </c:pivotFmt>
      <c:pivotFmt>
        <c:idx val="10"/>
        <c:spPr>
          <a:solidFill>
            <a:srgbClr val="B3B3B3"/>
          </a:solidFill>
          <a:ln>
            <a:noFill/>
          </a:ln>
          <a:effectLst/>
        </c:spPr>
        <c:dLbl>
          <c:idx val="0"/>
          <c:layout>
            <c:manualLayout>
              <c:x val="-0.1325381047051027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0047B3"/>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11"/>
        <c:spPr>
          <a:solidFill>
            <a:srgbClr val="CCFFFF"/>
          </a:solidFill>
          <a:ln>
            <a:noFill/>
          </a:ln>
          <a:effectLst/>
        </c:spPr>
        <c:dLbl>
          <c:idx val="0"/>
          <c:layout>
            <c:manualLayout>
              <c:x val="0.12591119946984758"/>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0.27950971337330349"/>
                  <c:h val="0.11560185185185186"/>
                </c:manualLayout>
              </c15:layout>
            </c:ext>
          </c:extLst>
        </c:dLbl>
      </c:pivotFmt>
    </c:pivotFmts>
    <c:plotArea>
      <c:layout>
        <c:manualLayout>
          <c:layoutTarget val="inner"/>
          <c:xMode val="edge"/>
          <c:yMode val="edge"/>
          <c:x val="9.5471870364030584E-2"/>
          <c:y val="5.0925925925925923E-2"/>
          <c:w val="0.87081575505402964"/>
          <c:h val="0.86482283464566934"/>
        </c:manualLayout>
      </c:layout>
      <c:areaChart>
        <c:grouping val="standard"/>
        <c:varyColors val="0"/>
        <c:ser>
          <c:idx val="0"/>
          <c:order val="0"/>
          <c:tx>
            <c:strRef>
              <c:f>'Pivot Tables'!$L$101</c:f>
              <c:strCache>
                <c:ptCount val="1"/>
                <c:pt idx="0">
                  <c:v>Вaловая прибыль</c:v>
                </c:pt>
              </c:strCache>
            </c:strRef>
          </c:tx>
          <c:spPr>
            <a:solidFill>
              <a:schemeClr val="accent1"/>
            </a:solidFill>
            <a:ln>
              <a:solidFill>
                <a:schemeClr val="accent1">
                  <a:shade val="50000"/>
                </a:schemeClr>
              </a:solidFill>
            </a:ln>
            <a:effectLst/>
          </c:spPr>
          <c:dPt>
            <c:idx val="0"/>
            <c:bubble3D val="0"/>
            <c:extLst>
              <c:ext xmlns:c16="http://schemas.microsoft.com/office/drawing/2014/chart" uri="{C3380CC4-5D6E-409C-BE32-E72D297353CC}">
                <c16:uniqueId val="{00000001-24D0-4AF0-A4DD-E438F2651F69}"/>
              </c:ext>
            </c:extLst>
          </c:dPt>
          <c:dLbls>
            <c:dLbl>
              <c:idx val="0"/>
              <c:layout>
                <c:manualLayout>
                  <c:x val="0.10603048376408217"/>
                  <c:y val="-0.2407407407407407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CCFFFF"/>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0.27218025182239897"/>
                      <c:h val="0.11560185185185186"/>
                    </c:manualLayout>
                  </c15:layout>
                </c:ext>
                <c:ext xmlns:c16="http://schemas.microsoft.com/office/drawing/2014/chart" uri="{C3380CC4-5D6E-409C-BE32-E72D297353CC}">
                  <c16:uniqueId val="{00000001-24D0-4AF0-A4DD-E438F2651F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'Pivot Tables'!$K$102:$K$108</c:f>
              <c:strCache>
                <c:ptCount val="6"/>
                <c:pt idx="0">
                  <c:v>2017</c:v>
                </c:pt>
                <c:pt idx="1">
                  <c:v>2018</c:v>
                </c:pt>
                <c:pt idx="2">
                  <c:v>2019</c:v>
                </c:pt>
                <c:pt idx="3">
                  <c:v>2020</c:v>
                </c:pt>
                <c:pt idx="4">
                  <c:v>2021</c:v>
                </c:pt>
                <c:pt idx="5">
                  <c:v>2022</c:v>
                </c:pt>
              </c:strCache>
            </c:strRef>
          </c:cat>
          <c:val>
            <c:numRef>
              <c:f>'Pivot Tables'!$L$102:$L$108</c:f>
              <c:numCache>
                <c:formatCode>General</c:formatCode>
                <c:ptCount val="6"/>
                <c:pt idx="0">
                  <c:v>72988025</c:v>
                </c:pt>
                <c:pt idx="1">
                  <c:v>86410258</c:v>
                </c:pt>
                <c:pt idx="2">
                  <c:v>74310679.280000001</c:v>
                </c:pt>
                <c:pt idx="3">
                  <c:v>76537656.799999997</c:v>
                </c:pt>
                <c:pt idx="4">
                  <c:v>79264162.280000001</c:v>
                </c:pt>
                <c:pt idx="5">
                  <c:v>91209812.379999995</c:v>
                </c:pt>
              </c:numCache>
            </c:numRef>
          </c:val>
          <c:extLst>
            <c:ext xmlns:c16="http://schemas.microsoft.com/office/drawing/2014/chart" uri="{C3380CC4-5D6E-409C-BE32-E72D297353CC}">
              <c16:uniqueId val="{00000000-423D-4447-9D9B-7426A68DE83B}"/>
            </c:ext>
          </c:extLst>
        </c:ser>
        <c:ser>
          <c:idx val="1"/>
          <c:order val="1"/>
          <c:tx>
            <c:strRef>
              <c:f>'Pivot Tables'!$M$101</c:f>
              <c:strCache>
                <c:ptCount val="1"/>
                <c:pt idx="0">
                  <c:v>Расходы</c:v>
                </c:pt>
              </c:strCache>
            </c:strRef>
          </c:tx>
          <c:spPr>
            <a:solidFill>
              <a:srgbClr val="B3B3B3"/>
            </a:solidFill>
            <a:ln>
              <a:noFill/>
            </a:ln>
            <a:effectLst/>
          </c:spPr>
          <c:dPt>
            <c:idx val="0"/>
            <c:bubble3D val="0"/>
            <c:extLst>
              <c:ext xmlns:c16="http://schemas.microsoft.com/office/drawing/2014/chart" uri="{C3380CC4-5D6E-409C-BE32-E72D297353CC}">
                <c16:uniqueId val="{00000002-24D0-4AF0-A4DD-E438F2651F69}"/>
              </c:ext>
            </c:extLst>
          </c:dPt>
          <c:dLbls>
            <c:dLbl>
              <c:idx val="0"/>
              <c:layout>
                <c:manualLayout>
                  <c:x val="-0.13253810470510277"/>
                  <c:y val="-9.7222222222222224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24D0-4AF0-A4DD-E438F2651F69}"/>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0047B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'Pivot Tables'!$K$102:$K$108</c:f>
              <c:strCache>
                <c:ptCount val="6"/>
                <c:pt idx="0">
                  <c:v>2017</c:v>
                </c:pt>
                <c:pt idx="1">
                  <c:v>2018</c:v>
                </c:pt>
                <c:pt idx="2">
                  <c:v>2019</c:v>
                </c:pt>
                <c:pt idx="3">
                  <c:v>2020</c:v>
                </c:pt>
                <c:pt idx="4">
                  <c:v>2021</c:v>
                </c:pt>
                <c:pt idx="5">
                  <c:v>2022</c:v>
                </c:pt>
              </c:strCache>
            </c:strRef>
          </c:cat>
          <c:val>
            <c:numRef>
              <c:f>'Pivot Tables'!$M$102:$M$108</c:f>
              <c:numCache>
                <c:formatCode>General</c:formatCode>
                <c:ptCount val="6"/>
                <c:pt idx="0">
                  <c:v>57528048</c:v>
                </c:pt>
                <c:pt idx="1">
                  <c:v>66318441</c:v>
                </c:pt>
                <c:pt idx="2">
                  <c:v>60988545.950000003</c:v>
                </c:pt>
                <c:pt idx="3">
                  <c:v>54318636.109999999</c:v>
                </c:pt>
                <c:pt idx="4">
                  <c:v>60433232.150000006</c:v>
                </c:pt>
                <c:pt idx="5">
                  <c:v>64212223</c:v>
                </c:pt>
              </c:numCache>
            </c:numRef>
          </c:val>
          <c:extLst>
            <c:ext xmlns:c16="http://schemas.microsoft.com/office/drawing/2014/chart" uri="{C3380CC4-5D6E-409C-BE32-E72D297353CC}">
              <c16:uniqueId val="{00000001-423D-4447-9D9B-7426A68DE83B}"/>
            </c:ext>
          </c:extLst>
        </c:ser>
        <c:ser>
          <c:idx val="2"/>
          <c:order val="2"/>
          <c:tx>
            <c:strRef>
              <c:f>'Pivot Tables'!$N$101</c:f>
              <c:strCache>
                <c:ptCount val="1"/>
                <c:pt idx="0">
                  <c:v>Чистaя прибыль</c:v>
                </c:pt>
              </c:strCache>
            </c:strRef>
          </c:tx>
          <c:spPr>
            <a:solidFill>
              <a:srgbClr val="CCFFFF"/>
            </a:solidFill>
            <a:ln>
              <a:noFill/>
            </a:ln>
            <a:effectLst/>
          </c:spPr>
          <c:dPt>
            <c:idx val="0"/>
            <c:bubble3D val="0"/>
            <c:extLst>
              <c:ext xmlns:c16="http://schemas.microsoft.com/office/drawing/2014/chart" uri="{C3380CC4-5D6E-409C-BE32-E72D297353CC}">
                <c16:uniqueId val="{00000003-24D0-4AF0-A4DD-E438F2651F69}"/>
              </c:ext>
            </c:extLst>
          </c:dPt>
          <c:dLbls>
            <c:dLbl>
              <c:idx val="0"/>
              <c:layout>
                <c:manualLayout>
                  <c:x val="0.12591119946984758"/>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0.27950971337330349"/>
                      <c:h val="0.11560185185185186"/>
                    </c:manualLayout>
                  </c15:layout>
                </c:ext>
                <c:ext xmlns:c16="http://schemas.microsoft.com/office/drawing/2014/chart" uri="{C3380CC4-5D6E-409C-BE32-E72D297353CC}">
                  <c16:uniqueId val="{00000003-24D0-4AF0-A4DD-E438F2651F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'Pivot Tables'!$K$102:$K$108</c:f>
              <c:strCache>
                <c:ptCount val="6"/>
                <c:pt idx="0">
                  <c:v>2017</c:v>
                </c:pt>
                <c:pt idx="1">
                  <c:v>2018</c:v>
                </c:pt>
                <c:pt idx="2">
                  <c:v>2019</c:v>
                </c:pt>
                <c:pt idx="3">
                  <c:v>2020</c:v>
                </c:pt>
                <c:pt idx="4">
                  <c:v>2021</c:v>
                </c:pt>
                <c:pt idx="5">
                  <c:v>2022</c:v>
                </c:pt>
              </c:strCache>
            </c:strRef>
          </c:cat>
          <c:val>
            <c:numRef>
              <c:f>'Pivot Tables'!$N$102:$N$108</c:f>
              <c:numCache>
                <c:formatCode>General</c:formatCode>
                <c:ptCount val="6"/>
                <c:pt idx="0">
                  <c:v>10367015</c:v>
                </c:pt>
                <c:pt idx="1">
                  <c:v>13422428</c:v>
                </c:pt>
                <c:pt idx="2">
                  <c:v>6058308.3300000001</c:v>
                </c:pt>
                <c:pt idx="3">
                  <c:v>18605842.630000003</c:v>
                </c:pt>
                <c:pt idx="4">
                  <c:v>13085898.130000001</c:v>
                </c:pt>
                <c:pt idx="5">
                  <c:v>21192281.590000004</c:v>
                </c:pt>
              </c:numCache>
            </c:numRef>
          </c:val>
          <c:extLst>
            <c:ext xmlns:c16="http://schemas.microsoft.com/office/drawing/2014/chart" uri="{C3380CC4-5D6E-409C-BE32-E72D297353CC}">
              <c16:uniqueId val="{00000002-423D-4447-9D9B-7426A68DE83B}"/>
            </c:ext>
          </c:extLst>
        </c:ser>
        <c:dLbls>
          <c:showLegendKey val="0"/>
          <c:showVal val="0"/>
          <c:showCatName val="0"/>
          <c:showSerName val="0"/>
          <c:showPercent val="0"/>
          <c:showBubbleSize val="0"/>
        </c:dLbls>
        <c:axId val="1185233327"/>
        <c:axId val="1185246639"/>
      </c:areaChart>
      <c:catAx>
        <c:axId val="11852333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185246639"/>
        <c:crosses val="autoZero"/>
        <c:auto val="1"/>
        <c:lblAlgn val="ctr"/>
        <c:lblOffset val="100"/>
        <c:noMultiLvlLbl val="0"/>
      </c:catAx>
      <c:valAx>
        <c:axId val="1185246639"/>
        <c:scaling>
          <c:orientation val="minMax"/>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185233327"/>
        <c:crosses val="autoZero"/>
        <c:crossBetween val="midCat"/>
        <c:dispUnits>
          <c:builtInUnit val="millions"/>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6.9888037000409955E-4"/>
          <c:y val="0.15705322337666369"/>
          <c:w val="0.89111168709979727"/>
          <c:h val="0.76536613396698194"/>
        </c:manualLayout>
      </c:layout>
      <c:ofPieChart>
        <c:ofPieType val="bar"/>
        <c:varyColors val="1"/>
        <c:ser>
          <c:idx val="0"/>
          <c:order val="0"/>
          <c:dPt>
            <c:idx val="0"/>
            <c:bubble3D val="0"/>
            <c:spPr>
              <a:solidFill>
                <a:srgbClr val="B3B3B3"/>
              </a:solidFill>
              <a:ln w="19050">
                <a:solidFill>
                  <a:schemeClr val="lt1"/>
                </a:solidFill>
              </a:ln>
              <a:effectLst/>
            </c:spPr>
            <c:extLst>
              <c:ext xmlns:c16="http://schemas.microsoft.com/office/drawing/2014/chart" uri="{C3380CC4-5D6E-409C-BE32-E72D297353CC}">
                <c16:uniqueId val="{00000001-C9DB-4D3B-B50E-C8488B78D624}"/>
              </c:ext>
            </c:extLst>
          </c:dPt>
          <c:dPt>
            <c:idx val="1"/>
            <c:bubble3D val="0"/>
            <c:spPr>
              <a:solidFill>
                <a:schemeClr val="tx1"/>
              </a:solidFill>
              <a:ln w="19050">
                <a:solidFill>
                  <a:schemeClr val="lt1"/>
                </a:solidFill>
              </a:ln>
              <a:effectLst/>
            </c:spPr>
            <c:extLst>
              <c:ext xmlns:c16="http://schemas.microsoft.com/office/drawing/2014/chart" uri="{C3380CC4-5D6E-409C-BE32-E72D297353CC}">
                <c16:uniqueId val="{00000003-C9DB-4D3B-B50E-C8488B78D624}"/>
              </c:ext>
            </c:extLst>
          </c:dPt>
          <c:dPt>
            <c:idx val="2"/>
            <c:bubble3D val="0"/>
            <c:spPr>
              <a:solidFill>
                <a:srgbClr val="0047B3"/>
              </a:solidFill>
              <a:ln w="19050">
                <a:solidFill>
                  <a:schemeClr val="lt1"/>
                </a:solidFill>
              </a:ln>
              <a:effectLst/>
            </c:spPr>
            <c:extLst>
              <c:ext xmlns:c16="http://schemas.microsoft.com/office/drawing/2014/chart" uri="{C3380CC4-5D6E-409C-BE32-E72D297353CC}">
                <c16:uniqueId val="{00000005-C9DB-4D3B-B50E-C8488B78D624}"/>
              </c:ext>
            </c:extLst>
          </c:dPt>
          <c:dPt>
            <c:idx val="3"/>
            <c:bubble3D val="0"/>
            <c:spPr>
              <a:solidFill>
                <a:srgbClr val="0080FF"/>
              </a:solidFill>
              <a:ln w="19050">
                <a:solidFill>
                  <a:schemeClr val="lt1"/>
                </a:solidFill>
              </a:ln>
              <a:effectLst/>
            </c:spPr>
            <c:extLst>
              <c:ext xmlns:c16="http://schemas.microsoft.com/office/drawing/2014/chart" uri="{C3380CC4-5D6E-409C-BE32-E72D297353CC}">
                <c16:uniqueId val="{00000007-C9DB-4D3B-B50E-C8488B78D624}"/>
              </c:ext>
            </c:extLst>
          </c:dPt>
          <c:dPt>
            <c:idx val="4"/>
            <c:bubble3D val="0"/>
            <c:spPr>
              <a:solidFill>
                <a:srgbClr val="CCFFFF"/>
              </a:solidFill>
              <a:ln w="19050">
                <a:solidFill>
                  <a:schemeClr val="lt1"/>
                </a:solidFill>
              </a:ln>
              <a:effectLst/>
            </c:spPr>
            <c:extLst>
              <c:ext xmlns:c16="http://schemas.microsoft.com/office/drawing/2014/chart" uri="{C3380CC4-5D6E-409C-BE32-E72D297353CC}">
                <c16:uniqueId val="{00000009-C9DB-4D3B-B50E-C8488B78D624}"/>
              </c:ext>
            </c:extLst>
          </c:dPt>
          <c:dPt>
            <c:idx val="5"/>
            <c:bubble3D val="0"/>
            <c:spPr>
              <a:solidFill>
                <a:srgbClr val="B3B3B3"/>
              </a:solidFill>
              <a:ln w="19050">
                <a:solidFill>
                  <a:schemeClr val="lt1"/>
                </a:solidFill>
              </a:ln>
              <a:effectLst/>
            </c:spPr>
            <c:extLst>
              <c:ext xmlns:c16="http://schemas.microsoft.com/office/drawing/2014/chart" uri="{C3380CC4-5D6E-409C-BE32-E72D297353CC}">
                <c16:uniqueId val="{0000000B-C9DB-4D3B-B50E-C8488B78D624}"/>
              </c:ext>
            </c:extLst>
          </c:dPt>
          <c:dPt>
            <c:idx val="6"/>
            <c:bubble3D val="0"/>
            <c:spPr>
              <a:solidFill>
                <a:schemeClr val="bg1"/>
              </a:solidFill>
              <a:ln w="19050">
                <a:solidFill>
                  <a:schemeClr val="lt1"/>
                </a:solidFill>
              </a:ln>
              <a:effectLst/>
            </c:spPr>
            <c:extLst>
              <c:ext xmlns:c16="http://schemas.microsoft.com/office/drawing/2014/chart" uri="{C3380CC4-5D6E-409C-BE32-E72D297353CC}">
                <c16:uniqueId val="{0000000D-C9DB-4D3B-B50E-C8488B78D624}"/>
              </c:ext>
            </c:extLst>
          </c:dPt>
          <c:dPt>
            <c:idx val="7"/>
            <c:bubble3D val="0"/>
            <c:spPr>
              <a:solidFill>
                <a:srgbClr val="4A6666"/>
              </a:solidFill>
              <a:ln w="19050">
                <a:solidFill>
                  <a:schemeClr val="lt1"/>
                </a:solidFill>
              </a:ln>
              <a:effectLst/>
            </c:spPr>
            <c:extLst>
              <c:ext xmlns:c16="http://schemas.microsoft.com/office/drawing/2014/chart" uri="{C3380CC4-5D6E-409C-BE32-E72D297353CC}">
                <c16:uniqueId val="{0000000F-C9DB-4D3B-B50E-C8488B78D624}"/>
              </c:ext>
            </c:extLst>
          </c:dPt>
          <c:dLbls>
            <c:dLbl>
              <c:idx val="0"/>
              <c:layout>
                <c:manualLayout>
                  <c:x val="-1.9097153871391083E-2"/>
                  <c:y val="-4.3392504930966469E-2"/>
                </c:manualLayout>
              </c:layout>
              <c:numFmt formatCode="0%" sourceLinked="0"/>
              <c:spPr>
                <a:noFill/>
                <a:ln>
                  <a:noFill/>
                </a:ln>
                <a:effectLst/>
              </c:spPr>
              <c:txPr>
                <a:bodyPr rot="0" spcFirstLastPara="1" vertOverflow="overflow" horzOverflow="overflow" vert="horz" wrap="none" lIns="38100" tIns="0" rIns="91440" bIns="0" anchor="ctr" anchorCtr="0">
                  <a:noAutofit/>
                </a:bodyPr>
                <a:lstStyle/>
                <a:p>
                  <a:pPr algn="r">
                    <a:defRPr sz="2400" b="0" i="0" u="none" strike="noStrike" kern="1200" baseline="0">
                      <a:solidFill>
                        <a:srgbClr val="CCFFFF"/>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9.3663194444444431E-2"/>
                      <c:h val="0.11962229573374335"/>
                    </c:manualLayout>
                  </c15:layout>
                </c:ext>
                <c:ext xmlns:c16="http://schemas.microsoft.com/office/drawing/2014/chart" uri="{C3380CC4-5D6E-409C-BE32-E72D297353CC}">
                  <c16:uniqueId val="{00000001-C9DB-4D3B-B50E-C8488B78D624}"/>
                </c:ext>
              </c:extLst>
            </c:dLbl>
            <c:dLbl>
              <c:idx val="7"/>
              <c:delete val="1"/>
              <c:extLst>
                <c:ext xmlns:c15="http://schemas.microsoft.com/office/drawing/2012/chart" uri="{CE6537A1-D6FC-4f65-9D91-7224C49458BB}"/>
                <c:ext xmlns:c16="http://schemas.microsoft.com/office/drawing/2014/chart" uri="{C3380CC4-5D6E-409C-BE32-E72D297353CC}">
                  <c16:uniqueId val="{0000000F-C9DB-4D3B-B50E-C8488B78D624}"/>
                </c:ext>
              </c:extLst>
            </c:dLbl>
            <c:numFmt formatCode="0%" sourceLinked="0"/>
            <c:spPr>
              <a:noFill/>
              <a:ln>
                <a:noFill/>
              </a:ln>
              <a:effectLst/>
            </c:spPr>
            <c:txPr>
              <a:bodyPr rot="0" spcFirstLastPara="1" vertOverflow="overflow" horzOverflow="overflow" vert="horz" wrap="none" lIns="38100" tIns="0" rIns="91440" bIns="0" anchor="ctr" anchorCtr="0">
                <a:spAutoFit/>
              </a:bodyPr>
              <a:lstStyle/>
              <a:p>
                <a:pPr algn="r">
                  <a:defRPr sz="1200" b="0" i="0" u="none" strike="noStrike" kern="1200" baseline="0">
                    <a:solidFill>
                      <a:srgbClr val="CCFFFF"/>
                    </a:solidFill>
                    <a:latin typeface="+mn-lt"/>
                    <a:ea typeface="+mn-ea"/>
                    <a:cs typeface="+mn-cs"/>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'Pivot Tables'!$AN$9:$AN$15</c:f>
              <c:strCache>
                <c:ptCount val="7"/>
                <c:pt idx="0">
                  <c:v>ФОТ</c:v>
                </c:pt>
                <c:pt idx="1">
                  <c:v>Маркетинг</c:v>
                </c:pt>
                <c:pt idx="2">
                  <c:v>Aрендa</c:v>
                </c:pt>
                <c:pt idx="3">
                  <c:v>Транспорт</c:v>
                </c:pt>
                <c:pt idx="4">
                  <c:v>Интернет и Телефонию</c:v>
                </c:pt>
                <c:pt idx="5">
                  <c:v>Финансовые расходы</c:v>
                </c:pt>
                <c:pt idx="6">
                  <c:v>Офисные расходы</c:v>
                </c:pt>
              </c:strCache>
            </c:strRef>
          </c:cat>
          <c:val>
            <c:numRef>
              <c:f>'Pivot Tables'!$AO$9:$AO$15</c:f>
              <c:numCache>
                <c:formatCode>0</c:formatCode>
                <c:ptCount val="7"/>
                <c:pt idx="0">
                  <c:v>226135511.26999998</c:v>
                </c:pt>
                <c:pt idx="1">
                  <c:v>44528134.600000001</c:v>
                </c:pt>
                <c:pt idx="2">
                  <c:v>26903288.059999999</c:v>
                </c:pt>
                <c:pt idx="3">
                  <c:v>26224811.710000001</c:v>
                </c:pt>
                <c:pt idx="4">
                  <c:v>18166400.590000004</c:v>
                </c:pt>
                <c:pt idx="5">
                  <c:v>10979730.98</c:v>
                </c:pt>
                <c:pt idx="6">
                  <c:v>10861249</c:v>
                </c:pt>
              </c:numCache>
            </c:numRef>
          </c:val>
          <c:extLst>
            <c:ext xmlns:c16="http://schemas.microsoft.com/office/drawing/2014/chart" uri="{C3380CC4-5D6E-409C-BE32-E72D297353CC}">
              <c16:uniqueId val="{00000010-C9DB-4D3B-B50E-C8488B78D624}"/>
            </c:ext>
          </c:extLst>
        </c:ser>
        <c:dLbls>
          <c:showLegendKey val="0"/>
          <c:showVal val="0"/>
          <c:showCatName val="0"/>
          <c:showSerName val="0"/>
          <c:showPercent val="0"/>
          <c:showBubbleSize val="0"/>
          <c:showLeaderLines val="0"/>
        </c:dLbls>
        <c:gapWidth val="131"/>
        <c:splitType val="percent"/>
        <c:splitPos val="20"/>
        <c:secondPieSize val="81"/>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Tables!PivotTable7</c:name>
    <c:fmtId val="3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B3B3B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B3B3B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B3B3B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00B050"/>
            </a:solidFill>
            <a:round/>
          </a:ln>
          <a:effectLst/>
        </c:spPr>
        <c:marker>
          <c:symbol val="circle"/>
          <c:size val="10"/>
          <c:spPr>
            <a:solidFill>
              <a:srgbClr val="00B050"/>
            </a:solidFill>
            <a:ln w="9525">
              <a:solidFill>
                <a:srgbClr val="00B050"/>
              </a:solidFill>
            </a:ln>
            <a:effectLst/>
          </c:spPr>
        </c:marker>
        <c:dLbl>
          <c:idx val="0"/>
          <c:layout>
            <c:manualLayout>
              <c:x val="-1.1494251387423375E-2"/>
              <c:y val="-2.8368786405096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00B050"/>
            </a:solidFill>
            <a:round/>
          </a:ln>
          <a:effectLst/>
        </c:spPr>
        <c:marker>
          <c:symbol val="circle"/>
          <c:size val="10"/>
          <c:spPr>
            <a:solidFill>
              <a:srgbClr val="00B050"/>
            </a:solidFill>
            <a:ln w="9525">
              <a:solidFill>
                <a:srgbClr val="00B050"/>
              </a:solidFill>
            </a:ln>
            <a:effectLst/>
          </c:spPr>
        </c:marker>
        <c:dLbl>
          <c:idx val="0"/>
          <c:layout>
            <c:manualLayout>
              <c:x val="-1.3136287299912489E-2"/>
              <c:y val="2.8368786405096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circle"/>
          <c:size val="10"/>
          <c:spPr>
            <a:solidFill>
              <a:srgbClr val="00B050"/>
            </a:solidFill>
            <a:ln w="9525">
              <a:solidFill>
                <a:srgbClr val="00B050"/>
              </a:solidFill>
            </a:ln>
            <a:effectLst/>
          </c:spPr>
        </c:marker>
        <c:dLbl>
          <c:idx val="0"/>
          <c:layout>
            <c:manualLayout>
              <c:x val="-9.852215474934322E-3"/>
              <c:y val="-2.48226881044596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rgbClr val="00B050"/>
            </a:solidFill>
            <a:round/>
          </a:ln>
          <a:effectLst/>
        </c:spPr>
        <c:marker>
          <c:symbol val="circle"/>
          <c:size val="10"/>
          <c:spPr>
            <a:solidFill>
              <a:srgbClr val="00B050"/>
            </a:solidFill>
            <a:ln w="9525">
              <a:solidFill>
                <a:srgbClr val="00B050"/>
              </a:solidFill>
            </a:ln>
            <a:effectLst/>
          </c:spPr>
        </c:marker>
        <c:dLbl>
          <c:idx val="0"/>
          <c:layout>
            <c:manualLayout>
              <c:x val="-4.9261077374671607E-2"/>
              <c:y val="2.12765898038225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00B050"/>
            </a:solidFill>
            <a:round/>
          </a:ln>
          <a:effectLst/>
        </c:spPr>
        <c:marker>
          <c:symbol val="circle"/>
          <c:size val="10"/>
          <c:spPr>
            <a:solidFill>
              <a:srgbClr val="00B050"/>
            </a:solidFill>
            <a:ln w="9525">
              <a:solidFill>
                <a:srgbClr val="00B050"/>
              </a:solidFill>
            </a:ln>
            <a:effectLst/>
          </c:spPr>
        </c:marker>
        <c:dLbl>
          <c:idx val="0"/>
          <c:layout>
            <c:manualLayout>
              <c:x val="-3.4482754162270118E-2"/>
              <c:y val="3.90070813070080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Tables'!$L$3</c:f>
              <c:strCache>
                <c:ptCount val="1"/>
                <c:pt idx="0">
                  <c:v>Валовaя прибыль</c:v>
                </c:pt>
              </c:strCache>
            </c:strRef>
          </c:tx>
          <c:spPr>
            <a:solidFill>
              <a:schemeClr val="accent1"/>
            </a:solidFill>
            <a:ln>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Tables'!$L$4:$L$76</c:f>
              <c:numCache>
                <c:formatCode>#,##0.00\ [$₽-419]</c:formatCode>
                <c:ptCount val="72"/>
                <c:pt idx="0">
                  <c:v>3638663</c:v>
                </c:pt>
                <c:pt idx="1">
                  <c:v>3409234</c:v>
                </c:pt>
                <c:pt idx="2">
                  <c:v>4516140</c:v>
                </c:pt>
                <c:pt idx="3">
                  <c:v>4954030</c:v>
                </c:pt>
                <c:pt idx="4">
                  <c:v>6963004</c:v>
                </c:pt>
                <c:pt idx="5">
                  <c:v>6842361</c:v>
                </c:pt>
                <c:pt idx="6">
                  <c:v>7300856</c:v>
                </c:pt>
                <c:pt idx="7">
                  <c:v>7099490</c:v>
                </c:pt>
                <c:pt idx="8">
                  <c:v>7641576</c:v>
                </c:pt>
                <c:pt idx="9">
                  <c:v>7378813</c:v>
                </c:pt>
                <c:pt idx="10">
                  <c:v>5693830</c:v>
                </c:pt>
                <c:pt idx="11">
                  <c:v>7550028</c:v>
                </c:pt>
                <c:pt idx="12">
                  <c:v>4909955</c:v>
                </c:pt>
                <c:pt idx="13">
                  <c:v>5342250</c:v>
                </c:pt>
                <c:pt idx="14">
                  <c:v>7035981</c:v>
                </c:pt>
                <c:pt idx="15">
                  <c:v>7896982</c:v>
                </c:pt>
                <c:pt idx="16">
                  <c:v>7503605</c:v>
                </c:pt>
                <c:pt idx="17">
                  <c:v>6986734</c:v>
                </c:pt>
                <c:pt idx="18">
                  <c:v>8563322</c:v>
                </c:pt>
                <c:pt idx="19">
                  <c:v>6720294</c:v>
                </c:pt>
                <c:pt idx="20">
                  <c:v>8346241</c:v>
                </c:pt>
                <c:pt idx="21">
                  <c:v>8852750</c:v>
                </c:pt>
                <c:pt idx="22">
                  <c:v>6894395</c:v>
                </c:pt>
                <c:pt idx="23">
                  <c:v>7357749</c:v>
                </c:pt>
                <c:pt idx="24">
                  <c:v>3843345</c:v>
                </c:pt>
                <c:pt idx="25">
                  <c:v>5081036</c:v>
                </c:pt>
                <c:pt idx="26">
                  <c:v>4442683.3499999996</c:v>
                </c:pt>
                <c:pt idx="27">
                  <c:v>6567055.5800000001</c:v>
                </c:pt>
                <c:pt idx="28">
                  <c:v>7536732.4299999997</c:v>
                </c:pt>
                <c:pt idx="29">
                  <c:v>6214235.6500000004</c:v>
                </c:pt>
                <c:pt idx="30">
                  <c:v>8695709.3200000003</c:v>
                </c:pt>
                <c:pt idx="31">
                  <c:v>7000822.9699999997</c:v>
                </c:pt>
                <c:pt idx="32">
                  <c:v>7033157</c:v>
                </c:pt>
                <c:pt idx="33">
                  <c:v>5671438.25</c:v>
                </c:pt>
                <c:pt idx="34">
                  <c:v>6244272.7300000004</c:v>
                </c:pt>
                <c:pt idx="35">
                  <c:v>5980191</c:v>
                </c:pt>
                <c:pt idx="36">
                  <c:v>3440972.89</c:v>
                </c:pt>
                <c:pt idx="37">
                  <c:v>4214107.07</c:v>
                </c:pt>
                <c:pt idx="38">
                  <c:v>6345481.04</c:v>
                </c:pt>
                <c:pt idx="39">
                  <c:v>6744885.0899999999</c:v>
                </c:pt>
                <c:pt idx="40">
                  <c:v>7604677.0700000003</c:v>
                </c:pt>
                <c:pt idx="41">
                  <c:v>6778882.9699999997</c:v>
                </c:pt>
                <c:pt idx="42">
                  <c:v>6610790.4000000004</c:v>
                </c:pt>
                <c:pt idx="43">
                  <c:v>6820788.79</c:v>
                </c:pt>
                <c:pt idx="44">
                  <c:v>6007051.6600000001</c:v>
                </c:pt>
                <c:pt idx="45">
                  <c:v>7317146.4100000001</c:v>
                </c:pt>
                <c:pt idx="46">
                  <c:v>7446244.5999999996</c:v>
                </c:pt>
                <c:pt idx="47">
                  <c:v>7206628.8099999996</c:v>
                </c:pt>
                <c:pt idx="48">
                  <c:v>4002062.39</c:v>
                </c:pt>
                <c:pt idx="49">
                  <c:v>4815798.22</c:v>
                </c:pt>
                <c:pt idx="50">
                  <c:v>6549100.1299999999</c:v>
                </c:pt>
                <c:pt idx="51">
                  <c:v>7869854.8399999999</c:v>
                </c:pt>
                <c:pt idx="52">
                  <c:v>6606790.9900000002</c:v>
                </c:pt>
                <c:pt idx="53">
                  <c:v>6440078.2400000002</c:v>
                </c:pt>
                <c:pt idx="54">
                  <c:v>5917021.3700000001</c:v>
                </c:pt>
                <c:pt idx="55">
                  <c:v>6422778.0599999996</c:v>
                </c:pt>
                <c:pt idx="56">
                  <c:v>6878744.2199999997</c:v>
                </c:pt>
                <c:pt idx="57">
                  <c:v>6707314.29</c:v>
                </c:pt>
                <c:pt idx="58">
                  <c:v>5487120.4400000004</c:v>
                </c:pt>
                <c:pt idx="59">
                  <c:v>11567499.09</c:v>
                </c:pt>
                <c:pt idx="60">
                  <c:v>3573196.79</c:v>
                </c:pt>
                <c:pt idx="61">
                  <c:v>4792558</c:v>
                </c:pt>
                <c:pt idx="62">
                  <c:v>8899624.6899999995</c:v>
                </c:pt>
                <c:pt idx="63">
                  <c:v>9238973.9700000007</c:v>
                </c:pt>
                <c:pt idx="64">
                  <c:v>8522537.9800000004</c:v>
                </c:pt>
                <c:pt idx="65">
                  <c:v>8457617.5800000001</c:v>
                </c:pt>
                <c:pt idx="66">
                  <c:v>7584969.2199999997</c:v>
                </c:pt>
                <c:pt idx="67">
                  <c:v>7959879.0700000003</c:v>
                </c:pt>
                <c:pt idx="68">
                  <c:v>7681890.9699999997</c:v>
                </c:pt>
                <c:pt idx="69">
                  <c:v>9604908.9800000004</c:v>
                </c:pt>
                <c:pt idx="70">
                  <c:v>6577299.6600000001</c:v>
                </c:pt>
                <c:pt idx="71">
                  <c:v>8316355.4699999997</c:v>
                </c:pt>
              </c:numCache>
            </c:numRef>
          </c:val>
          <c:extLst>
            <c:ext xmlns:c16="http://schemas.microsoft.com/office/drawing/2014/chart" uri="{C3380CC4-5D6E-409C-BE32-E72D297353CC}">
              <c16:uniqueId val="{00000000-B3B1-4479-93EC-9F2D8D9BD604}"/>
            </c:ext>
          </c:extLst>
        </c:ser>
        <c:ser>
          <c:idx val="1"/>
          <c:order val="1"/>
          <c:tx>
            <c:strRef>
              <c:f>'Pivot Tables'!$M$3</c:f>
              <c:strCache>
                <c:ptCount val="1"/>
                <c:pt idx="0">
                  <c:v>Расходы суммарнo</c:v>
                </c:pt>
              </c:strCache>
            </c:strRef>
          </c:tx>
          <c:spPr>
            <a:solidFill>
              <a:srgbClr val="B3B3B3"/>
            </a:solidFill>
            <a:ln w="25400">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Tables'!$M$4:$M$76</c:f>
              <c:numCache>
                <c:formatCode>General</c:formatCode>
                <c:ptCount val="72"/>
                <c:pt idx="0">
                  <c:v>2440127</c:v>
                </c:pt>
                <c:pt idx="1">
                  <c:v>3074358</c:v>
                </c:pt>
                <c:pt idx="2">
                  <c:v>3423016</c:v>
                </c:pt>
                <c:pt idx="3">
                  <c:v>4356975</c:v>
                </c:pt>
                <c:pt idx="4">
                  <c:v>4780952</c:v>
                </c:pt>
                <c:pt idx="5">
                  <c:v>5154070</c:v>
                </c:pt>
                <c:pt idx="6">
                  <c:v>4549423</c:v>
                </c:pt>
                <c:pt idx="7">
                  <c:v>5663979</c:v>
                </c:pt>
                <c:pt idx="8">
                  <c:v>5837142</c:v>
                </c:pt>
                <c:pt idx="9">
                  <c:v>6752826</c:v>
                </c:pt>
                <c:pt idx="10">
                  <c:v>5464864</c:v>
                </c:pt>
                <c:pt idx="11">
                  <c:v>6030316</c:v>
                </c:pt>
                <c:pt idx="12">
                  <c:v>4706978</c:v>
                </c:pt>
                <c:pt idx="13">
                  <c:v>5414096</c:v>
                </c:pt>
                <c:pt idx="14">
                  <c:v>5015918</c:v>
                </c:pt>
                <c:pt idx="15">
                  <c:v>5200058</c:v>
                </c:pt>
                <c:pt idx="16">
                  <c:v>5792034</c:v>
                </c:pt>
                <c:pt idx="17">
                  <c:v>5501146</c:v>
                </c:pt>
                <c:pt idx="18">
                  <c:v>5977910</c:v>
                </c:pt>
                <c:pt idx="19">
                  <c:v>6015274</c:v>
                </c:pt>
                <c:pt idx="20">
                  <c:v>5797201</c:v>
                </c:pt>
                <c:pt idx="21">
                  <c:v>5848257</c:v>
                </c:pt>
                <c:pt idx="22">
                  <c:v>5491906</c:v>
                </c:pt>
                <c:pt idx="23">
                  <c:v>5557663</c:v>
                </c:pt>
                <c:pt idx="24">
                  <c:v>4333388</c:v>
                </c:pt>
                <c:pt idx="25">
                  <c:v>4455002</c:v>
                </c:pt>
                <c:pt idx="26">
                  <c:v>4065839</c:v>
                </c:pt>
                <c:pt idx="27">
                  <c:v>2852762</c:v>
                </c:pt>
                <c:pt idx="28">
                  <c:v>5026397.63</c:v>
                </c:pt>
                <c:pt idx="29">
                  <c:v>5378859.3200000003</c:v>
                </c:pt>
                <c:pt idx="30">
                  <c:v>5718625</c:v>
                </c:pt>
                <c:pt idx="31">
                  <c:v>5853930</c:v>
                </c:pt>
                <c:pt idx="32">
                  <c:v>5713072</c:v>
                </c:pt>
                <c:pt idx="33">
                  <c:v>5866469</c:v>
                </c:pt>
                <c:pt idx="34">
                  <c:v>5600507</c:v>
                </c:pt>
                <c:pt idx="35">
                  <c:v>6123695</c:v>
                </c:pt>
                <c:pt idx="36">
                  <c:v>4783739</c:v>
                </c:pt>
                <c:pt idx="37">
                  <c:v>4714552</c:v>
                </c:pt>
                <c:pt idx="38">
                  <c:v>4295637</c:v>
                </c:pt>
                <c:pt idx="39">
                  <c:v>4179731.69</c:v>
                </c:pt>
                <c:pt idx="40">
                  <c:v>4511100.72</c:v>
                </c:pt>
                <c:pt idx="41">
                  <c:v>4291480.7</c:v>
                </c:pt>
                <c:pt idx="42">
                  <c:v>4388811</c:v>
                </c:pt>
                <c:pt idx="43">
                  <c:v>4701126</c:v>
                </c:pt>
                <c:pt idx="44">
                  <c:v>4273476</c:v>
                </c:pt>
                <c:pt idx="45">
                  <c:v>4615869</c:v>
                </c:pt>
                <c:pt idx="46">
                  <c:v>4838977</c:v>
                </c:pt>
                <c:pt idx="47">
                  <c:v>4724136</c:v>
                </c:pt>
                <c:pt idx="48">
                  <c:v>4268079</c:v>
                </c:pt>
                <c:pt idx="49">
                  <c:v>4129333</c:v>
                </c:pt>
                <c:pt idx="50">
                  <c:v>4603275</c:v>
                </c:pt>
                <c:pt idx="51">
                  <c:v>5300007.0999999996</c:v>
                </c:pt>
                <c:pt idx="52">
                  <c:v>5224551</c:v>
                </c:pt>
                <c:pt idx="53">
                  <c:v>5578424.0499999998</c:v>
                </c:pt>
                <c:pt idx="54">
                  <c:v>5125862</c:v>
                </c:pt>
                <c:pt idx="55">
                  <c:v>5058719</c:v>
                </c:pt>
                <c:pt idx="56">
                  <c:v>5426905</c:v>
                </c:pt>
                <c:pt idx="57">
                  <c:v>5585503</c:v>
                </c:pt>
                <c:pt idx="58">
                  <c:v>5310032</c:v>
                </c:pt>
                <c:pt idx="59">
                  <c:v>4822542</c:v>
                </c:pt>
                <c:pt idx="60">
                  <c:v>4426734</c:v>
                </c:pt>
                <c:pt idx="61">
                  <c:v>3998447</c:v>
                </c:pt>
                <c:pt idx="62">
                  <c:v>4316014</c:v>
                </c:pt>
                <c:pt idx="63">
                  <c:v>5696313</c:v>
                </c:pt>
                <c:pt idx="64">
                  <c:v>5782425</c:v>
                </c:pt>
                <c:pt idx="65">
                  <c:v>5868170</c:v>
                </c:pt>
                <c:pt idx="66">
                  <c:v>5754502</c:v>
                </c:pt>
                <c:pt idx="67">
                  <c:v>5793847</c:v>
                </c:pt>
                <c:pt idx="68">
                  <c:v>5941806</c:v>
                </c:pt>
                <c:pt idx="69">
                  <c:v>5617857</c:v>
                </c:pt>
                <c:pt idx="70">
                  <c:v>5515873</c:v>
                </c:pt>
                <c:pt idx="71">
                  <c:v>5500235</c:v>
                </c:pt>
              </c:numCache>
            </c:numRef>
          </c:val>
          <c:extLst>
            <c:ext xmlns:c16="http://schemas.microsoft.com/office/drawing/2014/chart" uri="{C3380CC4-5D6E-409C-BE32-E72D297353CC}">
              <c16:uniqueId val="{00000001-B3B1-4479-93EC-9F2D8D9BD604}"/>
            </c:ext>
          </c:extLst>
        </c:ser>
        <c:ser>
          <c:idx val="2"/>
          <c:order val="2"/>
          <c:tx>
            <c:strRef>
              <c:f>'Pivot Tables'!$N$3</c:f>
              <c:strCache>
                <c:ptCount val="1"/>
                <c:pt idx="0">
                  <c:v>Чистaя прибыль</c:v>
                </c:pt>
              </c:strCache>
            </c:strRef>
          </c:tx>
          <c:spPr>
            <a:solidFill>
              <a:srgbClr val="CCFFFF"/>
            </a:solidFill>
            <a:ln>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Tables'!$N$4:$N$76</c:f>
              <c:numCache>
                <c:formatCode>General</c:formatCode>
                <c:ptCount val="72"/>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pt idx="12">
                  <c:v>-281804</c:v>
                </c:pt>
                <c:pt idx="13">
                  <c:v>-434662</c:v>
                </c:pt>
                <c:pt idx="14">
                  <c:v>1499031</c:v>
                </c:pt>
                <c:pt idx="15">
                  <c:v>1859716</c:v>
                </c:pt>
                <c:pt idx="16">
                  <c:v>1253751</c:v>
                </c:pt>
                <c:pt idx="17">
                  <c:v>1337050</c:v>
                </c:pt>
                <c:pt idx="18">
                  <c:v>1975874</c:v>
                </c:pt>
                <c:pt idx="19">
                  <c:v>390946</c:v>
                </c:pt>
                <c:pt idx="20">
                  <c:v>1726764</c:v>
                </c:pt>
                <c:pt idx="21">
                  <c:v>2259440</c:v>
                </c:pt>
                <c:pt idx="22">
                  <c:v>637235</c:v>
                </c:pt>
                <c:pt idx="23">
                  <c:v>1199087</c:v>
                </c:pt>
                <c:pt idx="24">
                  <c:v>-1218320</c:v>
                </c:pt>
                <c:pt idx="25">
                  <c:v>-128852</c:v>
                </c:pt>
                <c:pt idx="26">
                  <c:v>-347373.65000000037</c:v>
                </c:pt>
                <c:pt idx="27">
                  <c:v>3126704.58</c:v>
                </c:pt>
                <c:pt idx="28">
                  <c:v>1922942.7999999998</c:v>
                </c:pt>
                <c:pt idx="29">
                  <c:v>245926.33000000007</c:v>
                </c:pt>
                <c:pt idx="30">
                  <c:v>2146786.3200000003</c:v>
                </c:pt>
                <c:pt idx="31">
                  <c:v>738264.96999999974</c:v>
                </c:pt>
                <c:pt idx="32">
                  <c:v>911457</c:v>
                </c:pt>
                <c:pt idx="33">
                  <c:v>-736886.75</c:v>
                </c:pt>
                <c:pt idx="34">
                  <c:v>99089.730000000447</c:v>
                </c:pt>
                <c:pt idx="35">
                  <c:v>-701431</c:v>
                </c:pt>
                <c:pt idx="36">
                  <c:v>-1650328.1099999999</c:v>
                </c:pt>
                <c:pt idx="37">
                  <c:v>-822213.9299999997</c:v>
                </c:pt>
                <c:pt idx="38">
                  <c:v>1719340.04</c:v>
                </c:pt>
                <c:pt idx="39">
                  <c:v>2234452.66</c:v>
                </c:pt>
                <c:pt idx="40">
                  <c:v>2797861.6900000004</c:v>
                </c:pt>
                <c:pt idx="41">
                  <c:v>2186096.6099999994</c:v>
                </c:pt>
                <c:pt idx="42">
                  <c:v>1906860.4000000004</c:v>
                </c:pt>
                <c:pt idx="43">
                  <c:v>1811411.79</c:v>
                </c:pt>
                <c:pt idx="44">
                  <c:v>1425791.6600000001</c:v>
                </c:pt>
                <c:pt idx="45">
                  <c:v>2442178.41</c:v>
                </c:pt>
                <c:pt idx="46">
                  <c:v>2343681.5999999996</c:v>
                </c:pt>
                <c:pt idx="47">
                  <c:v>2210709.8099999996</c:v>
                </c:pt>
                <c:pt idx="48">
                  <c:v>-576984.60999999987</c:v>
                </c:pt>
                <c:pt idx="49">
                  <c:v>337840.21999999974</c:v>
                </c:pt>
                <c:pt idx="50">
                  <c:v>1461862.13</c:v>
                </c:pt>
                <c:pt idx="51">
                  <c:v>2161583.7400000002</c:v>
                </c:pt>
                <c:pt idx="52">
                  <c:v>980925.99000000022</c:v>
                </c:pt>
                <c:pt idx="53">
                  <c:v>460364.19000000041</c:v>
                </c:pt>
                <c:pt idx="54">
                  <c:v>350152.37000000011</c:v>
                </c:pt>
                <c:pt idx="55">
                  <c:v>857090.05999999959</c:v>
                </c:pt>
                <c:pt idx="56">
                  <c:v>884190.21999999974</c:v>
                </c:pt>
                <c:pt idx="57">
                  <c:v>556173.29</c:v>
                </c:pt>
                <c:pt idx="58">
                  <c:v>-472362.55999999959</c:v>
                </c:pt>
                <c:pt idx="59">
                  <c:v>6085063.0899999999</c:v>
                </c:pt>
                <c:pt idx="60">
                  <c:v>-1095686.21</c:v>
                </c:pt>
                <c:pt idx="61">
                  <c:v>390140.31</c:v>
                </c:pt>
                <c:pt idx="62">
                  <c:v>4171072.7099999995</c:v>
                </c:pt>
                <c:pt idx="63">
                  <c:v>3143212.4800000004</c:v>
                </c:pt>
                <c:pt idx="64">
                  <c:v>2311797.1100000003</c:v>
                </c:pt>
                <c:pt idx="65">
                  <c:v>2201789.79</c:v>
                </c:pt>
                <c:pt idx="66">
                  <c:v>1217007.9999999998</c:v>
                </c:pt>
                <c:pt idx="67">
                  <c:v>1579434.5400000003</c:v>
                </c:pt>
                <c:pt idx="68">
                  <c:v>1165574.2599999998</c:v>
                </c:pt>
                <c:pt idx="69">
                  <c:v>3408355.5100000007</c:v>
                </c:pt>
                <c:pt idx="70">
                  <c:v>463572.81000000017</c:v>
                </c:pt>
                <c:pt idx="71">
                  <c:v>2236010.2799999998</c:v>
                </c:pt>
              </c:numCache>
            </c:numRef>
          </c:val>
          <c:extLst>
            <c:ext xmlns:c16="http://schemas.microsoft.com/office/drawing/2014/chart" uri="{C3380CC4-5D6E-409C-BE32-E72D297353CC}">
              <c16:uniqueId val="{00000002-B3B1-4479-93EC-9F2D8D9BD604}"/>
            </c:ext>
          </c:extLst>
        </c:ser>
        <c:dLbls>
          <c:showLegendKey val="0"/>
          <c:showVal val="0"/>
          <c:showCatName val="0"/>
          <c:showSerName val="0"/>
          <c:showPercent val="0"/>
          <c:showBubbleSize val="0"/>
        </c:dLbls>
        <c:axId val="37006367"/>
        <c:axId val="37018847"/>
      </c:areaChart>
      <c:lineChart>
        <c:grouping val="standard"/>
        <c:varyColors val="0"/>
        <c:ser>
          <c:idx val="3"/>
          <c:order val="3"/>
          <c:tx>
            <c:strRef>
              <c:f>'Pivot Tables'!$O$3</c:f>
              <c:strCache>
                <c:ptCount val="1"/>
                <c:pt idx="0">
                  <c:v>Маржинaльность</c:v>
                </c:pt>
              </c:strCache>
            </c:strRef>
          </c:tx>
          <c:spPr>
            <a:ln w="28575" cap="rnd">
              <a:solidFill>
                <a:srgbClr val="00B050"/>
              </a:solidFill>
              <a:round/>
            </a:ln>
            <a:effectLst/>
          </c:spPr>
          <c:marker>
            <c:symbol val="none"/>
          </c:marker>
          <c:dPt>
            <c:idx val="1"/>
            <c:marker>
              <c:symbol val="circle"/>
              <c:size val="10"/>
              <c:spPr>
                <a:solidFill>
                  <a:srgbClr val="00B050"/>
                </a:solidFill>
                <a:ln w="9525">
                  <a:solidFill>
                    <a:srgbClr val="00B050"/>
                  </a:solidFill>
                </a:ln>
                <a:effectLst/>
              </c:spPr>
            </c:marker>
            <c:bubble3D val="0"/>
            <c:spPr>
              <a:ln w="28575" cap="rnd">
                <a:solidFill>
                  <a:srgbClr val="00B050"/>
                </a:solidFill>
                <a:round/>
              </a:ln>
              <a:effectLst/>
            </c:spPr>
            <c:extLst>
              <c:ext xmlns:c16="http://schemas.microsoft.com/office/drawing/2014/chart" uri="{C3380CC4-5D6E-409C-BE32-E72D297353CC}">
                <c16:uniqueId val="{0000000A-B3B1-4479-93EC-9F2D8D9BD604}"/>
              </c:ext>
            </c:extLst>
          </c:dPt>
          <c:dPt>
            <c:idx val="14"/>
            <c:marker>
              <c:symbol val="circle"/>
              <c:size val="10"/>
              <c:spPr>
                <a:solidFill>
                  <a:srgbClr val="00B050"/>
                </a:solidFill>
                <a:ln w="9525">
                  <a:solidFill>
                    <a:srgbClr val="00B050"/>
                  </a:solidFill>
                </a:ln>
                <a:effectLst/>
              </c:spPr>
            </c:marker>
            <c:bubble3D val="0"/>
            <c:spPr>
              <a:ln w="28575" cap="rnd">
                <a:solidFill>
                  <a:srgbClr val="00B050"/>
                </a:solidFill>
                <a:round/>
              </a:ln>
              <a:effectLst/>
            </c:spPr>
            <c:extLst>
              <c:ext xmlns:c16="http://schemas.microsoft.com/office/drawing/2014/chart" uri="{C3380CC4-5D6E-409C-BE32-E72D297353CC}">
                <c16:uniqueId val="{00000006-B3B1-4479-93EC-9F2D8D9BD604}"/>
              </c:ext>
            </c:extLst>
          </c:dPt>
          <c:dPt>
            <c:idx val="35"/>
            <c:marker>
              <c:symbol val="circle"/>
              <c:size val="10"/>
              <c:spPr>
                <a:solidFill>
                  <a:srgbClr val="00B050"/>
                </a:solidFill>
                <a:ln w="9525">
                  <a:solidFill>
                    <a:srgbClr val="00B050"/>
                  </a:solidFill>
                </a:ln>
                <a:effectLst/>
              </c:spPr>
            </c:marker>
            <c:bubble3D val="0"/>
            <c:spPr>
              <a:ln w="28575" cap="rnd">
                <a:solidFill>
                  <a:srgbClr val="00B050"/>
                </a:solidFill>
                <a:round/>
              </a:ln>
              <a:effectLst/>
            </c:spPr>
            <c:extLst>
              <c:ext xmlns:c16="http://schemas.microsoft.com/office/drawing/2014/chart" uri="{C3380CC4-5D6E-409C-BE32-E72D297353CC}">
                <c16:uniqueId val="{00000007-B3B1-4479-93EC-9F2D8D9BD604}"/>
              </c:ext>
            </c:extLst>
          </c:dPt>
          <c:dPt>
            <c:idx val="49"/>
            <c:marker>
              <c:symbol val="circle"/>
              <c:size val="10"/>
              <c:spPr>
                <a:solidFill>
                  <a:srgbClr val="00B050"/>
                </a:solidFill>
                <a:ln w="9525">
                  <a:solidFill>
                    <a:srgbClr val="00B050"/>
                  </a:solidFill>
                </a:ln>
                <a:effectLst/>
              </c:spPr>
            </c:marker>
            <c:bubble3D val="0"/>
            <c:spPr>
              <a:ln w="28575" cap="rnd">
                <a:solidFill>
                  <a:srgbClr val="00B050"/>
                </a:solidFill>
                <a:round/>
              </a:ln>
              <a:effectLst/>
            </c:spPr>
            <c:extLst>
              <c:ext xmlns:c16="http://schemas.microsoft.com/office/drawing/2014/chart" uri="{C3380CC4-5D6E-409C-BE32-E72D297353CC}">
                <c16:uniqueId val="{00000008-B3B1-4479-93EC-9F2D8D9BD604}"/>
              </c:ext>
            </c:extLst>
          </c:dPt>
          <c:dPt>
            <c:idx val="62"/>
            <c:marker>
              <c:symbol val="circle"/>
              <c:size val="10"/>
              <c:spPr>
                <a:solidFill>
                  <a:srgbClr val="00B050"/>
                </a:solidFill>
                <a:ln w="9525">
                  <a:solidFill>
                    <a:srgbClr val="00B050"/>
                  </a:solidFill>
                </a:ln>
                <a:effectLst/>
              </c:spPr>
            </c:marker>
            <c:bubble3D val="0"/>
            <c:spPr>
              <a:ln w="28575" cap="rnd">
                <a:solidFill>
                  <a:srgbClr val="00B050"/>
                </a:solidFill>
                <a:round/>
              </a:ln>
              <a:effectLst/>
            </c:spPr>
            <c:extLst>
              <c:ext xmlns:c16="http://schemas.microsoft.com/office/drawing/2014/chart" uri="{C3380CC4-5D6E-409C-BE32-E72D297353CC}">
                <c16:uniqueId val="{00000009-B3B1-4479-93EC-9F2D8D9BD604}"/>
              </c:ext>
            </c:extLst>
          </c:dPt>
          <c:dLbls>
            <c:dLbl>
              <c:idx val="1"/>
              <c:layout>
                <c:manualLayout>
                  <c:x val="-3.4482754162270118E-2"/>
                  <c:y val="3.90070813070080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3B1-4479-93EC-9F2D8D9BD604}"/>
                </c:ext>
              </c:extLst>
            </c:dLbl>
            <c:dLbl>
              <c:idx val="14"/>
              <c:layout>
                <c:manualLayout>
                  <c:x val="-1.1494251387423375E-2"/>
                  <c:y val="-2.8368786405096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3B1-4479-93EC-9F2D8D9BD604}"/>
                </c:ext>
              </c:extLst>
            </c:dLbl>
            <c:dLbl>
              <c:idx val="35"/>
              <c:layout>
                <c:manualLayout>
                  <c:x val="-1.3136287299912489E-2"/>
                  <c:y val="2.8368786405096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3B1-4479-93EC-9F2D8D9BD604}"/>
                </c:ext>
              </c:extLst>
            </c:dLbl>
            <c:dLbl>
              <c:idx val="49"/>
              <c:layout>
                <c:manualLayout>
                  <c:x val="-9.852215474934322E-3"/>
                  <c:y val="-2.48226881044596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3B1-4479-93EC-9F2D8D9BD604}"/>
                </c:ext>
              </c:extLst>
            </c:dLbl>
            <c:dLbl>
              <c:idx val="62"/>
              <c:layout>
                <c:manualLayout>
                  <c:x val="-4.9261077374671607E-2"/>
                  <c:y val="2.12765898038225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3B1-4479-93EC-9F2D8D9BD6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Tables'!$O$4:$O$76</c:f>
              <c:numCache>
                <c:formatCode>0%</c:formatCode>
                <c:ptCount val="72"/>
                <c:pt idx="0">
                  <c:v>0.43263455806371032</c:v>
                </c:pt>
                <c:pt idx="1">
                  <c:v>0.38825087051509349</c:v>
                </c:pt>
                <c:pt idx="2">
                  <c:v>0.45185212607043912</c:v>
                </c:pt>
                <c:pt idx="3">
                  <c:v>0.47258909237782515</c:v>
                </c:pt>
                <c:pt idx="4">
                  <c:v>0.52259083922726846</c:v>
                </c:pt>
                <c:pt idx="5">
                  <c:v>0.5402158507169128</c:v>
                </c:pt>
                <c:pt idx="6">
                  <c:v>0.54638345170128721</c:v>
                </c:pt>
                <c:pt idx="7">
                  <c:v>0.57914097597648551</c:v>
                </c:pt>
                <c:pt idx="8">
                  <c:v>0.55410900571361443</c:v>
                </c:pt>
                <c:pt idx="9">
                  <c:v>0.5630887532476293</c:v>
                </c:pt>
                <c:pt idx="10">
                  <c:v>0.54694260139584994</c:v>
                </c:pt>
                <c:pt idx="11">
                  <c:v>0.53314049018943932</c:v>
                </c:pt>
                <c:pt idx="12">
                  <c:v>0.5665421377942339</c:v>
                </c:pt>
                <c:pt idx="13">
                  <c:v>0.5640235485176387</c:v>
                </c:pt>
                <c:pt idx="14">
                  <c:v>0.63530566357205642</c:v>
                </c:pt>
                <c:pt idx="15">
                  <c:v>0.60369573940588772</c:v>
                </c:pt>
                <c:pt idx="16">
                  <c:v>0.5455535769957377</c:v>
                </c:pt>
                <c:pt idx="17">
                  <c:v>0.55826241857564074</c:v>
                </c:pt>
                <c:pt idx="18">
                  <c:v>0.61455289495344234</c:v>
                </c:pt>
                <c:pt idx="19">
                  <c:v>0.52026969539154888</c:v>
                </c:pt>
                <c:pt idx="20">
                  <c:v>0.55372488987190394</c:v>
                </c:pt>
                <c:pt idx="21">
                  <c:v>0.60674508769677704</c:v>
                </c:pt>
                <c:pt idx="22">
                  <c:v>0.56558990337941528</c:v>
                </c:pt>
                <c:pt idx="23">
                  <c:v>0.57031358395638743</c:v>
                </c:pt>
                <c:pt idx="24">
                  <c:v>0.58669113766800596</c:v>
                </c:pt>
                <c:pt idx="25">
                  <c:v>0.60754084251363971</c:v>
                </c:pt>
                <c:pt idx="26">
                  <c:v>0.55983622205722905</c:v>
                </c:pt>
                <c:pt idx="27">
                  <c:v>0.5953119314748917</c:v>
                </c:pt>
                <c:pt idx="28">
                  <c:v>0.61814328737104918</c:v>
                </c:pt>
                <c:pt idx="29">
                  <c:v>0.61917410547481</c:v>
                </c:pt>
                <c:pt idx="30">
                  <c:v>0.62159108475916514</c:v>
                </c:pt>
                <c:pt idx="31">
                  <c:v>0.5928691953178663</c:v>
                </c:pt>
                <c:pt idx="32">
                  <c:v>0.51859998090226123</c:v>
                </c:pt>
                <c:pt idx="33">
                  <c:v>0.57496169414766463</c:v>
                </c:pt>
                <c:pt idx="34">
                  <c:v>0.57783499293237994</c:v>
                </c:pt>
                <c:pt idx="35">
                  <c:v>0.49835145105224216</c:v>
                </c:pt>
                <c:pt idx="36">
                  <c:v>0.5755129422858497</c:v>
                </c:pt>
                <c:pt idx="37">
                  <c:v>0.55566666306252899</c:v>
                </c:pt>
                <c:pt idx="38">
                  <c:v>0.50664015889969138</c:v>
                </c:pt>
                <c:pt idx="39">
                  <c:v>0.58259305584441934</c:v>
                </c:pt>
                <c:pt idx="40">
                  <c:v>0.58732775340653698</c:v>
                </c:pt>
                <c:pt idx="41">
                  <c:v>0.5695317014261474</c:v>
                </c:pt>
                <c:pt idx="42">
                  <c:v>0.57923148763996823</c:v>
                </c:pt>
                <c:pt idx="43">
                  <c:v>0.59357598704100212</c:v>
                </c:pt>
                <c:pt idx="44">
                  <c:v>0.58188130575870589</c:v>
                </c:pt>
                <c:pt idx="45">
                  <c:v>0.57185721705786952</c:v>
                </c:pt>
                <c:pt idx="46">
                  <c:v>0.61020346986713303</c:v>
                </c:pt>
                <c:pt idx="47">
                  <c:v>0.58123922601433964</c:v>
                </c:pt>
                <c:pt idx="48">
                  <c:v>0.60021398449786334</c:v>
                </c:pt>
                <c:pt idx="49">
                  <c:v>0.63265905814979406</c:v>
                </c:pt>
                <c:pt idx="50">
                  <c:v>0.54241170912235748</c:v>
                </c:pt>
                <c:pt idx="51">
                  <c:v>0.5823986296876924</c:v>
                </c:pt>
                <c:pt idx="52">
                  <c:v>0.57891568618143219</c:v>
                </c:pt>
                <c:pt idx="53">
                  <c:v>0.55070868591301736</c:v>
                </c:pt>
                <c:pt idx="54">
                  <c:v>0.54281910529203137</c:v>
                </c:pt>
                <c:pt idx="55">
                  <c:v>0.56829057808377081</c:v>
                </c:pt>
                <c:pt idx="56">
                  <c:v>0.54162082219350016</c:v>
                </c:pt>
                <c:pt idx="57">
                  <c:v>0.56335746745433912</c:v>
                </c:pt>
                <c:pt idx="58">
                  <c:v>0.56293447081833103</c:v>
                </c:pt>
                <c:pt idx="59">
                  <c:v>0.50915697331629906</c:v>
                </c:pt>
                <c:pt idx="60">
                  <c:v>0.57825256094326571</c:v>
                </c:pt>
                <c:pt idx="61">
                  <c:v>0.58128597621635569</c:v>
                </c:pt>
                <c:pt idx="62">
                  <c:v>0.50448568532244753</c:v>
                </c:pt>
                <c:pt idx="63">
                  <c:v>0.55841429768116901</c:v>
                </c:pt>
                <c:pt idx="64">
                  <c:v>0.58494799354034155</c:v>
                </c:pt>
                <c:pt idx="65">
                  <c:v>0.59653941206689953</c:v>
                </c:pt>
                <c:pt idx="66">
                  <c:v>0.59619341215616539</c:v>
                </c:pt>
                <c:pt idx="67">
                  <c:v>0.56591855284942583</c:v>
                </c:pt>
                <c:pt idx="68">
                  <c:v>0.57048323279455904</c:v>
                </c:pt>
                <c:pt idx="69">
                  <c:v>0.59348410316293632</c:v>
                </c:pt>
                <c:pt idx="70">
                  <c:v>0.59948030569922517</c:v>
                </c:pt>
                <c:pt idx="71">
                  <c:v>0.58002370061340158</c:v>
                </c:pt>
              </c:numCache>
            </c:numRef>
          </c:val>
          <c:smooth val="0"/>
          <c:extLst>
            <c:ext xmlns:c16="http://schemas.microsoft.com/office/drawing/2014/chart" uri="{C3380CC4-5D6E-409C-BE32-E72D297353CC}">
              <c16:uniqueId val="{00000004-B3B1-4479-93EC-9F2D8D9BD604}"/>
            </c:ext>
          </c:extLst>
        </c:ser>
        <c:dLbls>
          <c:showLegendKey val="0"/>
          <c:showVal val="0"/>
          <c:showCatName val="0"/>
          <c:showSerName val="0"/>
          <c:showPercent val="0"/>
          <c:showBubbleSize val="0"/>
        </c:dLbls>
        <c:marker val="1"/>
        <c:smooth val="0"/>
        <c:axId val="786567103"/>
        <c:axId val="786565855"/>
      </c:lineChart>
      <c:catAx>
        <c:axId val="37006367"/>
        <c:scaling>
          <c:orientation val="minMax"/>
        </c:scaling>
        <c:delete val="1"/>
        <c:axPos val="b"/>
        <c:numFmt formatCode="General" sourceLinked="1"/>
        <c:majorTickMark val="out"/>
        <c:minorTickMark val="none"/>
        <c:tickLblPos val="nextTo"/>
        <c:crossAx val="37018847"/>
        <c:crosses val="autoZero"/>
        <c:auto val="1"/>
        <c:lblAlgn val="ctr"/>
        <c:lblOffset val="100"/>
        <c:noMultiLvlLbl val="0"/>
      </c:catAx>
      <c:valAx>
        <c:axId val="37018847"/>
        <c:scaling>
          <c:orientation val="minMax"/>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37006367"/>
        <c:crosses val="autoZero"/>
        <c:crossBetween val="between"/>
        <c:dispUnits>
          <c:builtInUnit val="millions"/>
        </c:dispUnits>
      </c:valAx>
      <c:valAx>
        <c:axId val="78656585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00B050">
                      <a:alpha val="56000"/>
                    </a:srgbClr>
                  </a:solidFill>
                </a:ln>
                <a:solidFill>
                  <a:srgbClr val="00B050"/>
                </a:solidFill>
                <a:latin typeface="+mn-lt"/>
                <a:ea typeface="+mn-ea"/>
                <a:cs typeface="+mn-cs"/>
              </a:defRPr>
            </a:pPr>
            <a:endParaRPr lang="en-US"/>
          </a:p>
        </c:txPr>
        <c:crossAx val="786567103"/>
        <c:crosses val="max"/>
        <c:crossBetween val="between"/>
      </c:valAx>
      <c:catAx>
        <c:axId val="786567103"/>
        <c:scaling>
          <c:orientation val="minMax"/>
        </c:scaling>
        <c:delete val="1"/>
        <c:axPos val="b"/>
        <c:numFmt formatCode="General" sourceLinked="1"/>
        <c:majorTickMark val="out"/>
        <c:minorTickMark val="none"/>
        <c:tickLblPos val="nextTo"/>
        <c:crossAx val="786565855"/>
        <c:crosses val="autoZero"/>
        <c:auto val="1"/>
        <c:lblAlgn val="ctr"/>
        <c:lblOffset val="100"/>
        <c:noMultiLvlLbl val="0"/>
      </c:catAx>
      <c:spPr>
        <a:noFill/>
        <a:ln>
          <a:noFill/>
        </a:ln>
        <a:effectLst/>
      </c:spPr>
    </c:plotArea>
    <c:legend>
      <c:legendPos val="t"/>
      <c:layout>
        <c:manualLayout>
          <c:xMode val="edge"/>
          <c:yMode val="edge"/>
          <c:x val="4.5073885797824523E-2"/>
          <c:y val="4.1771362659473205E-2"/>
          <c:w val="0.8999998836352503"/>
          <c:h val="0.10427176403871"/>
        </c:manualLayout>
      </c:layout>
      <c:overlay val="0"/>
      <c:spPr>
        <a:noFill/>
        <a:ln>
          <a:noFill/>
        </a:ln>
        <a:effectLst/>
      </c:spPr>
      <c:txPr>
        <a:bodyPr rot="0" spcFirstLastPara="1" vertOverflow="ellipsis" vert="horz" wrap="square" anchor="ctr" anchorCtr="1"/>
        <a:lstStyle/>
        <a:p>
          <a:pPr>
            <a:defRPr sz="1100" b="0" i="0" u="none" strike="noStrike" kern="1200" baseline="0">
              <a:solidFill>
                <a:srgbClr val="CCFFFF"/>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CCFFFF"/>
              </a:solidFill>
              <a:round/>
            </a:ln>
            <a:effectLst/>
          </c:spPr>
          <c:marker>
            <c:symbol val="none"/>
          </c:marker>
          <c:dLbls>
            <c:dLbl>
              <c:idx val="36"/>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2BD-4156-9BB9-D43E6158BC6D}"/>
                </c:ext>
              </c:extLst>
            </c:dLbl>
            <c:dLbl>
              <c:idx val="59"/>
              <c:tx>
                <c:rich>
                  <a:bodyPr/>
                  <a:lstStyle/>
                  <a:p>
                    <a:fld id="{BA3A193D-AE99-4127-9871-67FAADF46FC4}" type="VALUE">
                      <a:rPr lang="en-US"/>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EC5-4AAF-B21C-66B635FD0D9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CFFFF"/>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tailEnd w="lg" len="lg"/>
              </a:ln>
              <a:effectLst/>
            </c:spPr>
            <c:trendlineType val="linear"/>
            <c:dispRSqr val="0"/>
            <c:dispEq val="0"/>
          </c:trendline>
          <c:cat>
            <c:numRef>
              <c:f>'Forecasts 2'!$A$2:$A$73</c:f>
              <c:numCache>
                <c:formatCode>[$-419]mmm\ yyyy;@</c:formatCode>
                <c:ptCount val="72"/>
                <c:pt idx="0">
                  <c:v>42736</c:v>
                </c:pt>
                <c:pt idx="1">
                  <c:v>42767</c:v>
                </c:pt>
                <c:pt idx="2">
                  <c:v>42795</c:v>
                </c:pt>
                <c:pt idx="3">
                  <c:v>42826</c:v>
                </c:pt>
                <c:pt idx="4">
                  <c:v>42856</c:v>
                </c:pt>
                <c:pt idx="5">
                  <c:v>42887</c:v>
                </c:pt>
                <c:pt idx="6">
                  <c:v>42917</c:v>
                </c:pt>
                <c:pt idx="7">
                  <c:v>42948</c:v>
                </c:pt>
                <c:pt idx="8">
                  <c:v>42979</c:v>
                </c:pt>
                <c:pt idx="9">
                  <c:v>43009</c:v>
                </c:pt>
                <c:pt idx="10">
                  <c:v>43040</c:v>
                </c:pt>
                <c:pt idx="11">
                  <c:v>43070</c:v>
                </c:pt>
                <c:pt idx="12">
                  <c:v>43101</c:v>
                </c:pt>
                <c:pt idx="13">
                  <c:v>43132</c:v>
                </c:pt>
                <c:pt idx="14">
                  <c:v>43160</c:v>
                </c:pt>
                <c:pt idx="15">
                  <c:v>43191</c:v>
                </c:pt>
                <c:pt idx="16">
                  <c:v>43221</c:v>
                </c:pt>
                <c:pt idx="17">
                  <c:v>43252</c:v>
                </c:pt>
                <c:pt idx="18">
                  <c:v>43282</c:v>
                </c:pt>
                <c:pt idx="19">
                  <c:v>43313</c:v>
                </c:pt>
                <c:pt idx="20">
                  <c:v>43344</c:v>
                </c:pt>
                <c:pt idx="21">
                  <c:v>43374</c:v>
                </c:pt>
                <c:pt idx="22">
                  <c:v>43405</c:v>
                </c:pt>
                <c:pt idx="23">
                  <c:v>43435</c:v>
                </c:pt>
                <c:pt idx="24">
                  <c:v>43466</c:v>
                </c:pt>
                <c:pt idx="25">
                  <c:v>43497</c:v>
                </c:pt>
                <c:pt idx="26">
                  <c:v>43525</c:v>
                </c:pt>
                <c:pt idx="27">
                  <c:v>43556</c:v>
                </c:pt>
                <c:pt idx="28">
                  <c:v>43586</c:v>
                </c:pt>
                <c:pt idx="29">
                  <c:v>43617</c:v>
                </c:pt>
                <c:pt idx="30">
                  <c:v>43647</c:v>
                </c:pt>
                <c:pt idx="31">
                  <c:v>43678</c:v>
                </c:pt>
                <c:pt idx="32">
                  <c:v>43709</c:v>
                </c:pt>
                <c:pt idx="33">
                  <c:v>43739</c:v>
                </c:pt>
                <c:pt idx="34">
                  <c:v>43770</c:v>
                </c:pt>
                <c:pt idx="35">
                  <c:v>43800</c:v>
                </c:pt>
                <c:pt idx="36">
                  <c:v>43831</c:v>
                </c:pt>
                <c:pt idx="37">
                  <c:v>43862</c:v>
                </c:pt>
                <c:pt idx="38">
                  <c:v>43891</c:v>
                </c:pt>
                <c:pt idx="39">
                  <c:v>43922</c:v>
                </c:pt>
                <c:pt idx="40">
                  <c:v>43952</c:v>
                </c:pt>
                <c:pt idx="41">
                  <c:v>43983</c:v>
                </c:pt>
                <c:pt idx="42">
                  <c:v>44013</c:v>
                </c:pt>
                <c:pt idx="43">
                  <c:v>44044</c:v>
                </c:pt>
                <c:pt idx="44">
                  <c:v>44075</c:v>
                </c:pt>
                <c:pt idx="45">
                  <c:v>44105</c:v>
                </c:pt>
                <c:pt idx="46">
                  <c:v>44136</c:v>
                </c:pt>
                <c:pt idx="47">
                  <c:v>44166</c:v>
                </c:pt>
                <c:pt idx="48">
                  <c:v>44197</c:v>
                </c:pt>
                <c:pt idx="49">
                  <c:v>44228</c:v>
                </c:pt>
                <c:pt idx="50">
                  <c:v>44256</c:v>
                </c:pt>
                <c:pt idx="51">
                  <c:v>44287</c:v>
                </c:pt>
                <c:pt idx="52">
                  <c:v>44317</c:v>
                </c:pt>
                <c:pt idx="53">
                  <c:v>44348</c:v>
                </c:pt>
                <c:pt idx="54">
                  <c:v>44378</c:v>
                </c:pt>
                <c:pt idx="55">
                  <c:v>44409</c:v>
                </c:pt>
                <c:pt idx="56">
                  <c:v>44440</c:v>
                </c:pt>
                <c:pt idx="57">
                  <c:v>44470</c:v>
                </c:pt>
                <c:pt idx="58">
                  <c:v>44501</c:v>
                </c:pt>
                <c:pt idx="59">
                  <c:v>44531</c:v>
                </c:pt>
                <c:pt idx="60">
                  <c:v>44562</c:v>
                </c:pt>
                <c:pt idx="61">
                  <c:v>44593</c:v>
                </c:pt>
                <c:pt idx="62">
                  <c:v>44621</c:v>
                </c:pt>
                <c:pt idx="63">
                  <c:v>44652</c:v>
                </c:pt>
                <c:pt idx="64">
                  <c:v>44682</c:v>
                </c:pt>
                <c:pt idx="65">
                  <c:v>44713</c:v>
                </c:pt>
                <c:pt idx="66">
                  <c:v>44743</c:v>
                </c:pt>
                <c:pt idx="67">
                  <c:v>44774</c:v>
                </c:pt>
                <c:pt idx="68">
                  <c:v>44805</c:v>
                </c:pt>
                <c:pt idx="69">
                  <c:v>44835</c:v>
                </c:pt>
                <c:pt idx="70">
                  <c:v>44866</c:v>
                </c:pt>
                <c:pt idx="71">
                  <c:v>44896</c:v>
                </c:pt>
              </c:numCache>
            </c:numRef>
          </c:cat>
          <c:val>
            <c:numRef>
              <c:f>'Forecasts 2'!$B$2:$B$73</c:f>
              <c:numCache>
                <c:formatCode>#,##0.00\ "₽"</c:formatCode>
                <c:ptCount val="72"/>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pt idx="12">
                  <c:v>-281804</c:v>
                </c:pt>
                <c:pt idx="13">
                  <c:v>-434662</c:v>
                </c:pt>
                <c:pt idx="14">
                  <c:v>1499031</c:v>
                </c:pt>
                <c:pt idx="15">
                  <c:v>1859716</c:v>
                </c:pt>
                <c:pt idx="16">
                  <c:v>1253751</c:v>
                </c:pt>
                <c:pt idx="17">
                  <c:v>1337050</c:v>
                </c:pt>
                <c:pt idx="18">
                  <c:v>1975874</c:v>
                </c:pt>
                <c:pt idx="19">
                  <c:v>390946</c:v>
                </c:pt>
                <c:pt idx="20">
                  <c:v>1726764</c:v>
                </c:pt>
                <c:pt idx="21">
                  <c:v>2259440</c:v>
                </c:pt>
                <c:pt idx="22">
                  <c:v>637235</c:v>
                </c:pt>
                <c:pt idx="23">
                  <c:v>1199087</c:v>
                </c:pt>
                <c:pt idx="24">
                  <c:v>-1218320</c:v>
                </c:pt>
                <c:pt idx="25">
                  <c:v>-128852</c:v>
                </c:pt>
                <c:pt idx="26">
                  <c:v>-347373.65000000037</c:v>
                </c:pt>
                <c:pt idx="27">
                  <c:v>3126704.58</c:v>
                </c:pt>
                <c:pt idx="28">
                  <c:v>1922942.7999999998</c:v>
                </c:pt>
                <c:pt idx="29">
                  <c:v>245926.33000000007</c:v>
                </c:pt>
                <c:pt idx="30">
                  <c:v>2146786.3200000003</c:v>
                </c:pt>
                <c:pt idx="31">
                  <c:v>738264.96999999974</c:v>
                </c:pt>
                <c:pt idx="32">
                  <c:v>911457</c:v>
                </c:pt>
                <c:pt idx="33">
                  <c:v>-736886.75</c:v>
                </c:pt>
                <c:pt idx="34">
                  <c:v>99089.730000000447</c:v>
                </c:pt>
                <c:pt idx="35">
                  <c:v>-701431</c:v>
                </c:pt>
                <c:pt idx="36">
                  <c:v>-1650328.1099999999</c:v>
                </c:pt>
                <c:pt idx="37">
                  <c:v>-822213.9299999997</c:v>
                </c:pt>
                <c:pt idx="38">
                  <c:v>1719340.04</c:v>
                </c:pt>
                <c:pt idx="39">
                  <c:v>2234452.66</c:v>
                </c:pt>
                <c:pt idx="40">
                  <c:v>2797861.6900000004</c:v>
                </c:pt>
                <c:pt idx="41">
                  <c:v>2186096.6099999994</c:v>
                </c:pt>
                <c:pt idx="42">
                  <c:v>1906860.4000000004</c:v>
                </c:pt>
                <c:pt idx="43">
                  <c:v>1811411.79</c:v>
                </c:pt>
                <c:pt idx="44">
                  <c:v>1425791.6600000001</c:v>
                </c:pt>
                <c:pt idx="45">
                  <c:v>2442178.41</c:v>
                </c:pt>
                <c:pt idx="46">
                  <c:v>2343681.5999999996</c:v>
                </c:pt>
                <c:pt idx="47">
                  <c:v>2210709.8099999996</c:v>
                </c:pt>
                <c:pt idx="48">
                  <c:v>-576984.60999999987</c:v>
                </c:pt>
                <c:pt idx="49">
                  <c:v>337840.21999999974</c:v>
                </c:pt>
                <c:pt idx="50">
                  <c:v>1461862.13</c:v>
                </c:pt>
                <c:pt idx="51">
                  <c:v>2161583.7400000002</c:v>
                </c:pt>
                <c:pt idx="52">
                  <c:v>980925.99000000022</c:v>
                </c:pt>
                <c:pt idx="53">
                  <c:v>460364.19000000041</c:v>
                </c:pt>
                <c:pt idx="54">
                  <c:v>350152.37000000011</c:v>
                </c:pt>
                <c:pt idx="55">
                  <c:v>857090.05999999959</c:v>
                </c:pt>
                <c:pt idx="56">
                  <c:v>884190.21999999974</c:v>
                </c:pt>
                <c:pt idx="57">
                  <c:v>556173.29</c:v>
                </c:pt>
                <c:pt idx="58">
                  <c:v>-472362.55999999959</c:v>
                </c:pt>
                <c:pt idx="59">
                  <c:v>6085063.0899999999</c:v>
                </c:pt>
                <c:pt idx="60">
                  <c:v>-1095686.21</c:v>
                </c:pt>
                <c:pt idx="61">
                  <c:v>390140.31</c:v>
                </c:pt>
                <c:pt idx="62">
                  <c:v>4171072.7099999995</c:v>
                </c:pt>
                <c:pt idx="63">
                  <c:v>3143212.4800000004</c:v>
                </c:pt>
                <c:pt idx="64">
                  <c:v>2311797.1100000003</c:v>
                </c:pt>
                <c:pt idx="65">
                  <c:v>2201789.79</c:v>
                </c:pt>
                <c:pt idx="66">
                  <c:v>1217007.9999999998</c:v>
                </c:pt>
                <c:pt idx="67">
                  <c:v>1579434.5400000003</c:v>
                </c:pt>
                <c:pt idx="68">
                  <c:v>1165574.2599999998</c:v>
                </c:pt>
                <c:pt idx="69">
                  <c:v>3408355.5100000007</c:v>
                </c:pt>
                <c:pt idx="70">
                  <c:v>463572.81000000017</c:v>
                </c:pt>
                <c:pt idx="71">
                  <c:v>2236010.2799999998</c:v>
                </c:pt>
              </c:numCache>
            </c:numRef>
          </c:val>
          <c:smooth val="1"/>
          <c:extLst>
            <c:ext xmlns:c16="http://schemas.microsoft.com/office/drawing/2014/chart" uri="{C3380CC4-5D6E-409C-BE32-E72D297353CC}">
              <c16:uniqueId val="{00000000-BEC5-4AAF-B21C-66B635FD0D9D}"/>
            </c:ext>
          </c:extLst>
        </c:ser>
        <c:dLbls>
          <c:showLegendKey val="0"/>
          <c:showVal val="0"/>
          <c:showCatName val="0"/>
          <c:showSerName val="0"/>
          <c:showPercent val="0"/>
          <c:showBubbleSize val="0"/>
        </c:dLbls>
        <c:smooth val="0"/>
        <c:axId val="1338329152"/>
        <c:axId val="1338320832"/>
      </c:lineChart>
      <c:dateAx>
        <c:axId val="1338329152"/>
        <c:scaling>
          <c:orientation val="minMax"/>
        </c:scaling>
        <c:delete val="0"/>
        <c:axPos val="b"/>
        <c:numFmt formatCode="[$-419]mmm\ yyyy;@"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338320832"/>
        <c:crosses val="autoZero"/>
        <c:auto val="1"/>
        <c:lblOffset val="100"/>
        <c:baseTimeUnit val="months"/>
      </c:dateAx>
      <c:valAx>
        <c:axId val="1338320832"/>
        <c:scaling>
          <c:orientation val="minMax"/>
        </c:scaling>
        <c:delete val="0"/>
        <c:axPos val="l"/>
        <c:numFmt formatCode="#,##0&quot;M&quot;\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338329152"/>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2!PivotTable27</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7000">
                <a:srgbClr val="4A6666"/>
              </a:gs>
              <a:gs pos="43000">
                <a:srgbClr val="0070C0"/>
              </a:gs>
              <a:gs pos="70000">
                <a:srgbClr val="00B0F0"/>
              </a:gs>
              <a:gs pos="100000">
                <a:srgbClr val="CCFFFF">
                  <a:shade val="100000"/>
                  <a:satMod val="115000"/>
                </a:srgbClr>
              </a:gs>
            </a:gsLst>
            <a:lin ang="16200000" scaled="1"/>
            <a:tileRect/>
          </a:gradFill>
          <a:ln>
            <a:noFill/>
          </a:ln>
          <a:effectLst/>
        </c:spPr>
        <c:marker>
          <c:symbol val="none"/>
        </c:marke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17000">
                <a:srgbClr val="4A6666"/>
              </a:gs>
              <a:gs pos="43000">
                <a:srgbClr val="0070C0"/>
              </a:gs>
              <a:gs pos="70000">
                <a:srgbClr val="00B0F0"/>
              </a:gs>
              <a:gs pos="100000">
                <a:srgbClr val="CCFFFF">
                  <a:shade val="100000"/>
                  <a:satMod val="115000"/>
                </a:srgbClr>
              </a:gs>
            </a:gsLst>
            <a:lin ang="16200000" scaled="1"/>
            <a:tileRect/>
          </a:gradFill>
          <a:ln>
            <a:noFill/>
          </a:ln>
          <a:effectLst/>
        </c:spP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17000">
                <a:srgbClr val="4A6666"/>
              </a:gs>
              <a:gs pos="43000">
                <a:srgbClr val="0070C0"/>
              </a:gs>
              <a:gs pos="70000">
                <a:srgbClr val="00B0F0"/>
              </a:gs>
              <a:gs pos="100000">
                <a:srgbClr val="CCFFFF">
                  <a:shade val="100000"/>
                  <a:satMod val="115000"/>
                </a:srgbClr>
              </a:gs>
            </a:gsLst>
            <a:lin ang="16200000" scaled="1"/>
            <a:tileRect/>
          </a:gradFill>
          <a:ln>
            <a:noFill/>
          </a:ln>
          <a:effectLst/>
        </c:spP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2'!$I$40</c:f>
              <c:strCache>
                <c:ptCount val="1"/>
                <c:pt idx="0">
                  <c:v>Total</c:v>
                </c:pt>
              </c:strCache>
            </c:strRef>
          </c:tx>
          <c:spPr>
            <a:gradFill flip="none" rotWithShape="1">
              <a:gsLst>
                <a:gs pos="17000">
                  <a:srgbClr val="4A6666"/>
                </a:gs>
                <a:gs pos="43000">
                  <a:srgbClr val="0070C0"/>
                </a:gs>
                <a:gs pos="70000">
                  <a:srgbClr val="00B0F0"/>
                </a:gs>
                <a:gs pos="100000">
                  <a:srgbClr val="CCFFFF">
                    <a:shade val="100000"/>
                    <a:satMod val="115000"/>
                  </a:srgbClr>
                </a:gs>
              </a:gsLst>
              <a:lin ang="16200000" scaled="1"/>
              <a:tileRect/>
            </a:gradFill>
            <a:ln>
              <a:noFill/>
            </a:ln>
            <a:effectLst/>
          </c:spPr>
          <c:invertIfNegative val="0"/>
          <c:dPt>
            <c:idx val="0"/>
            <c:invertIfNegative val="0"/>
            <c:bubble3D val="0"/>
            <c:spPr>
              <a:gradFill flip="none" rotWithShape="1">
                <a:gsLst>
                  <a:gs pos="17000">
                    <a:srgbClr val="4A6666"/>
                  </a:gs>
                  <a:gs pos="43000">
                    <a:srgbClr val="0070C0"/>
                  </a:gs>
                  <a:gs pos="70000">
                    <a:srgbClr val="00B0F0"/>
                  </a:gs>
                  <a:gs pos="100000">
                    <a:srgbClr val="CCFFFF">
                      <a:shade val="100000"/>
                      <a:satMod val="115000"/>
                    </a:srgbClr>
                  </a:gs>
                </a:gsLst>
                <a:lin ang="16200000" scaled="1"/>
                <a:tileRect/>
              </a:gradFill>
              <a:ln>
                <a:noFill/>
              </a:ln>
              <a:effectLst/>
            </c:spPr>
            <c:extLst>
              <c:ext xmlns:c16="http://schemas.microsoft.com/office/drawing/2014/chart" uri="{C3380CC4-5D6E-409C-BE32-E72D297353CC}">
                <c16:uniqueId val="{0000000B-5723-4668-8AE3-4620573F8E0B}"/>
              </c:ext>
            </c:extLst>
          </c:dPt>
          <c:dPt>
            <c:idx val="9"/>
            <c:invertIfNegative val="0"/>
            <c:bubble3D val="0"/>
            <c:spPr>
              <a:gradFill flip="none" rotWithShape="1">
                <a:gsLst>
                  <a:gs pos="17000">
                    <a:srgbClr val="4A6666"/>
                  </a:gs>
                  <a:gs pos="43000">
                    <a:srgbClr val="0070C0"/>
                  </a:gs>
                  <a:gs pos="70000">
                    <a:srgbClr val="00B0F0"/>
                  </a:gs>
                  <a:gs pos="100000">
                    <a:srgbClr val="CCFFFF">
                      <a:shade val="100000"/>
                      <a:satMod val="115000"/>
                    </a:srgbClr>
                  </a:gs>
                </a:gsLst>
                <a:lin ang="16200000" scaled="1"/>
                <a:tileRect/>
              </a:gradFill>
              <a:ln>
                <a:noFill/>
              </a:ln>
              <a:effectLst/>
            </c:spPr>
            <c:extLst>
              <c:ext xmlns:c16="http://schemas.microsoft.com/office/drawing/2014/chart" uri="{C3380CC4-5D6E-409C-BE32-E72D297353CC}">
                <c16:uniqueId val="{0000000A-5723-4668-8AE3-4620573F8E0B}"/>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723-4668-8AE3-4620573F8E0B}"/>
                </c:ext>
              </c:extLst>
            </c:dLbl>
            <c:dLbl>
              <c:idx val="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723-4668-8AE3-4620573F8E0B}"/>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2'!$H$41:$H$53</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2'!$I$41:$I$53</c:f>
              <c:numCache>
                <c:formatCode>General</c:formatCode>
                <c:ptCount val="12"/>
                <c:pt idx="0">
                  <c:v>24959045</c:v>
                </c:pt>
                <c:pt idx="1">
                  <c:v>25785788</c:v>
                </c:pt>
                <c:pt idx="2">
                  <c:v>25719699</c:v>
                </c:pt>
                <c:pt idx="3">
                  <c:v>27585846.789999999</c:v>
                </c:pt>
                <c:pt idx="4">
                  <c:v>31117460.349999998</c:v>
                </c:pt>
                <c:pt idx="5">
                  <c:v>31772150.07</c:v>
                </c:pt>
                <c:pt idx="6">
                  <c:v>31515133</c:v>
                </c:pt>
                <c:pt idx="7">
                  <c:v>33086875</c:v>
                </c:pt>
                <c:pt idx="8">
                  <c:v>32989602</c:v>
                </c:pt>
                <c:pt idx="9">
                  <c:v>34286781</c:v>
                </c:pt>
                <c:pt idx="10">
                  <c:v>32222159</c:v>
                </c:pt>
                <c:pt idx="11">
                  <c:v>32758587</c:v>
                </c:pt>
              </c:numCache>
            </c:numRef>
          </c:val>
          <c:extLst>
            <c:ext xmlns:c16="http://schemas.microsoft.com/office/drawing/2014/chart" uri="{C3380CC4-5D6E-409C-BE32-E72D297353CC}">
              <c16:uniqueId val="{00000009-5723-4668-8AE3-4620573F8E0B}"/>
            </c:ext>
          </c:extLst>
        </c:ser>
        <c:dLbls>
          <c:showLegendKey val="0"/>
          <c:showVal val="0"/>
          <c:showCatName val="0"/>
          <c:showSerName val="0"/>
          <c:showPercent val="0"/>
          <c:showBubbleSize val="0"/>
        </c:dLbls>
        <c:gapWidth val="100"/>
        <c:overlap val="-27"/>
        <c:axId val="1924392415"/>
        <c:axId val="1924394911"/>
      </c:barChart>
      <c:catAx>
        <c:axId val="192439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924394911"/>
        <c:crosses val="autoZero"/>
        <c:auto val="1"/>
        <c:lblAlgn val="ctr"/>
        <c:lblOffset val="100"/>
        <c:noMultiLvlLbl val="0"/>
      </c:catAx>
      <c:valAx>
        <c:axId val="1924394911"/>
        <c:scaling>
          <c:orientation val="minMax"/>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924392415"/>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2!PivotTable28</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80FF"/>
          </a:solidFill>
          <a:ln>
            <a:noFill/>
          </a:ln>
          <a:effectLst/>
        </c:spPr>
        <c:marker>
          <c:symbol val="none"/>
        </c:marker>
        <c:dLbl>
          <c:idx val="0"/>
          <c:numFmt formatCode="#,###&quot;M&quot;\ [$₽-419]"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4A6666"/>
          </a:solidFill>
          <a:ln>
            <a:noFill/>
          </a:ln>
          <a:effectLst/>
        </c:spPr>
        <c:marker>
          <c:symbol val="none"/>
        </c:marke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FFFF"/>
          </a:solidFill>
          <a:ln>
            <a:noFill/>
          </a:ln>
          <a:effectLst/>
        </c:spPr>
        <c:marker>
          <c:symbol val="none"/>
        </c:marke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4A6666"/>
          </a:solidFill>
          <a:ln>
            <a:noFill/>
          </a:ln>
          <a:effectLst/>
        </c:spP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80FF"/>
          </a:solidFill>
          <a:ln>
            <a:noFill/>
          </a:ln>
          <a:effectLst/>
        </c:spPr>
        <c:dLbl>
          <c:idx val="0"/>
          <c:numFmt formatCode="#,###&quot;M&quot;\ [$₽-419]"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CFFFF"/>
          </a:solidFill>
          <a:ln>
            <a:noFill/>
          </a:ln>
          <a:effectLst/>
        </c:spPr>
        <c:dLbl>
          <c:idx val="0"/>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2'!$H$58</c:f>
              <c:strCache>
                <c:ptCount val="1"/>
                <c:pt idx="0">
                  <c:v>Вaловая прибыль</c:v>
                </c:pt>
              </c:strCache>
            </c:strRef>
          </c:tx>
          <c:spPr>
            <a:solidFill>
              <a:srgbClr val="0080FF"/>
            </a:solidFill>
            <a:ln>
              <a:noFill/>
            </a:ln>
            <a:effectLst/>
          </c:spPr>
          <c:invertIfNegative val="0"/>
          <c:dPt>
            <c:idx val="11"/>
            <c:invertIfNegative val="0"/>
            <c:bubble3D val="0"/>
            <c:extLst>
              <c:ext xmlns:c16="http://schemas.microsoft.com/office/drawing/2014/chart" uri="{C3380CC4-5D6E-409C-BE32-E72D297353CC}">
                <c16:uniqueId val="{00000004-051B-45A0-AEFB-E1B0DE87BF78}"/>
              </c:ext>
            </c:extLst>
          </c:dPt>
          <c:dLbls>
            <c:dLbl>
              <c:idx val="1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51B-45A0-AEFB-E1B0DE87BF78}"/>
                </c:ext>
              </c:extLst>
            </c:dLbl>
            <c:numFmt formatCode="#,###&quot;M&quot;\ [$₽-419]"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2'!$H$59:$H$71</c:f>
              <c:numCache>
                <c:formatCode>General</c:formatCode>
                <c:ptCount val="12"/>
                <c:pt idx="0">
                  <c:v>23408195.07</c:v>
                </c:pt>
                <c:pt idx="1">
                  <c:v>27654983.289999999</c:v>
                </c:pt>
                <c:pt idx="2">
                  <c:v>37789010.210000001</c:v>
                </c:pt>
                <c:pt idx="3">
                  <c:v>43271781.479999997</c:v>
                </c:pt>
                <c:pt idx="4">
                  <c:v>44737347.469999999</c:v>
                </c:pt>
                <c:pt idx="5">
                  <c:v>41719909.439999998</c:v>
                </c:pt>
                <c:pt idx="6">
                  <c:v>44672668.309999995</c:v>
                </c:pt>
                <c:pt idx="7">
                  <c:v>42024052.890000001</c:v>
                </c:pt>
                <c:pt idx="8">
                  <c:v>43588660.850000001</c:v>
                </c:pt>
                <c:pt idx="9">
                  <c:v>45532370.930000007</c:v>
                </c:pt>
                <c:pt idx="10">
                  <c:v>38343162.43</c:v>
                </c:pt>
                <c:pt idx="11">
                  <c:v>47978451.369999997</c:v>
                </c:pt>
              </c:numCache>
            </c:numRef>
          </c:val>
          <c:extLst>
            <c:ext xmlns:c16="http://schemas.microsoft.com/office/drawing/2014/chart" uri="{C3380CC4-5D6E-409C-BE32-E72D297353CC}">
              <c16:uniqueId val="{00000000-8DC5-49D1-A473-CB649BD5C420}"/>
            </c:ext>
          </c:extLst>
        </c:ser>
        <c:ser>
          <c:idx val="1"/>
          <c:order val="1"/>
          <c:tx>
            <c:strRef>
              <c:f>'Pivot Tables 2'!$I$58</c:f>
              <c:strCache>
                <c:ptCount val="1"/>
                <c:pt idx="0">
                  <c:v>Выручкa</c:v>
                </c:pt>
              </c:strCache>
            </c:strRef>
          </c:tx>
          <c:spPr>
            <a:solidFill>
              <a:srgbClr val="4A6666"/>
            </a:solidFill>
            <a:ln>
              <a:noFill/>
            </a:ln>
            <a:effectLst/>
          </c:spPr>
          <c:invertIfNegative val="0"/>
          <c:dPt>
            <c:idx val="11"/>
            <c:invertIfNegative val="0"/>
            <c:bubble3D val="0"/>
            <c:extLst>
              <c:ext xmlns:c16="http://schemas.microsoft.com/office/drawing/2014/chart" uri="{C3380CC4-5D6E-409C-BE32-E72D297353CC}">
                <c16:uniqueId val="{00000002-051B-45A0-AEFB-E1B0DE87BF78}"/>
              </c:ext>
            </c:extLst>
          </c:dPt>
          <c:dLbls>
            <c:dLbl>
              <c:idx val="1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51B-45A0-AEFB-E1B0DE87BF78}"/>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2'!$I$59:$I$71</c:f>
              <c:numCache>
                <c:formatCode>General</c:formatCode>
                <c:ptCount val="12"/>
                <c:pt idx="0">
                  <c:v>42453885.280000001</c:v>
                </c:pt>
                <c:pt idx="1">
                  <c:v>50056592.769999996</c:v>
                </c:pt>
                <c:pt idx="2">
                  <c:v>71245023.560000002</c:v>
                </c:pt>
                <c:pt idx="3">
                  <c:v>76230292.219999999</c:v>
                </c:pt>
                <c:pt idx="4">
                  <c:v>78200669.989999995</c:v>
                </c:pt>
                <c:pt idx="5">
                  <c:v>72991971.849999994</c:v>
                </c:pt>
                <c:pt idx="6">
                  <c:v>76321721.810000002</c:v>
                </c:pt>
                <c:pt idx="7">
                  <c:v>73842328.590000004</c:v>
                </c:pt>
                <c:pt idx="8">
                  <c:v>78914842.890000001</c:v>
                </c:pt>
                <c:pt idx="9">
                  <c:v>78444070.400000006</c:v>
                </c:pt>
                <c:pt idx="10">
                  <c:v>66328264.289999999</c:v>
                </c:pt>
                <c:pt idx="11">
                  <c:v>88518218.019999996</c:v>
                </c:pt>
              </c:numCache>
            </c:numRef>
          </c:val>
          <c:extLst>
            <c:ext xmlns:c16="http://schemas.microsoft.com/office/drawing/2014/chart" uri="{C3380CC4-5D6E-409C-BE32-E72D297353CC}">
              <c16:uniqueId val="{00000001-8DC5-49D1-A473-CB649BD5C420}"/>
            </c:ext>
          </c:extLst>
        </c:ser>
        <c:ser>
          <c:idx val="2"/>
          <c:order val="2"/>
          <c:tx>
            <c:strRef>
              <c:f>'Pivot Tables 2'!$J$58</c:f>
              <c:strCache>
                <c:ptCount val="1"/>
                <c:pt idx="0">
                  <c:v>Чистaя прибыль</c:v>
                </c:pt>
              </c:strCache>
            </c:strRef>
          </c:tx>
          <c:spPr>
            <a:solidFill>
              <a:srgbClr val="CCFFFF"/>
            </a:solidFill>
            <a:ln>
              <a:noFill/>
            </a:ln>
            <a:effectLst/>
          </c:spPr>
          <c:invertIfNegative val="0"/>
          <c:dPt>
            <c:idx val="11"/>
            <c:invertIfNegative val="0"/>
            <c:bubble3D val="0"/>
            <c:extLst>
              <c:ext xmlns:c16="http://schemas.microsoft.com/office/drawing/2014/chart" uri="{C3380CC4-5D6E-409C-BE32-E72D297353CC}">
                <c16:uniqueId val="{00000005-051B-45A0-AEFB-E1B0DE87BF78}"/>
              </c:ext>
            </c:extLst>
          </c:dPt>
          <c:dLbls>
            <c:dLbl>
              <c:idx val="1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51B-45A0-AEFB-E1B0DE87BF78}"/>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2'!$J$59:$J$71</c:f>
              <c:numCache>
                <c:formatCode>General</c:formatCode>
                <c:ptCount val="12"/>
                <c:pt idx="0">
                  <c:v>-4238609.93</c:v>
                </c:pt>
                <c:pt idx="1">
                  <c:v>-431087.39999999997</c:v>
                </c:pt>
                <c:pt idx="2">
                  <c:v>9294900.2299999986</c:v>
                </c:pt>
                <c:pt idx="3">
                  <c:v>11990855.460000001</c:v>
                </c:pt>
                <c:pt idx="4">
                  <c:v>11112761.59</c:v>
                </c:pt>
                <c:pt idx="5">
                  <c:v>8053333.9199999999</c:v>
                </c:pt>
                <c:pt idx="6">
                  <c:v>9697370.0899999999</c:v>
                </c:pt>
                <c:pt idx="7">
                  <c:v>6582944.3599999994</c:v>
                </c:pt>
                <c:pt idx="8">
                  <c:v>7770752.1399999997</c:v>
                </c:pt>
                <c:pt idx="9">
                  <c:v>7768519.4600000009</c:v>
                </c:pt>
                <c:pt idx="10">
                  <c:v>2997840.5800000005</c:v>
                </c:pt>
                <c:pt idx="11">
                  <c:v>12132193.179999998</c:v>
                </c:pt>
              </c:numCache>
            </c:numRef>
          </c:val>
          <c:extLst>
            <c:ext xmlns:c16="http://schemas.microsoft.com/office/drawing/2014/chart" uri="{C3380CC4-5D6E-409C-BE32-E72D297353CC}">
              <c16:uniqueId val="{00000002-8DC5-49D1-A473-CB649BD5C420}"/>
            </c:ext>
          </c:extLst>
        </c:ser>
        <c:dLbls>
          <c:showLegendKey val="0"/>
          <c:showVal val="0"/>
          <c:showCatName val="0"/>
          <c:showSerName val="0"/>
          <c:showPercent val="0"/>
          <c:showBubbleSize val="0"/>
        </c:dLbls>
        <c:gapWidth val="100"/>
        <c:axId val="1545091503"/>
        <c:axId val="1545079855"/>
      </c:barChart>
      <c:lineChart>
        <c:grouping val="standard"/>
        <c:varyColors val="0"/>
        <c:ser>
          <c:idx val="3"/>
          <c:order val="3"/>
          <c:tx>
            <c:strRef>
              <c:f>'Pivot Tables 2'!$K$58</c:f>
              <c:strCache>
                <c:ptCount val="1"/>
                <c:pt idx="0">
                  <c:v>Average of Маржинальность</c:v>
                </c:pt>
              </c:strCache>
            </c:strRef>
          </c:tx>
          <c:spPr>
            <a:ln w="28575" cap="rnd">
              <a:solidFill>
                <a:srgbClr val="00B050"/>
              </a:solidFill>
              <a:round/>
            </a:ln>
            <a:effectLst/>
          </c:spPr>
          <c:marker>
            <c:symbol val="none"/>
          </c:marker>
          <c:dPt>
            <c:idx val="6"/>
            <c:marker>
              <c:symbol val="none"/>
            </c:marker>
            <c:bubble3D val="0"/>
            <c:extLst>
              <c:ext xmlns:c16="http://schemas.microsoft.com/office/drawing/2014/chart" uri="{C3380CC4-5D6E-409C-BE32-E72D297353CC}">
                <c16:uniqueId val="{00000003-051B-45A0-AEFB-E1B0DE87BF78}"/>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1B-45A0-AEFB-E1B0DE87BF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FFFF"/>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2'!$K$59:$K$71</c:f>
              <c:numCache>
                <c:formatCode>0%</c:formatCode>
                <c:ptCount val="12"/>
                <c:pt idx="0">
                  <c:v>0.55664122020882145</c:v>
                </c:pt>
                <c:pt idx="1">
                  <c:v>0.55490449316250845</c:v>
                </c:pt>
                <c:pt idx="2">
                  <c:v>0.53342192750737016</c:v>
                </c:pt>
                <c:pt idx="3">
                  <c:v>0.56583379107864762</c:v>
                </c:pt>
                <c:pt idx="4">
                  <c:v>0.57291318945372771</c:v>
                </c:pt>
                <c:pt idx="5">
                  <c:v>0.57240536236223793</c:v>
                </c:pt>
                <c:pt idx="6">
                  <c:v>0.58346190608367665</c:v>
                </c:pt>
                <c:pt idx="7">
                  <c:v>0.57001083077668324</c:v>
                </c:pt>
                <c:pt idx="8">
                  <c:v>0.55340320620575756</c:v>
                </c:pt>
                <c:pt idx="9">
                  <c:v>0.57891572046120265</c:v>
                </c:pt>
                <c:pt idx="10">
                  <c:v>0.57716429068205577</c:v>
                </c:pt>
                <c:pt idx="11">
                  <c:v>0.5453709041903515</c:v>
                </c:pt>
              </c:numCache>
            </c:numRef>
          </c:val>
          <c:smooth val="0"/>
          <c:extLst>
            <c:ext xmlns:c16="http://schemas.microsoft.com/office/drawing/2014/chart" uri="{C3380CC4-5D6E-409C-BE32-E72D297353CC}">
              <c16:uniqueId val="{00000001-051B-45A0-AEFB-E1B0DE87BF78}"/>
            </c:ext>
          </c:extLst>
        </c:ser>
        <c:dLbls>
          <c:showLegendKey val="0"/>
          <c:showVal val="0"/>
          <c:showCatName val="0"/>
          <c:showSerName val="0"/>
          <c:showPercent val="0"/>
          <c:showBubbleSize val="0"/>
        </c:dLbls>
        <c:marker val="1"/>
        <c:smooth val="0"/>
        <c:axId val="1565182239"/>
        <c:axId val="1565172255"/>
      </c:lineChart>
      <c:catAx>
        <c:axId val="154509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545079855"/>
        <c:crosses val="autoZero"/>
        <c:auto val="1"/>
        <c:lblAlgn val="ctr"/>
        <c:lblOffset val="100"/>
        <c:noMultiLvlLbl val="0"/>
      </c:catAx>
      <c:valAx>
        <c:axId val="1545079855"/>
        <c:scaling>
          <c:orientation val="minMax"/>
          <c:min val="-5000000"/>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545091503"/>
        <c:crosses val="autoZero"/>
        <c:crossBetween val="between"/>
        <c:dispUnits>
          <c:builtInUnit val="millions"/>
        </c:dispUnits>
      </c:valAx>
      <c:valAx>
        <c:axId val="156517225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00B050">
                      <a:alpha val="60000"/>
                    </a:srgbClr>
                  </a:solidFill>
                </a:ln>
                <a:solidFill>
                  <a:srgbClr val="00B050"/>
                </a:solidFill>
                <a:latin typeface="+mn-lt"/>
                <a:ea typeface="+mn-ea"/>
                <a:cs typeface="+mn-cs"/>
              </a:defRPr>
            </a:pPr>
            <a:endParaRPr lang="en-US"/>
          </a:p>
        </c:txPr>
        <c:crossAx val="1565182239"/>
        <c:crosses val="max"/>
        <c:crossBetween val="between"/>
      </c:valAx>
      <c:catAx>
        <c:axId val="1565182239"/>
        <c:scaling>
          <c:orientation val="minMax"/>
        </c:scaling>
        <c:delete val="1"/>
        <c:axPos val="b"/>
        <c:numFmt formatCode="General" sourceLinked="1"/>
        <c:majorTickMark val="out"/>
        <c:minorTickMark val="none"/>
        <c:tickLblPos val="nextTo"/>
        <c:crossAx val="1565172255"/>
        <c:crosses val="autoZero"/>
        <c:auto val="1"/>
        <c:lblAlgn val="ctr"/>
        <c:lblOffset val="100"/>
        <c:noMultiLvlLbl val="0"/>
      </c:catAx>
      <c:spPr>
        <a:noFill/>
        <a:ln>
          <a:noFill/>
        </a:ln>
        <a:effectLst/>
      </c:spPr>
    </c:plotArea>
    <c:legend>
      <c:legendPos val="t"/>
      <c:layout>
        <c:manualLayout>
          <c:xMode val="edge"/>
          <c:yMode val="edge"/>
          <c:x val="0"/>
          <c:y val="0"/>
          <c:w val="1"/>
          <c:h val="0.14930664916885389"/>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22703799295805E-2"/>
          <c:y val="9.3819229659810319E-4"/>
          <c:w val="0.96369204394813379"/>
          <c:h val="0.91159704301489952"/>
        </c:manualLayout>
      </c:layout>
      <c:bubbleChart>
        <c:varyColors val="0"/>
        <c:ser>
          <c:idx val="0"/>
          <c:order val="0"/>
          <c:tx>
            <c:strRef>
              <c:f>'Pivot Tables 5'!$J$3</c:f>
              <c:strCache>
                <c:ptCount val="1"/>
                <c:pt idx="0">
                  <c:v>y</c:v>
                </c:pt>
              </c:strCache>
            </c:strRef>
          </c:tx>
          <c:spPr>
            <a:solidFill>
              <a:srgbClr val="0080FF"/>
            </a:solidFill>
            <a:ln w="53975" cmpd="sng">
              <a:noFill/>
            </a:ln>
            <a:effectLst>
              <a:outerShdw blurRad="63500" dist="63500" dir="8400000" sx="101000" sy="101000" algn="tr" rotWithShape="0">
                <a:prstClr val="black">
                  <a:alpha val="40000"/>
                </a:prstClr>
              </a:outerShdw>
            </a:effectLst>
            <a:scene3d>
              <a:camera prst="orthographicFront"/>
              <a:lightRig rig="soft" dir="t">
                <a:rot lat="0" lon="0" rev="1800000"/>
              </a:lightRig>
            </a:scene3d>
            <a:sp3d prstMaterial="plastic">
              <a:bevelT w="508000" h="508000"/>
              <a:bevelB w="1524000" h="1524000"/>
            </a:sp3d>
          </c:spPr>
          <c:invertIfNegative val="0"/>
          <c:dLbls>
            <c:dLbl>
              <c:idx val="0"/>
              <c:tx>
                <c:rich>
                  <a:bodyPr rot="0" spcFirstLastPara="1" vertOverflow="overflow" horzOverflow="overflow" vert="horz" wrap="none" lIns="38100" tIns="19050" rIns="38100" bIns="19050" anchor="ctr" anchorCtr="0">
                    <a:spAutoFit/>
                  </a:bodyPr>
                  <a:lstStyle/>
                  <a:p>
                    <a:pPr algn="ctr">
                      <a:defRPr lang="en-US" sz="2800" b="1" i="0" u="none" strike="noStrike" kern="1200" baseline="0">
                        <a:solidFill>
                          <a:srgbClr val="CCFFFF"/>
                        </a:solidFill>
                        <a:latin typeface="+mn-lt"/>
                        <a:ea typeface="+mn-ea"/>
                        <a:cs typeface="+mn-cs"/>
                      </a:defRPr>
                    </a:pPr>
                    <a:fld id="{71B9DD2B-21DC-4436-AF1E-85D21F233D28}" type="CELLRANGE">
                      <a:rPr lang="ru-RU"/>
                      <a:pPr algn="ctr">
                        <a:defRPr lang="en-US" sz="2800" b="1">
                          <a:solidFill>
                            <a:srgbClr val="CCFFFF"/>
                          </a:solidFill>
                        </a:defRPr>
                      </a:pPr>
                      <a:t>[CELLRANGE]</a:t>
                    </a:fld>
                    <a:endParaRPr lang="ru-RU" baseline="0"/>
                  </a:p>
                  <a:p>
                    <a:pPr algn="ctr">
                      <a:defRPr lang="en-US" sz="2800" b="1">
                        <a:solidFill>
                          <a:srgbClr val="CCFFFF"/>
                        </a:solidFill>
                      </a:defRPr>
                    </a:pPr>
                    <a:fld id="{9C560701-D2AD-463D-95B9-B5690090A2AE}" type="BUBBLESIZE">
                      <a:rPr lang="en-US" sz="3200"/>
                      <a:pPr algn="ctr">
                        <a:defRPr lang="en-US" sz="2800" b="1">
                          <a:solidFill>
                            <a:srgbClr val="CCFFFF"/>
                          </a:solidFill>
                        </a:defRPr>
                      </a:pPr>
                      <a:t>[BUBBLE SIZE]</a:t>
                    </a:fld>
                    <a:endParaRPr lang="en-US"/>
                  </a:p>
                </c:rich>
              </c:tx>
              <c:spPr>
                <a:noFill/>
                <a:ln>
                  <a:noFill/>
                </a:ln>
                <a:effectLst/>
              </c:spPr>
              <c:txPr>
                <a:bodyPr rot="0" spcFirstLastPara="1" vertOverflow="overflow" horzOverflow="overflow" vert="horz" wrap="none" lIns="38100" tIns="19050" rIns="38100" bIns="19050" anchor="ctr" anchorCtr="0">
                  <a:spAutoFit/>
                </a:bodyPr>
                <a:lstStyle/>
                <a:p>
                  <a:pPr algn="ctr">
                    <a:defRPr lang="en-US" sz="2800" b="1" i="0" u="none" strike="noStrike" kern="1200" baseline="0">
                      <a:solidFill>
                        <a:srgbClr val="CCFFFF"/>
                      </a:solidFill>
                      <a:latin typeface="+mn-lt"/>
                      <a:ea typeface="+mn-ea"/>
                      <a:cs typeface="+mn-cs"/>
                    </a:defRPr>
                  </a:pPr>
                  <a:endParaRPr lang="en-US"/>
                </a:p>
              </c:txPr>
              <c:dLblPos val="ctr"/>
              <c:showLegendKey val="0"/>
              <c:showVal val="0"/>
              <c:showCatName val="0"/>
              <c:showSerName val="0"/>
              <c:showPercent val="0"/>
              <c:showBubbleSize val="1"/>
              <c:separator>
</c:separator>
              <c:extLst>
                <c:ext xmlns:c15="http://schemas.microsoft.com/office/drawing/2012/chart" uri="{CE6537A1-D6FC-4f65-9D91-7224C49458BB}">
                  <c15:spPr xmlns:c15="http://schemas.microsoft.com/office/drawing/2012/chart">
                    <a:prstGeom prst="rect">
                      <a:avLst/>
                    </a:prstGeom>
                    <a:noFill/>
                    <a:ln>
                      <a:noFill/>
                    </a:ln>
                  </c15:spPr>
                  <c15:dlblFieldTable/>
                  <c15:showDataLabelsRange val="1"/>
                </c:ext>
                <c:ext xmlns:c16="http://schemas.microsoft.com/office/drawing/2014/chart" uri="{C3380CC4-5D6E-409C-BE32-E72D297353CC}">
                  <c16:uniqueId val="{00000002-B1F3-4B10-9FA6-C3EB53C244B7}"/>
                </c:ext>
              </c:extLst>
            </c:dLbl>
            <c:dLbl>
              <c:idx val="1"/>
              <c:tx>
                <c:rich>
                  <a:bodyPr/>
                  <a:lstStyle/>
                  <a:p>
                    <a:fld id="{107A77FF-2CB4-4C05-A0A5-1F4934AC1DD0}" type="CELLRANGE">
                      <a:rPr lang="ru-RU"/>
                      <a:pPr/>
                      <a:t>[CELLRANGE]</a:t>
                    </a:fld>
                    <a:endParaRPr lang="ru-RU" baseline="0"/>
                  </a:p>
                  <a:p>
                    <a:fld id="{6BE86021-A421-4050-B399-A64E9223DAB2}"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B1F3-4B10-9FA6-C3EB53C244B7}"/>
                </c:ext>
              </c:extLst>
            </c:dLbl>
            <c:dLbl>
              <c:idx val="2"/>
              <c:tx>
                <c:rich>
                  <a:bodyPr/>
                  <a:lstStyle/>
                  <a:p>
                    <a:fld id="{9ADC7EE8-5201-4581-9E88-E493C244BBC1}" type="CELLRANGE">
                      <a:rPr lang="ru-RU"/>
                      <a:pPr/>
                      <a:t>[CELLRANGE]</a:t>
                    </a:fld>
                    <a:endParaRPr lang="ru-RU" baseline="0"/>
                  </a:p>
                  <a:p>
                    <a:fld id="{54D2FCCE-BFE1-4313-9D06-857F958F5F0D}"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B1F3-4B10-9FA6-C3EB53C244B7}"/>
                </c:ext>
              </c:extLst>
            </c:dLbl>
            <c:dLbl>
              <c:idx val="3"/>
              <c:tx>
                <c:rich>
                  <a:bodyPr/>
                  <a:lstStyle/>
                  <a:p>
                    <a:fld id="{D3497954-BDEF-4F26-BAF0-89447B998F6F}" type="CELLRANGE">
                      <a:rPr lang="en-US"/>
                      <a:pPr/>
                      <a:t>[CELLRANGE]</a:t>
                    </a:fld>
                    <a:endParaRPr lang="ru-RU" baseline="0"/>
                  </a:p>
                  <a:p>
                    <a:fld id="{CF1F4AE2-D135-40B6-BF6E-0402B74604AB}"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B1F3-4B10-9FA6-C3EB53C244B7}"/>
                </c:ext>
              </c:extLst>
            </c:dLbl>
            <c:dLbl>
              <c:idx val="4"/>
              <c:tx>
                <c:rich>
                  <a:bodyPr/>
                  <a:lstStyle/>
                  <a:p>
                    <a:fld id="{9AFAC6F0-53AC-4781-A51D-D8E12892783A}" type="CELLRANGE">
                      <a:rPr lang="en-US"/>
                      <a:pPr/>
                      <a:t>[CELLRANGE]</a:t>
                    </a:fld>
                    <a:endParaRPr lang="ru-RU" baseline="0"/>
                  </a:p>
                  <a:p>
                    <a:fld id="{A8FA02A7-ED85-418E-AC9F-66DA5FE556AB}"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B1F3-4B10-9FA6-C3EB53C244B7}"/>
                </c:ext>
              </c:extLst>
            </c:dLbl>
            <c:dLbl>
              <c:idx val="5"/>
              <c:tx>
                <c:rich>
                  <a:bodyPr/>
                  <a:lstStyle/>
                  <a:p>
                    <a:fld id="{B8B6A6AD-DCF5-40B2-BA8C-B2A0A8123900}" type="CELLRANGE">
                      <a:rPr lang="ru-RU"/>
                      <a:pPr/>
                      <a:t>[CELLRANGE]</a:t>
                    </a:fld>
                    <a:endParaRPr lang="ru-RU" baseline="0"/>
                  </a:p>
                  <a:p>
                    <a:fld id="{84F27E67-1735-4971-9260-7DDA376C4905}"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B1F3-4B10-9FA6-C3EB53C244B7}"/>
                </c:ext>
              </c:extLst>
            </c:dLbl>
            <c:dLbl>
              <c:idx val="6"/>
              <c:tx>
                <c:rich>
                  <a:bodyPr/>
                  <a:lstStyle/>
                  <a:p>
                    <a:fld id="{87C42292-6C1A-4FF1-968E-2CCE87533C4E}" type="CELLRANGE">
                      <a:rPr lang="ru-RU"/>
                      <a:pPr/>
                      <a:t>[CELLRANGE]</a:t>
                    </a:fld>
                    <a:endParaRPr lang="ru-RU" baseline="0"/>
                  </a:p>
                  <a:p>
                    <a:fld id="{66046B10-6588-48AB-9A65-6EC610DFAEDD}"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B1F3-4B10-9FA6-C3EB53C244B7}"/>
                </c:ext>
              </c:extLst>
            </c:dLbl>
            <c:dLbl>
              <c:idx val="7"/>
              <c:tx>
                <c:rich>
                  <a:bodyPr/>
                  <a:lstStyle/>
                  <a:p>
                    <a:fld id="{3A752ABA-D5FC-4C30-97A4-C74627EC13A2}" type="CELLRANGE">
                      <a:rPr lang="ru-RU"/>
                      <a:pPr/>
                      <a:t>[CELLRANGE]</a:t>
                    </a:fld>
                    <a:endParaRPr lang="ru-RU" baseline="0"/>
                  </a:p>
                  <a:p>
                    <a:fld id="{21AF350B-8870-4E28-9E7B-FAD1DB3A38CC}" type="BUBBLESIZE">
                      <a:rPr lang="en-US" sz="2000"/>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B1F3-4B10-9FA6-C3EB53C244B7}"/>
                </c:ext>
              </c:extLst>
            </c:dLbl>
            <c:spPr>
              <a:noFill/>
              <a:ln>
                <a:noFill/>
              </a:ln>
              <a:effectLst/>
            </c:spPr>
            <c:txPr>
              <a:bodyPr rot="0" spcFirstLastPara="1" vertOverflow="overflow" horzOverflow="overflow" vert="horz" wrap="none" lIns="38100" tIns="19050" rIns="38100" bIns="19050" anchor="ctr" anchorCtr="1">
                <a:spAutoFit/>
              </a:bodyPr>
              <a:lstStyle/>
              <a:p>
                <a:pPr>
                  <a:defRPr sz="1400" b="1" i="0" u="none" strike="noStrike" kern="1200" baseline="0">
                    <a:solidFill>
                      <a:srgbClr val="CCFFFF"/>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Tables 5'!$I$4:$I$11</c:f>
              <c:numCache>
                <c:formatCode>General</c:formatCode>
                <c:ptCount val="8"/>
                <c:pt idx="0">
                  <c:v>50</c:v>
                </c:pt>
                <c:pt idx="1">
                  <c:v>66</c:v>
                </c:pt>
                <c:pt idx="2">
                  <c:v>34</c:v>
                </c:pt>
                <c:pt idx="3">
                  <c:v>72</c:v>
                </c:pt>
                <c:pt idx="4">
                  <c:v>33</c:v>
                </c:pt>
                <c:pt idx="5">
                  <c:v>60.5</c:v>
                </c:pt>
                <c:pt idx="6">
                  <c:v>49</c:v>
                </c:pt>
                <c:pt idx="7">
                  <c:v>69</c:v>
                </c:pt>
              </c:numCache>
            </c:numRef>
          </c:xVal>
          <c:yVal>
            <c:numRef>
              <c:f>'Pivot Tables 5'!$J$4:$J$11</c:f>
              <c:numCache>
                <c:formatCode>General</c:formatCode>
                <c:ptCount val="8"/>
                <c:pt idx="0">
                  <c:v>50</c:v>
                </c:pt>
                <c:pt idx="1">
                  <c:v>23</c:v>
                </c:pt>
                <c:pt idx="2">
                  <c:v>24</c:v>
                </c:pt>
                <c:pt idx="3">
                  <c:v>47</c:v>
                </c:pt>
                <c:pt idx="4">
                  <c:v>77</c:v>
                </c:pt>
                <c:pt idx="5">
                  <c:v>80</c:v>
                </c:pt>
                <c:pt idx="6">
                  <c:v>79</c:v>
                </c:pt>
                <c:pt idx="7">
                  <c:v>66.5</c:v>
                </c:pt>
              </c:numCache>
            </c:numRef>
          </c:yVal>
          <c:bubbleSize>
            <c:numRef>
              <c:f>'Pivot Tables 5'!$C$4:$C$11</c:f>
              <c:numCache>
                <c:formatCode>[&gt;999999]#,,"M"\ [$₽-419];#,"K"\ [$₽-419]</c:formatCode>
                <c:ptCount val="8"/>
                <c:pt idx="0">
                  <c:v>30562705</c:v>
                </c:pt>
                <c:pt idx="1">
                  <c:v>8619489</c:v>
                </c:pt>
                <c:pt idx="2">
                  <c:v>5092962</c:v>
                </c:pt>
                <c:pt idx="3">
                  <c:v>6268715</c:v>
                </c:pt>
                <c:pt idx="4">
                  <c:v>4464712</c:v>
                </c:pt>
                <c:pt idx="5">
                  <c:v>2308141</c:v>
                </c:pt>
                <c:pt idx="6">
                  <c:v>893801</c:v>
                </c:pt>
                <c:pt idx="7">
                  <c:v>4410485</c:v>
                </c:pt>
              </c:numCache>
            </c:numRef>
          </c:bubbleSize>
          <c:bubble3D val="0"/>
          <c:extLst>
            <c:ext xmlns:c15="http://schemas.microsoft.com/office/drawing/2012/chart" uri="{02D57815-91ED-43cb-92C2-25804820EDAC}">
              <c15:datalabelsRange>
                <c15:f>'Pivot Tables 5'!$B$4:$B$11</c15:f>
                <c15:dlblRangeCache>
                  <c:ptCount val="8"/>
                  <c:pt idx="0">
                    <c:v>ФОТ</c:v>
                  </c:pt>
                  <c:pt idx="1">
                    <c:v>Маркетинг</c:v>
                  </c:pt>
                  <c:pt idx="2">
                    <c:v>Нaлоги</c:v>
                  </c:pt>
                  <c:pt idx="3">
                    <c:v>Aренда</c:v>
                  </c:pt>
                  <c:pt idx="4">
                    <c:v>Tранспорт</c:v>
                  </c:pt>
                  <c:pt idx="5">
                    <c:v>Интернет и Tелефон</c:v>
                  </c:pt>
                  <c:pt idx="6">
                    <c:v>Фин. рaсходы</c:v>
                  </c:pt>
                  <c:pt idx="7">
                    <c:v>Офисные рaсходы</c:v>
                  </c:pt>
                </c15:dlblRangeCache>
              </c15:datalabelsRange>
            </c:ext>
            <c:ext xmlns:c16="http://schemas.microsoft.com/office/drawing/2014/chart" uri="{C3380CC4-5D6E-409C-BE32-E72D297353CC}">
              <c16:uniqueId val="{00000000-B1F3-4B10-9FA6-C3EB53C244B7}"/>
            </c:ext>
          </c:extLst>
        </c:ser>
        <c:ser>
          <c:idx val="1"/>
          <c:order val="1"/>
          <c:spPr>
            <a:solidFill>
              <a:schemeClr val="accent2">
                <a:alpha val="75000"/>
              </a:schemeClr>
            </a:solidFill>
            <a:ln w="25400">
              <a:noFill/>
            </a:ln>
            <a:effectLst/>
          </c:spPr>
          <c:invertIfNegative val="0"/>
          <c:xVal>
            <c:strRef>
              <c:f>'Pivot Tables 5'!$B$4:$B$11</c:f>
              <c:strCache>
                <c:ptCount val="8"/>
                <c:pt idx="0">
                  <c:v>ФОТ</c:v>
                </c:pt>
                <c:pt idx="1">
                  <c:v>Маркетинг</c:v>
                </c:pt>
                <c:pt idx="2">
                  <c:v>Нaлоги</c:v>
                </c:pt>
                <c:pt idx="3">
                  <c:v>Aренда</c:v>
                </c:pt>
                <c:pt idx="4">
                  <c:v>Tранспорт</c:v>
                </c:pt>
                <c:pt idx="5">
                  <c:v>Интернет и Tелефон</c:v>
                </c:pt>
                <c:pt idx="6">
                  <c:v>Фин. рaсходы</c:v>
                </c:pt>
                <c:pt idx="7">
                  <c:v>Офисные рaсходы</c:v>
                </c:pt>
              </c:strCache>
            </c:strRef>
          </c:xVal>
          <c:yVal>
            <c:numRef>
              <c:f>'Pivot Tables 5'!$C$4:$C$11</c:f>
              <c:numCache>
                <c:formatCode>[&gt;999999]#,,"M"\ [$₽-419];#,"K"\ [$₽-419]</c:formatCode>
                <c:ptCount val="8"/>
                <c:pt idx="0">
                  <c:v>30562705</c:v>
                </c:pt>
                <c:pt idx="1">
                  <c:v>8619489</c:v>
                </c:pt>
                <c:pt idx="2">
                  <c:v>5092962</c:v>
                </c:pt>
                <c:pt idx="3">
                  <c:v>6268715</c:v>
                </c:pt>
                <c:pt idx="4">
                  <c:v>4464712</c:v>
                </c:pt>
                <c:pt idx="5">
                  <c:v>2308141</c:v>
                </c:pt>
                <c:pt idx="6">
                  <c:v>893801</c:v>
                </c:pt>
                <c:pt idx="7">
                  <c:v>4410485</c:v>
                </c:pt>
              </c:numCache>
            </c:numRef>
          </c:yVal>
          <c:bubble3D val="0"/>
          <c:extLst>
            <c:ext xmlns:c16="http://schemas.microsoft.com/office/drawing/2014/chart" uri="{C3380CC4-5D6E-409C-BE32-E72D297353CC}">
              <c16:uniqueId val="{0000000A-B1F3-4B10-9FA6-C3EB53C244B7}"/>
            </c:ext>
          </c:extLst>
        </c:ser>
        <c:dLbls>
          <c:showLegendKey val="0"/>
          <c:showVal val="0"/>
          <c:showCatName val="0"/>
          <c:showSerName val="0"/>
          <c:showPercent val="0"/>
          <c:showBubbleSize val="0"/>
        </c:dLbls>
        <c:bubbleScale val="200"/>
        <c:showNegBubbles val="0"/>
        <c:axId val="1934273504"/>
        <c:axId val="1934278496"/>
      </c:bubbleChart>
      <c:valAx>
        <c:axId val="1934273504"/>
        <c:scaling>
          <c:orientation val="minMax"/>
          <c:max val="100"/>
          <c:min val="0"/>
        </c:scaling>
        <c:delete val="1"/>
        <c:axPos val="b"/>
        <c:numFmt formatCode="General" sourceLinked="1"/>
        <c:majorTickMark val="none"/>
        <c:minorTickMark val="none"/>
        <c:tickLblPos val="nextTo"/>
        <c:crossAx val="1934278496"/>
        <c:crosses val="autoZero"/>
        <c:crossBetween val="midCat"/>
        <c:majorUnit val="5"/>
      </c:valAx>
      <c:valAx>
        <c:axId val="1934278496"/>
        <c:scaling>
          <c:orientation val="minMax"/>
          <c:max val="100"/>
          <c:min val="0"/>
        </c:scaling>
        <c:delete val="1"/>
        <c:axPos val="l"/>
        <c:numFmt formatCode="General" sourceLinked="1"/>
        <c:majorTickMark val="none"/>
        <c:minorTickMark val="none"/>
        <c:tickLblPos val="nextTo"/>
        <c:crossAx val="1934273504"/>
        <c:crosses val="autoZero"/>
        <c:crossBetween val="midCat"/>
        <c:majorUnit val="5"/>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5!PivotTable5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noFill/>
          <a:ln>
            <a:noFill/>
          </a:ln>
          <a:effectLst/>
        </c:spP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noFill/>
          <a:ln>
            <a:noFill/>
          </a:ln>
          <a:effectLst/>
        </c:spPr>
        <c:marker>
          <c:symbol val="none"/>
        </c:marker>
        <c:dLbl>
          <c:idx val="0"/>
          <c:spPr>
            <a:noFill/>
            <a:ln>
              <a:noFill/>
            </a:ln>
            <a:effectLst/>
          </c:spPr>
          <c:txPr>
            <a:bodyPr rot="0" spcFirstLastPara="1" vertOverflow="overflow" horzOverflow="overflow" vert="horz" wrap="none" lIns="182880" tIns="0" rIns="27432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noFill/>
          <a:ln>
            <a:noFill/>
          </a:ln>
          <a:effectLst/>
        </c:spPr>
        <c:marker>
          <c:symbol val="none"/>
        </c:marker>
        <c:dLbl>
          <c:idx val="0"/>
          <c:spPr>
            <a:noFill/>
            <a:ln>
              <a:noFill/>
            </a:ln>
            <a:effectLst/>
          </c:spPr>
          <c:txPr>
            <a:bodyPr rot="0" spcFirstLastPara="1" vertOverflow="overflow" horzOverflow="overflow" vert="horz" wrap="none" lIns="182880" tIns="0" rIns="274320" bIns="0" anchor="ctr" anchorCtr="0">
              <a:spAutoFit/>
            </a:bodyPr>
            <a:lstStyle/>
            <a:p>
              <a:pPr algn="l">
                <a:defRPr sz="1200" b="0" i="0" u="none" strike="noStrike" kern="1200" baseline="0">
                  <a:solidFill>
                    <a:srgbClr val="CCFFFF"/>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noFill/>
          <a:ln>
            <a:noFill/>
          </a:ln>
          <a:effectLst/>
        </c:spPr>
      </c:pivotFmt>
    </c:pivotFmts>
    <c:plotArea>
      <c:layout>
        <c:manualLayout>
          <c:layoutTarget val="inner"/>
          <c:xMode val="edge"/>
          <c:yMode val="edge"/>
          <c:x val="4.1765031664619895E-2"/>
          <c:y val="2.2667666541682292E-2"/>
          <c:w val="0.38549805134043047"/>
          <c:h val="0.89523809523809528"/>
        </c:manualLayout>
      </c:layout>
      <c:barChart>
        <c:barDir val="bar"/>
        <c:grouping val="clustered"/>
        <c:varyColors val="0"/>
        <c:ser>
          <c:idx val="0"/>
          <c:order val="0"/>
          <c:tx>
            <c:strRef>
              <c:f>'Pivot Tables 5'!$C$60</c:f>
              <c:strCache>
                <c:ptCount val="1"/>
                <c:pt idx="0">
                  <c:v>Total</c:v>
                </c:pt>
              </c:strCache>
            </c:strRef>
          </c:tx>
          <c:spPr>
            <a:noFill/>
            <a:ln>
              <a:noFill/>
            </a:ln>
            <a:effectLst/>
          </c:spPr>
          <c:invertIfNegative val="0"/>
          <c:dLbls>
            <c:spPr>
              <a:noFill/>
              <a:ln>
                <a:noFill/>
              </a:ln>
              <a:effectLst/>
            </c:spPr>
            <c:txPr>
              <a:bodyPr rot="0" spcFirstLastPara="1" vertOverflow="overflow" horzOverflow="overflow" vert="horz" wrap="none" lIns="182880" tIns="0" rIns="274320" bIns="0" anchor="ctr" anchorCtr="0">
                <a:spAutoFit/>
              </a:bodyPr>
              <a:lstStyle/>
              <a:p>
                <a:pPr algn="l">
                  <a:defRPr sz="1200" b="0" i="0" u="none" strike="noStrike" kern="1200" baseline="0">
                    <a:solidFill>
                      <a:srgbClr val="CC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 5'!$B$61:$B$68</c:f>
              <c:strCache>
                <c:ptCount val="8"/>
                <c:pt idx="0">
                  <c:v>Офисные рaсходы</c:v>
                </c:pt>
                <c:pt idx="1">
                  <c:v>Фин. рaсходы</c:v>
                </c:pt>
                <c:pt idx="2">
                  <c:v>Интернет и Tелефон</c:v>
                </c:pt>
                <c:pt idx="3">
                  <c:v>Tранспорт</c:v>
                </c:pt>
                <c:pt idx="4">
                  <c:v>Aренда</c:v>
                </c:pt>
                <c:pt idx="5">
                  <c:v>Нaлоги</c:v>
                </c:pt>
                <c:pt idx="6">
                  <c:v>Маркетинг</c:v>
                </c:pt>
                <c:pt idx="7">
                  <c:v>ФОТ</c:v>
                </c:pt>
              </c:strCache>
            </c:strRef>
          </c:cat>
          <c:val>
            <c:numRef>
              <c:f>'Pivot Tables 5'!$C$61:$C$68</c:f>
              <c:numCache>
                <c:formatCode>_-* #,##0\ [$₽-419]_-;\-* #,##0\ [$₽-419]_-;_-* "-"\ [$₽-419]_-;_-@_-</c:formatCode>
                <c:ptCount val="8"/>
                <c:pt idx="0">
                  <c:v>4410485</c:v>
                </c:pt>
                <c:pt idx="1">
                  <c:v>893801</c:v>
                </c:pt>
                <c:pt idx="2">
                  <c:v>2308141</c:v>
                </c:pt>
                <c:pt idx="3">
                  <c:v>4464712</c:v>
                </c:pt>
                <c:pt idx="4">
                  <c:v>6268715</c:v>
                </c:pt>
                <c:pt idx="5">
                  <c:v>5092962</c:v>
                </c:pt>
                <c:pt idx="6">
                  <c:v>8619489</c:v>
                </c:pt>
                <c:pt idx="7">
                  <c:v>30562705</c:v>
                </c:pt>
              </c:numCache>
            </c:numRef>
          </c:val>
          <c:extLst>
            <c:ext xmlns:c16="http://schemas.microsoft.com/office/drawing/2014/chart" uri="{C3380CC4-5D6E-409C-BE32-E72D297353CC}">
              <c16:uniqueId val="{00000000-05EB-4CC6-9C06-17BFBDBEE20F}"/>
            </c:ext>
          </c:extLst>
        </c:ser>
        <c:dLbls>
          <c:showLegendKey val="0"/>
          <c:showVal val="0"/>
          <c:showCatName val="0"/>
          <c:showSerName val="0"/>
          <c:showPercent val="0"/>
          <c:showBubbleSize val="0"/>
        </c:dLbls>
        <c:gapWidth val="182"/>
        <c:axId val="1940377040"/>
        <c:axId val="1940371216"/>
      </c:barChart>
      <c:catAx>
        <c:axId val="1940377040"/>
        <c:scaling>
          <c:orientation val="minMax"/>
        </c:scaling>
        <c:delete val="0"/>
        <c:axPos val="l"/>
        <c:numFmt formatCode="General" sourceLinked="1"/>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940371216"/>
        <c:crosses val="autoZero"/>
        <c:auto val="1"/>
        <c:lblAlgn val="l"/>
        <c:lblOffset val="100"/>
        <c:noMultiLvlLbl val="0"/>
      </c:catAx>
      <c:valAx>
        <c:axId val="1940371216"/>
        <c:scaling>
          <c:orientation val="minMax"/>
        </c:scaling>
        <c:delete val="1"/>
        <c:axPos val="b"/>
        <c:numFmt formatCode="_-* #,##0\ [$₽-419]_-;\-* #,##0\ [$₽-419]_-;_-* &quot;-&quot;\ [$₽-419]_-;_-@_-" sourceLinked="1"/>
        <c:majorTickMark val="none"/>
        <c:minorTickMark val="none"/>
        <c:tickLblPos val="nextTo"/>
        <c:crossAx val="1940377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274515075859422"/>
          <c:y val="7.1544715447154475E-2"/>
          <c:w val="0.82497842647717812"/>
          <c:h val="0.77757224249407852"/>
        </c:manualLayout>
      </c:layout>
      <c:lineChart>
        <c:grouping val="standard"/>
        <c:varyColors val="0"/>
        <c:ser>
          <c:idx val="0"/>
          <c:order val="0"/>
          <c:tx>
            <c:strRef>
              <c:f>'Forecasts 3'!$B$1</c:f>
              <c:strCache>
                <c:ptCount val="1"/>
                <c:pt idx="0">
                  <c:v>Выручка</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dLbl>
              <c:idx val="0"/>
              <c:tx>
                <c:rich>
                  <a:bodyPr/>
                  <a:lstStyle/>
                  <a:p>
                    <a:fld id="{CF81FDAC-0438-4D09-A676-DC2BB31C12D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92C-409E-83A4-5376597CAEA4}"/>
                </c:ext>
              </c:extLst>
            </c:dLbl>
            <c:dLbl>
              <c:idx val="1"/>
              <c:tx>
                <c:rich>
                  <a:bodyPr/>
                  <a:lstStyle/>
                  <a:p>
                    <a:fld id="{3D2C6A99-911A-4882-9101-A7A2E2A218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92C-409E-83A4-5376597CAEA4}"/>
                </c:ext>
              </c:extLst>
            </c:dLbl>
            <c:dLbl>
              <c:idx val="2"/>
              <c:tx>
                <c:rich>
                  <a:bodyPr/>
                  <a:lstStyle/>
                  <a:p>
                    <a:fld id="{730897C7-4B44-4815-AD30-6C524A45596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92C-409E-83A4-5376597CAEA4}"/>
                </c:ext>
              </c:extLst>
            </c:dLbl>
            <c:dLbl>
              <c:idx val="3"/>
              <c:tx>
                <c:rich>
                  <a:bodyPr/>
                  <a:lstStyle/>
                  <a:p>
                    <a:fld id="{91D9D143-9778-4081-8632-7A01B54399B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92C-409E-83A4-5376597CAEA4}"/>
                </c:ext>
              </c:extLst>
            </c:dLbl>
            <c:dLbl>
              <c:idx val="4"/>
              <c:tx>
                <c:rich>
                  <a:bodyPr/>
                  <a:lstStyle/>
                  <a:p>
                    <a:fld id="{1C32BDD8-B07D-442C-995D-3DAFCDED76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92C-409E-83A4-5376597CAEA4}"/>
                </c:ext>
              </c:extLst>
            </c:dLbl>
            <c:dLbl>
              <c:idx val="5"/>
              <c:tx>
                <c:rich>
                  <a:bodyPr/>
                  <a:lstStyle/>
                  <a:p>
                    <a:fld id="{B77CA145-6179-41F7-AEF8-F5F754ADED9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92C-409E-83A4-5376597CAEA4}"/>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492C-409E-83A4-5376597CAEA4}"/>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492C-409E-83A4-5376597CAEA4}"/>
                </c:ext>
              </c:extLst>
            </c:dLbl>
            <c:numFmt formatCode="0%" sourceLinked="0"/>
            <c:spPr>
              <a:noFill/>
              <a:ln>
                <a:noFill/>
              </a:ln>
              <a:effectLst/>
            </c:spPr>
            <c:txPr>
              <a:bodyPr rot="0" spcFirstLastPara="1" vertOverflow="overflow" horzOverflow="overflow" vert="horz" wrap="square" lIns="38100" tIns="91440" rIns="38100" bIns="0" anchor="t" anchorCtr="0">
                <a:spAutoFit/>
              </a:bodyPr>
              <a:lstStyle/>
              <a:p>
                <a:pPr>
                  <a:defRPr sz="900" b="0" i="0" u="none" strike="noStrike" kern="1200" baseline="0">
                    <a:ln>
                      <a:solidFill>
                        <a:srgbClr val="CCFFFF">
                          <a:alpha val="46000"/>
                        </a:srgbClr>
                      </a:solidFill>
                    </a:ln>
                    <a:solidFill>
                      <a:srgbClr val="CCFFFF"/>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3'!$B$2:$B$9</c:f>
              <c:numCache>
                <c:formatCode>#,##0.00\ "₽"</c:formatCode>
                <c:ptCount val="8"/>
                <c:pt idx="0">
                  <c:v>140746374</c:v>
                </c:pt>
                <c:pt idx="1">
                  <c:v>150169093</c:v>
                </c:pt>
                <c:pt idx="2">
                  <c:v>128139927</c:v>
                </c:pt>
                <c:pt idx="3">
                  <c:v>133139885.69</c:v>
                </c:pt>
                <c:pt idx="4">
                  <c:v>142248115.42000002</c:v>
                </c:pt>
                <c:pt idx="5">
                  <c:v>159104486.56000003</c:v>
                </c:pt>
              </c:numCache>
            </c:numRef>
          </c:val>
          <c:smooth val="1"/>
          <c:extLst>
            <c:ext xmlns:c15="http://schemas.microsoft.com/office/drawing/2012/chart" uri="{02D57815-91ED-43cb-92C2-25804820EDAC}">
              <c15:datalabelsRange>
                <c15:f>'Pivot Tables'!$E$30:$E$35</c15:f>
                <c15:dlblRangeCache>
                  <c:ptCount val="6"/>
                  <c:pt idx="1">
                    <c:v>6.69%</c:v>
                  </c:pt>
                  <c:pt idx="2">
                    <c:v>-14.67%</c:v>
                  </c:pt>
                  <c:pt idx="3">
                    <c:v>3.90%</c:v>
                  </c:pt>
                  <c:pt idx="4">
                    <c:v>6.84%</c:v>
                  </c:pt>
                  <c:pt idx="5">
                    <c:v>11.85%</c:v>
                  </c:pt>
                </c15:dlblRangeCache>
              </c15:datalabelsRange>
            </c:ext>
            <c:ext xmlns:c16="http://schemas.microsoft.com/office/drawing/2014/chart" uri="{C3380CC4-5D6E-409C-BE32-E72D297353CC}">
              <c16:uniqueId val="{00000008-492C-409E-83A4-5376597CAEA4}"/>
            </c:ext>
          </c:extLst>
        </c:ser>
        <c:ser>
          <c:idx val="1"/>
          <c:order val="1"/>
          <c:tx>
            <c:strRef>
              <c:f>'Forecasts 3'!$C$1</c:f>
              <c:strCache>
                <c:ptCount val="1"/>
                <c:pt idx="0">
                  <c:v>Forecast(Выручка)</c:v>
                </c:pt>
              </c:strCache>
            </c:strRef>
          </c:tx>
          <c:spPr>
            <a:ln w="28575" cap="rnd">
              <a:solidFill>
                <a:srgbClr val="CCFFFF"/>
              </a:solidFill>
              <a:prstDash val="sysDash"/>
              <a:round/>
            </a:ln>
            <a:effectLst/>
          </c:spPr>
          <c:marker>
            <c:symbol val="circle"/>
            <c:size val="10"/>
            <c:spPr>
              <a:solidFill>
                <a:srgbClr val="00B050"/>
              </a:solidFill>
              <a:ln w="9525">
                <a:noFill/>
              </a:ln>
              <a:effectLst/>
            </c:spPr>
          </c:marker>
          <c:dPt>
            <c:idx val="5"/>
            <c:marker>
              <c:symbol val="circle"/>
              <c:size val="10"/>
              <c:spPr>
                <a:solidFill>
                  <a:srgbClr val="CCFFFF"/>
                </a:solidFill>
                <a:ln w="9525">
                  <a:noFill/>
                </a:ln>
                <a:effectLst/>
              </c:spPr>
            </c:marker>
            <c:bubble3D val="0"/>
            <c:extLst>
              <c:ext xmlns:c16="http://schemas.microsoft.com/office/drawing/2014/chart" uri="{C3380CC4-5D6E-409C-BE32-E72D297353CC}">
                <c16:uniqueId val="{00000006-0DE7-4816-8A45-2E176DB6B7F8}"/>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DE7-4816-8A45-2E176DB6B7F8}"/>
                </c:ext>
              </c:extLst>
            </c:dLbl>
            <c:dLbl>
              <c:idx val="7"/>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E7-4816-8A45-2E176DB6B7F8}"/>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3'!$C$2:$C$9</c:f>
              <c:numCache>
                <c:formatCode>General</c:formatCode>
                <c:ptCount val="8"/>
                <c:pt idx="5" formatCode="#,##0.00\ &quot;₽&quot;">
                  <c:v>159104486.56000003</c:v>
                </c:pt>
                <c:pt idx="6" formatCode="#,##0.00\ &quot;₽&quot;">
                  <c:v>153362563.28145996</c:v>
                </c:pt>
                <c:pt idx="7" formatCode="#,##0.00\ &quot;₽&quot;">
                  <c:v>155823976.70258918</c:v>
                </c:pt>
              </c:numCache>
            </c:numRef>
          </c:val>
          <c:smooth val="1"/>
          <c:extLst>
            <c:ext xmlns:c16="http://schemas.microsoft.com/office/drawing/2014/chart" uri="{C3380CC4-5D6E-409C-BE32-E72D297353CC}">
              <c16:uniqueId val="{00000009-492C-409E-83A4-5376597CAEA4}"/>
            </c:ext>
          </c:extLst>
        </c:ser>
        <c:ser>
          <c:idx val="2"/>
          <c:order val="2"/>
          <c:tx>
            <c:strRef>
              <c:f>'Forecasts 3'!$D$1</c:f>
              <c:strCache>
                <c:ptCount val="1"/>
                <c:pt idx="0">
                  <c:v>Lower Confidence Bound(Выручка)</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9-0DE7-4816-8A45-2E176DB6B7F8}"/>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A-0DE7-4816-8A45-2E176DB6B7F8}"/>
              </c:ext>
            </c:extLst>
          </c:dPt>
          <c:dLbls>
            <c:dLbl>
              <c:idx val="5"/>
              <c:delete val="1"/>
              <c:extLst>
                <c:ext xmlns:c15="http://schemas.microsoft.com/office/drawing/2012/chart" uri="{CE6537A1-D6FC-4f65-9D91-7224C49458BB}"/>
                <c:ext xmlns:c16="http://schemas.microsoft.com/office/drawing/2014/chart" uri="{C3380CC4-5D6E-409C-BE32-E72D297353CC}">
                  <c16:uniqueId val="{00000005-0DE7-4816-8A45-2E176DB6B7F8}"/>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3'!$D$2:$D$9</c:f>
              <c:numCache>
                <c:formatCode>General</c:formatCode>
                <c:ptCount val="8"/>
                <c:pt idx="5" formatCode="#,##0.00\ &quot;₽&quot;">
                  <c:v>159104486.56000003</c:v>
                </c:pt>
                <c:pt idx="6" formatCode="#,##0.00\ &quot;₽&quot;">
                  <c:v>132291762.63931504</c:v>
                </c:pt>
                <c:pt idx="7" formatCode="#,##0.00\ &quot;₽&quot;">
                  <c:v>134645977.13217166</c:v>
                </c:pt>
              </c:numCache>
            </c:numRef>
          </c:val>
          <c:smooth val="1"/>
          <c:extLst>
            <c:ext xmlns:c16="http://schemas.microsoft.com/office/drawing/2014/chart" uri="{C3380CC4-5D6E-409C-BE32-E72D297353CC}">
              <c16:uniqueId val="{0000000A-492C-409E-83A4-5376597CAEA4}"/>
            </c:ext>
          </c:extLst>
        </c:ser>
        <c:ser>
          <c:idx val="3"/>
          <c:order val="3"/>
          <c:tx>
            <c:strRef>
              <c:f>'Forecasts 3'!$E$1</c:f>
              <c:strCache>
                <c:ptCount val="1"/>
                <c:pt idx="0">
                  <c:v>Upper Confidence Bound(Выручка)</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7-0DE7-4816-8A45-2E176DB6B7F8}"/>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8-0DE7-4816-8A45-2E176DB6B7F8}"/>
              </c:ext>
            </c:extLst>
          </c:dPt>
          <c:dLbls>
            <c:dLbl>
              <c:idx val="5"/>
              <c:delete val="1"/>
              <c:extLst>
                <c:ext xmlns:c15="http://schemas.microsoft.com/office/drawing/2012/chart" uri="{CE6537A1-D6FC-4f65-9D91-7224C49458BB}"/>
                <c:ext xmlns:c16="http://schemas.microsoft.com/office/drawing/2014/chart" uri="{C3380CC4-5D6E-409C-BE32-E72D297353CC}">
                  <c16:uniqueId val="{00000004-0DE7-4816-8A45-2E176DB6B7F8}"/>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3'!$E$2:$E$9</c:f>
              <c:numCache>
                <c:formatCode>General</c:formatCode>
                <c:ptCount val="8"/>
                <c:pt idx="5" formatCode="#,##0.00\ &quot;₽&quot;">
                  <c:v>159104486.56000003</c:v>
                </c:pt>
                <c:pt idx="6" formatCode="#,##0.00\ &quot;₽&quot;">
                  <c:v>174433363.92360488</c:v>
                </c:pt>
                <c:pt idx="7" formatCode="#,##0.00\ &quot;₽&quot;">
                  <c:v>177001976.27300671</c:v>
                </c:pt>
              </c:numCache>
            </c:numRef>
          </c:val>
          <c:smooth val="1"/>
          <c:extLst>
            <c:ext xmlns:c16="http://schemas.microsoft.com/office/drawing/2014/chart" uri="{C3380CC4-5D6E-409C-BE32-E72D297353CC}">
              <c16:uniqueId val="{0000000B-492C-409E-83A4-5376597CAEA4}"/>
            </c:ext>
          </c:extLst>
        </c:ser>
        <c:dLbls>
          <c:showLegendKey val="0"/>
          <c:showVal val="0"/>
          <c:showCatName val="0"/>
          <c:showSerName val="0"/>
          <c:showPercent val="0"/>
          <c:showBubbleSize val="0"/>
        </c:dLbls>
        <c:marker val="1"/>
        <c:smooth val="0"/>
        <c:axId val="945027199"/>
        <c:axId val="945027615"/>
      </c:lineChart>
      <c:catAx>
        <c:axId val="94502719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945027615"/>
        <c:crosses val="autoZero"/>
        <c:auto val="0"/>
        <c:lblAlgn val="ctr"/>
        <c:lblOffset val="100"/>
        <c:noMultiLvlLbl val="0"/>
      </c:catAx>
      <c:valAx>
        <c:axId val="945027615"/>
        <c:scaling>
          <c:orientation val="minMax"/>
          <c:min val="120000000"/>
        </c:scaling>
        <c:delete val="0"/>
        <c:axPos val="l"/>
        <c:numFmt formatCode="#,###&quot;M&quot;\ &quo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945027199"/>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5'!$B$1</c:f>
              <c:strCache>
                <c:ptCount val="1"/>
                <c:pt idx="0">
                  <c:v>Расходы суммарно</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dLbl>
              <c:idx val="0"/>
              <c:tx>
                <c:rich>
                  <a:bodyPr/>
                  <a:lstStyle/>
                  <a:p>
                    <a:fld id="{874BEF0D-3CA8-4CE1-B153-347E7DE9FAB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D2AD-44EF-ADBA-4E6803998453}"/>
                </c:ext>
              </c:extLst>
            </c:dLbl>
            <c:dLbl>
              <c:idx val="1"/>
              <c:tx>
                <c:rich>
                  <a:bodyPr/>
                  <a:lstStyle/>
                  <a:p>
                    <a:fld id="{1EDAD851-5474-4EE9-9916-145B96C3C70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2AD-44EF-ADBA-4E6803998453}"/>
                </c:ext>
              </c:extLst>
            </c:dLbl>
            <c:dLbl>
              <c:idx val="2"/>
              <c:layout>
                <c:manualLayout>
                  <c:x val="-5.0503492555421421E-2"/>
                  <c:y val="-8.6147121343672389E-2"/>
                </c:manualLayout>
              </c:layout>
              <c:tx>
                <c:rich>
                  <a:bodyPr/>
                  <a:lstStyle/>
                  <a:p>
                    <a:fld id="{4B346FE5-8771-4B90-8577-C9091A96E3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D2AD-44EF-ADBA-4E6803998453}"/>
                </c:ext>
              </c:extLst>
            </c:dLbl>
            <c:dLbl>
              <c:idx val="3"/>
              <c:tx>
                <c:rich>
                  <a:bodyPr/>
                  <a:lstStyle/>
                  <a:p>
                    <a:fld id="{1B5D38E7-9295-4EA4-91B6-D80A005F10B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D2AD-44EF-ADBA-4E6803998453}"/>
                </c:ext>
              </c:extLst>
            </c:dLbl>
            <c:dLbl>
              <c:idx val="4"/>
              <c:tx>
                <c:rich>
                  <a:bodyPr/>
                  <a:lstStyle/>
                  <a:p>
                    <a:fld id="{3C229EBC-6257-4EDE-B5C7-EDDD91F1842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2AD-44EF-ADBA-4E6803998453}"/>
                </c:ext>
              </c:extLst>
            </c:dLbl>
            <c:dLbl>
              <c:idx val="5"/>
              <c:tx>
                <c:rich>
                  <a:bodyPr/>
                  <a:lstStyle/>
                  <a:p>
                    <a:fld id="{64E438B3-6D33-4219-8D9A-62374B27350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2AD-44EF-ADBA-4E6803998453}"/>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D2AD-44EF-ADBA-4E6803998453}"/>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D2AD-44EF-ADBA-4E68039984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CCFFFF">
                          <a:alpha val="41000"/>
                        </a:srgbClr>
                      </a:solidFill>
                    </a:ln>
                    <a:solidFill>
                      <a:srgbClr val="CCFFFF"/>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5'!$B$2:$B$9</c:f>
              <c:numCache>
                <c:formatCode>#,##0.00\ "₽"</c:formatCode>
                <c:ptCount val="8"/>
                <c:pt idx="0">
                  <c:v>57528048</c:v>
                </c:pt>
                <c:pt idx="1">
                  <c:v>66318441</c:v>
                </c:pt>
                <c:pt idx="2">
                  <c:v>60988545.950000003</c:v>
                </c:pt>
                <c:pt idx="3">
                  <c:v>54318636.109999999</c:v>
                </c:pt>
                <c:pt idx="4">
                  <c:v>60433232.150000006</c:v>
                </c:pt>
                <c:pt idx="5">
                  <c:v>64212223</c:v>
                </c:pt>
              </c:numCache>
            </c:numRef>
          </c:val>
          <c:smooth val="1"/>
          <c:extLst>
            <c:ext xmlns:c15="http://schemas.microsoft.com/office/drawing/2012/chart" uri="{02D57815-91ED-43cb-92C2-25804820EDAC}">
              <c15:datalabelsRange>
                <c15:f>'Only Totals'!$J$2:$J$7</c15:f>
                <c15:dlblRangeCache>
                  <c:ptCount val="6"/>
                  <c:pt idx="1">
                    <c:v>15.28%</c:v>
                  </c:pt>
                  <c:pt idx="2">
                    <c:v>-8.04%</c:v>
                  </c:pt>
                  <c:pt idx="3">
                    <c:v>-10.94%</c:v>
                  </c:pt>
                  <c:pt idx="4">
                    <c:v>11.26%</c:v>
                  </c:pt>
                  <c:pt idx="5">
                    <c:v>6.25%</c:v>
                  </c:pt>
                </c15:dlblRangeCache>
              </c15:datalabelsRange>
            </c:ext>
            <c:ext xmlns:c16="http://schemas.microsoft.com/office/drawing/2014/chart" uri="{C3380CC4-5D6E-409C-BE32-E72D297353CC}">
              <c16:uniqueId val="{00000000-D2AD-44EF-ADBA-4E6803998453}"/>
            </c:ext>
          </c:extLst>
        </c:ser>
        <c:ser>
          <c:idx val="1"/>
          <c:order val="1"/>
          <c:tx>
            <c:strRef>
              <c:f>'Forecast 5'!$C$1</c:f>
              <c:strCache>
                <c:ptCount val="1"/>
                <c:pt idx="0">
                  <c:v>Forecast(Расходы суммарно)</c:v>
                </c:pt>
              </c:strCache>
            </c:strRef>
          </c:tx>
          <c:spPr>
            <a:ln w="28575" cap="rnd">
              <a:solidFill>
                <a:srgbClr val="CCFFFF"/>
              </a:solidFill>
              <a:prstDash val="sysDash"/>
              <a:round/>
            </a:ln>
            <a:effectLst/>
          </c:spPr>
          <c:marker>
            <c:symbol val="none"/>
          </c:marker>
          <c:dPt>
            <c:idx val="6"/>
            <c:marker>
              <c:symbol val="circle"/>
              <c:size val="10"/>
              <c:spPr>
                <a:solidFill>
                  <a:srgbClr val="00B050"/>
                </a:solidFill>
                <a:ln w="9525">
                  <a:noFill/>
                </a:ln>
                <a:effectLst/>
              </c:spPr>
            </c:marker>
            <c:bubble3D val="0"/>
            <c:extLst>
              <c:ext xmlns:c16="http://schemas.microsoft.com/office/drawing/2014/chart" uri="{C3380CC4-5D6E-409C-BE32-E72D297353CC}">
                <c16:uniqueId val="{00000009-9034-4910-8BB7-B0A39F051060}"/>
              </c:ext>
            </c:extLst>
          </c:dPt>
          <c:dPt>
            <c:idx val="7"/>
            <c:marker>
              <c:symbol val="circle"/>
              <c:size val="10"/>
              <c:spPr>
                <a:solidFill>
                  <a:srgbClr val="00B050"/>
                </a:solidFill>
                <a:ln w="9525">
                  <a:noFill/>
                </a:ln>
                <a:effectLst/>
              </c:spPr>
            </c:marker>
            <c:bubble3D val="0"/>
            <c:extLst>
              <c:ext xmlns:c16="http://schemas.microsoft.com/office/drawing/2014/chart" uri="{C3380CC4-5D6E-409C-BE32-E72D297353CC}">
                <c16:uniqueId val="{0000000A-9034-4910-8BB7-B0A39F051060}"/>
              </c:ext>
            </c:extLst>
          </c:dPt>
          <c:dLbls>
            <c:dLbl>
              <c:idx val="5"/>
              <c:delete val="1"/>
              <c:extLst>
                <c:ext xmlns:c15="http://schemas.microsoft.com/office/drawing/2012/chart" uri="{CE6537A1-D6FC-4f65-9D91-7224C49458BB}"/>
                <c:ext xmlns:c16="http://schemas.microsoft.com/office/drawing/2014/chart" uri="{C3380CC4-5D6E-409C-BE32-E72D297353CC}">
                  <c16:uniqueId val="{00000005-9034-4910-8BB7-B0A39F051060}"/>
                </c:ext>
              </c:extLst>
            </c:dLbl>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034-4910-8BB7-B0A39F051060}"/>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5'!$C$2:$C$9</c:f>
              <c:numCache>
                <c:formatCode>General</c:formatCode>
                <c:ptCount val="8"/>
                <c:pt idx="5" formatCode="#,##0.00\ &quot;₽&quot;">
                  <c:v>64212223</c:v>
                </c:pt>
                <c:pt idx="6" formatCode="#,##0.00\ &quot;₽&quot;">
                  <c:v>57716409.842154935</c:v>
                </c:pt>
                <c:pt idx="7" formatCode="#,##0.00\ &quot;₽&quot;">
                  <c:v>62538473.408679083</c:v>
                </c:pt>
              </c:numCache>
            </c:numRef>
          </c:val>
          <c:smooth val="1"/>
          <c:extLst>
            <c:ext xmlns:c16="http://schemas.microsoft.com/office/drawing/2014/chart" uri="{C3380CC4-5D6E-409C-BE32-E72D297353CC}">
              <c16:uniqueId val="{00000001-D2AD-44EF-ADBA-4E6803998453}"/>
            </c:ext>
          </c:extLst>
        </c:ser>
        <c:ser>
          <c:idx val="2"/>
          <c:order val="2"/>
          <c:tx>
            <c:strRef>
              <c:f>'Forecast 5'!$D$1</c:f>
              <c:strCache>
                <c:ptCount val="1"/>
                <c:pt idx="0">
                  <c:v>Lower Confidence Bound(Расходы суммарно)</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8-9034-4910-8BB7-B0A39F051060}"/>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7-9034-4910-8BB7-B0A39F051060}"/>
              </c:ext>
            </c:extLst>
          </c:dPt>
          <c:dLbls>
            <c:dLbl>
              <c:idx val="5"/>
              <c:delete val="1"/>
              <c:extLst>
                <c:ext xmlns:c15="http://schemas.microsoft.com/office/drawing/2012/chart" uri="{CE6537A1-D6FC-4f65-9D91-7224C49458BB}"/>
                <c:ext xmlns:c16="http://schemas.microsoft.com/office/drawing/2014/chart" uri="{C3380CC4-5D6E-409C-BE32-E72D297353CC}">
                  <c16:uniqueId val="{00000006-9034-4910-8BB7-B0A39F051060}"/>
                </c:ext>
              </c:extLst>
            </c:dLbl>
            <c:dLbl>
              <c:idx val="6"/>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b"/>
              <c:showLegendKey val="0"/>
              <c:showVal val="1"/>
              <c:showCatName val="0"/>
              <c:showSerName val="0"/>
              <c:showPercent val="0"/>
              <c:showBubbleSize val="0"/>
              <c:extLst>
                <c:ext xmlns:c16="http://schemas.microsoft.com/office/drawing/2014/chart" uri="{C3380CC4-5D6E-409C-BE32-E72D297353CC}">
                  <c16:uniqueId val="{00000008-9034-4910-8BB7-B0A39F051060}"/>
                </c:ext>
              </c:extLst>
            </c:dLbl>
            <c:dLbl>
              <c:idx val="7"/>
              <c:layout>
                <c:manualLayout>
                  <c:x val="-1.5255530129672118E-2"/>
                  <c:y val="-3.0418250950570342E-2"/>
                </c:manualLayout>
              </c:layout>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034-4910-8BB7-B0A39F051060}"/>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5'!$D$2:$D$9</c:f>
              <c:numCache>
                <c:formatCode>General</c:formatCode>
                <c:ptCount val="8"/>
                <c:pt idx="5" formatCode="#,##0.00\ &quot;₽&quot;">
                  <c:v>64212223</c:v>
                </c:pt>
                <c:pt idx="6" formatCode="#,##0.00\ &quot;₽&quot;">
                  <c:v>48814992.890426673</c:v>
                </c:pt>
                <c:pt idx="7" formatCode="#,##0.00\ &quot;₽&quot;">
                  <c:v>53637016.400664665</c:v>
                </c:pt>
              </c:numCache>
            </c:numRef>
          </c:val>
          <c:smooth val="1"/>
          <c:extLst>
            <c:ext xmlns:c16="http://schemas.microsoft.com/office/drawing/2014/chart" uri="{C3380CC4-5D6E-409C-BE32-E72D297353CC}">
              <c16:uniqueId val="{00000002-D2AD-44EF-ADBA-4E6803998453}"/>
            </c:ext>
          </c:extLst>
        </c:ser>
        <c:ser>
          <c:idx val="3"/>
          <c:order val="3"/>
          <c:tx>
            <c:strRef>
              <c:f>'Forecast 5'!$E$1</c:f>
              <c:strCache>
                <c:ptCount val="1"/>
                <c:pt idx="0">
                  <c:v>Upper Confidence Bound(Расходы суммарно)</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4-9034-4910-8BB7-B0A39F051060}"/>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3-9034-4910-8BB7-B0A39F051060}"/>
              </c:ext>
            </c:extLst>
          </c:dPt>
          <c:dLbls>
            <c:dLbl>
              <c:idx val="5"/>
              <c:delete val="1"/>
              <c:extLst>
                <c:ext xmlns:c15="http://schemas.microsoft.com/office/drawing/2012/chart" uri="{CE6537A1-D6FC-4f65-9D91-7224C49458BB}"/>
                <c:ext xmlns:c16="http://schemas.microsoft.com/office/drawing/2014/chart" uri="{C3380CC4-5D6E-409C-BE32-E72D297353CC}">
                  <c16:uniqueId val="{00000002-9034-4910-8BB7-B0A39F051060}"/>
                </c:ext>
              </c:extLst>
            </c:dLbl>
            <c:dLbl>
              <c:idx val="6"/>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7000"/>
                          </a:srgbClr>
                        </a:solidFill>
                      </a:ln>
                      <a:solidFill>
                        <a:srgbClr val="00B050"/>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4-9034-4910-8BB7-B0A39F051060}"/>
                </c:ext>
              </c:extLst>
            </c:dLbl>
            <c:dLbl>
              <c:idx val="7"/>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3-9034-4910-8BB7-B0A39F051060}"/>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5'!$E$2:$E$9</c:f>
              <c:numCache>
                <c:formatCode>General</c:formatCode>
                <c:ptCount val="8"/>
                <c:pt idx="5" formatCode="#,##0.00\ &quot;₽&quot;">
                  <c:v>64212223</c:v>
                </c:pt>
                <c:pt idx="6" formatCode="#,##0.00\ &quot;₽&quot;">
                  <c:v>66617826.793883197</c:v>
                </c:pt>
                <c:pt idx="7" formatCode="#,##0.00\ &quot;₽&quot;">
                  <c:v>71439930.416693509</c:v>
                </c:pt>
              </c:numCache>
            </c:numRef>
          </c:val>
          <c:smooth val="1"/>
          <c:extLst>
            <c:ext xmlns:c16="http://schemas.microsoft.com/office/drawing/2014/chart" uri="{C3380CC4-5D6E-409C-BE32-E72D297353CC}">
              <c16:uniqueId val="{00000003-D2AD-44EF-ADBA-4E6803998453}"/>
            </c:ext>
          </c:extLst>
        </c:ser>
        <c:dLbls>
          <c:showLegendKey val="0"/>
          <c:showVal val="0"/>
          <c:showCatName val="0"/>
          <c:showSerName val="0"/>
          <c:showPercent val="0"/>
          <c:showBubbleSize val="0"/>
        </c:dLbls>
        <c:marker val="1"/>
        <c:smooth val="0"/>
        <c:axId val="1109373551"/>
        <c:axId val="1109385199"/>
      </c:lineChart>
      <c:catAx>
        <c:axId val="1109373551"/>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109385199"/>
        <c:crosses val="autoZero"/>
        <c:auto val="1"/>
        <c:lblAlgn val="ctr"/>
        <c:lblOffset val="100"/>
        <c:noMultiLvlLbl val="0"/>
      </c:catAx>
      <c:valAx>
        <c:axId val="1109385199"/>
        <c:scaling>
          <c:orientation val="minMax"/>
          <c:min val="45000000"/>
        </c:scaling>
        <c:delete val="0"/>
        <c:axPos val="l"/>
        <c:numFmt formatCode="#,##0&quot;M&quot;\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109373551"/>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6'!$B$1</c:f>
              <c:strCache>
                <c:ptCount val="1"/>
                <c:pt idx="0">
                  <c:v>Валовая прибыль</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dLbl>
              <c:idx val="0"/>
              <c:tx>
                <c:rich>
                  <a:bodyPr/>
                  <a:lstStyle/>
                  <a:p>
                    <a:fld id="{A9D5B2E5-8830-4825-940E-F2378BFC233A}"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860-45F7-82BA-B17D9A3D533F}"/>
                </c:ext>
              </c:extLst>
            </c:dLbl>
            <c:dLbl>
              <c:idx val="1"/>
              <c:tx>
                <c:rich>
                  <a:bodyPr/>
                  <a:lstStyle/>
                  <a:p>
                    <a:fld id="{3E95C396-8083-4B1F-A4DE-2975CEE0242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860-45F7-82BA-B17D9A3D533F}"/>
                </c:ext>
              </c:extLst>
            </c:dLbl>
            <c:dLbl>
              <c:idx val="2"/>
              <c:tx>
                <c:rich>
                  <a:bodyPr/>
                  <a:lstStyle/>
                  <a:p>
                    <a:fld id="{91D868D3-199A-417F-AF55-DB539F0BA3A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860-45F7-82BA-B17D9A3D533F}"/>
                </c:ext>
              </c:extLst>
            </c:dLbl>
            <c:dLbl>
              <c:idx val="3"/>
              <c:tx>
                <c:rich>
                  <a:bodyPr/>
                  <a:lstStyle/>
                  <a:p>
                    <a:fld id="{649D9643-6DAF-4211-B723-3D58B85E2D6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860-45F7-82BA-B17D9A3D533F}"/>
                </c:ext>
              </c:extLst>
            </c:dLbl>
            <c:dLbl>
              <c:idx val="4"/>
              <c:tx>
                <c:rich>
                  <a:bodyPr/>
                  <a:lstStyle/>
                  <a:p>
                    <a:fld id="{F3C6775D-79F9-4104-8942-6F14DA90025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860-45F7-82BA-B17D9A3D533F}"/>
                </c:ext>
              </c:extLst>
            </c:dLbl>
            <c:dLbl>
              <c:idx val="5"/>
              <c:tx>
                <c:rich>
                  <a:bodyPr/>
                  <a:lstStyle/>
                  <a:p>
                    <a:fld id="{FFB2CD97-C992-492D-9383-B5AB381CFA22}"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860-45F7-82BA-B17D9A3D533F}"/>
                </c:ext>
              </c:extLst>
            </c:dLbl>
            <c:dLbl>
              <c:idx val="6"/>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F860-45F7-82BA-B17D9A3D533F}"/>
                </c:ext>
              </c:extLst>
            </c:dLbl>
            <c:dLbl>
              <c:idx val="7"/>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F860-45F7-82BA-B17D9A3D533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9525">
                      <a:solidFill>
                        <a:srgbClr val="CCFFFF">
                          <a:alpha val="39000"/>
                        </a:srgbClr>
                      </a:solidFill>
                    </a:ln>
                    <a:solidFill>
                      <a:srgbClr val="CCFFFF"/>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6'!$B$2:$B$9</c:f>
              <c:numCache>
                <c:formatCode>#,##0.00\ "₽"</c:formatCode>
                <c:ptCount val="8"/>
                <c:pt idx="0">
                  <c:v>72988025</c:v>
                </c:pt>
                <c:pt idx="1">
                  <c:v>86410258</c:v>
                </c:pt>
                <c:pt idx="2">
                  <c:v>74310679.280000001</c:v>
                </c:pt>
                <c:pt idx="3">
                  <c:v>76537656.799999997</c:v>
                </c:pt>
                <c:pt idx="4">
                  <c:v>79264162.280000001</c:v>
                </c:pt>
                <c:pt idx="5">
                  <c:v>91209812.379999995</c:v>
                </c:pt>
              </c:numCache>
            </c:numRef>
          </c:val>
          <c:smooth val="1"/>
          <c:extLst>
            <c:ext xmlns:c15="http://schemas.microsoft.com/office/drawing/2012/chart" uri="{02D57815-91ED-43cb-92C2-25804820EDAC}">
              <c15:datalabelsRange>
                <c15:f>'Only Totals'!$G$2:$G$7</c15:f>
                <c15:dlblRangeCache>
                  <c:ptCount val="6"/>
                  <c:pt idx="1">
                    <c:v>18.39%</c:v>
                  </c:pt>
                  <c:pt idx="2">
                    <c:v>-14.00%</c:v>
                  </c:pt>
                  <c:pt idx="3">
                    <c:v>3.00%</c:v>
                  </c:pt>
                  <c:pt idx="4">
                    <c:v>3.56%</c:v>
                  </c:pt>
                  <c:pt idx="5">
                    <c:v>15.07%</c:v>
                  </c:pt>
                </c15:dlblRangeCache>
              </c15:datalabelsRange>
            </c:ext>
            <c:ext xmlns:c16="http://schemas.microsoft.com/office/drawing/2014/chart" uri="{C3380CC4-5D6E-409C-BE32-E72D297353CC}">
              <c16:uniqueId val="{00000000-F860-45F7-82BA-B17D9A3D533F}"/>
            </c:ext>
          </c:extLst>
        </c:ser>
        <c:ser>
          <c:idx val="1"/>
          <c:order val="1"/>
          <c:tx>
            <c:strRef>
              <c:f>'Forecast 6'!$C$1</c:f>
              <c:strCache>
                <c:ptCount val="1"/>
                <c:pt idx="0">
                  <c:v>Forecast(Валовая прибыль)</c:v>
                </c:pt>
              </c:strCache>
            </c:strRef>
          </c:tx>
          <c:spPr>
            <a:ln w="28575" cap="rnd">
              <a:solidFill>
                <a:srgbClr val="CCFFFF"/>
              </a:solidFill>
              <a:prstDash val="sysDash"/>
              <a:round/>
            </a:ln>
            <a:effectLst/>
          </c:spPr>
          <c:marker>
            <c:symbol val="none"/>
          </c:marker>
          <c:dPt>
            <c:idx val="6"/>
            <c:marker>
              <c:symbol val="circle"/>
              <c:size val="10"/>
              <c:spPr>
                <a:solidFill>
                  <a:srgbClr val="00B050"/>
                </a:solidFill>
                <a:ln w="9525">
                  <a:noFill/>
                </a:ln>
                <a:effectLst/>
              </c:spPr>
            </c:marker>
            <c:bubble3D val="0"/>
            <c:extLst>
              <c:ext xmlns:c16="http://schemas.microsoft.com/office/drawing/2014/chart" uri="{C3380CC4-5D6E-409C-BE32-E72D297353CC}">
                <c16:uniqueId val="{00000005-BC79-48D4-9B0F-67C7DC8C5FED}"/>
              </c:ext>
            </c:extLst>
          </c:dPt>
          <c:dPt>
            <c:idx val="7"/>
            <c:marker>
              <c:symbol val="circle"/>
              <c:size val="10"/>
              <c:spPr>
                <a:solidFill>
                  <a:srgbClr val="00B050"/>
                </a:solidFill>
                <a:ln w="9525">
                  <a:noFill/>
                </a:ln>
                <a:effectLst/>
              </c:spPr>
            </c:marker>
            <c:bubble3D val="0"/>
            <c:extLst>
              <c:ext xmlns:c16="http://schemas.microsoft.com/office/drawing/2014/chart" uri="{C3380CC4-5D6E-409C-BE32-E72D297353CC}">
                <c16:uniqueId val="{00000004-BC79-48D4-9B0F-67C7DC8C5FED}"/>
              </c:ext>
            </c:extLst>
          </c:dPt>
          <c:dLbls>
            <c:dLbl>
              <c:idx val="5"/>
              <c:delete val="1"/>
              <c:extLst>
                <c:ext xmlns:c15="http://schemas.microsoft.com/office/drawing/2012/chart" uri="{CE6537A1-D6FC-4f65-9D91-7224C49458BB}"/>
                <c:ext xmlns:c16="http://schemas.microsoft.com/office/drawing/2014/chart" uri="{C3380CC4-5D6E-409C-BE32-E72D297353CC}">
                  <c16:uniqueId val="{00000003-BC79-48D4-9B0F-67C7DC8C5FED}"/>
                </c:ext>
              </c:extLst>
            </c:dLbl>
            <c:dLbl>
              <c:idx val="6"/>
              <c:layout>
                <c:manualLayout>
                  <c:x val="-6.5584157386082517E-2"/>
                  <c:y val="5.701213024047658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C79-48D4-9B0F-67C7DC8C5FED}"/>
                </c:ext>
              </c:extLst>
            </c:dLbl>
            <c:dLbl>
              <c:idx val="7"/>
              <c:layout>
                <c:manualLayout>
                  <c:x val="-1.142250283520276E-16"/>
                  <c:y val="-6.606606606606606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C79-48D4-9B0F-67C7DC8C5FED}"/>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6'!$C$2:$C$9</c:f>
              <c:numCache>
                <c:formatCode>General</c:formatCode>
                <c:ptCount val="8"/>
                <c:pt idx="5" formatCode="#,##0.00\ &quot;₽&quot;">
                  <c:v>91209812.379999995</c:v>
                </c:pt>
                <c:pt idx="6" formatCode="#,##0.00\ &quot;₽&quot;">
                  <c:v>81294462.053556174</c:v>
                </c:pt>
                <c:pt idx="7" formatCode="#,##0.00\ &quot;₽&quot;">
                  <c:v>93673514.135795444</c:v>
                </c:pt>
              </c:numCache>
            </c:numRef>
          </c:val>
          <c:smooth val="1"/>
          <c:extLst>
            <c:ext xmlns:c16="http://schemas.microsoft.com/office/drawing/2014/chart" uri="{C3380CC4-5D6E-409C-BE32-E72D297353CC}">
              <c16:uniqueId val="{00000001-F860-45F7-82BA-B17D9A3D533F}"/>
            </c:ext>
          </c:extLst>
        </c:ser>
        <c:ser>
          <c:idx val="2"/>
          <c:order val="2"/>
          <c:tx>
            <c:strRef>
              <c:f>'Forecast 6'!$D$1</c:f>
              <c:strCache>
                <c:ptCount val="1"/>
                <c:pt idx="0">
                  <c:v>Lower Confidence Bound(Валовая прибыль)</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8-BC79-48D4-9B0F-67C7DC8C5FED}"/>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9-BC79-48D4-9B0F-67C7DC8C5FED}"/>
              </c:ext>
            </c:extLst>
          </c:dPt>
          <c:dLbls>
            <c:dLbl>
              <c:idx val="5"/>
              <c:delete val="1"/>
              <c:extLst>
                <c:ext xmlns:c15="http://schemas.microsoft.com/office/drawing/2012/chart" uri="{CE6537A1-D6FC-4f65-9D91-7224C49458BB}"/>
                <c:ext xmlns:c16="http://schemas.microsoft.com/office/drawing/2014/chart" uri="{C3380CC4-5D6E-409C-BE32-E72D297353CC}">
                  <c16:uniqueId val="{0000000A-BC79-48D4-9B0F-67C7DC8C5FED}"/>
                </c:ext>
              </c:extLst>
            </c:dLbl>
            <c:dLbl>
              <c:idx val="7"/>
              <c:layout>
                <c:manualLayout>
                  <c:x val="-3.5712700048396977E-3"/>
                  <c:y val="6.0015133243479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C79-48D4-9B0F-67C7DC8C5FED}"/>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6'!$D$2:$D$9</c:f>
              <c:numCache>
                <c:formatCode>General</c:formatCode>
                <c:ptCount val="8"/>
                <c:pt idx="5" formatCode="#,##0.00\ &quot;₽&quot;">
                  <c:v>91209812.379999995</c:v>
                </c:pt>
                <c:pt idx="6" formatCode="#,##0.00\ &quot;₽&quot;">
                  <c:v>70645102.122010931</c:v>
                </c:pt>
                <c:pt idx="7" formatCode="#,##0.00\ &quot;₽&quot;">
                  <c:v>83024106.282238334</c:v>
                </c:pt>
              </c:numCache>
            </c:numRef>
          </c:val>
          <c:smooth val="1"/>
          <c:extLst>
            <c:ext xmlns:c16="http://schemas.microsoft.com/office/drawing/2014/chart" uri="{C3380CC4-5D6E-409C-BE32-E72D297353CC}">
              <c16:uniqueId val="{00000002-F860-45F7-82BA-B17D9A3D533F}"/>
            </c:ext>
          </c:extLst>
        </c:ser>
        <c:ser>
          <c:idx val="3"/>
          <c:order val="3"/>
          <c:tx>
            <c:strRef>
              <c:f>'Forecast 6'!$E$1</c:f>
              <c:strCache>
                <c:ptCount val="1"/>
                <c:pt idx="0">
                  <c:v>Upper Confidence Bound(Валовая прибыль)</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6-BC79-48D4-9B0F-67C7DC8C5FED}"/>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7-BC79-48D4-9B0F-67C7DC8C5FED}"/>
              </c:ext>
            </c:extLst>
          </c:dPt>
          <c:dLbls>
            <c:dLbl>
              <c:idx val="5"/>
              <c:delete val="1"/>
              <c:extLst>
                <c:ext xmlns:c15="http://schemas.microsoft.com/office/drawing/2012/chart" uri="{CE6537A1-D6FC-4f65-9D91-7224C49458BB}"/>
                <c:ext xmlns:c16="http://schemas.microsoft.com/office/drawing/2014/chart" uri="{C3380CC4-5D6E-409C-BE32-E72D297353CC}">
                  <c16:uniqueId val="{00000002-BC79-48D4-9B0F-67C7DC8C5FED}"/>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 6'!$E$2:$E$9</c:f>
              <c:numCache>
                <c:formatCode>General</c:formatCode>
                <c:ptCount val="8"/>
                <c:pt idx="5" formatCode="#,##0.00\ &quot;₽&quot;">
                  <c:v>91209812.379999995</c:v>
                </c:pt>
                <c:pt idx="6" formatCode="#,##0.00\ &quot;₽&quot;">
                  <c:v>91943821.985101417</c:v>
                </c:pt>
                <c:pt idx="7" formatCode="#,##0.00\ &quot;₽&quot;">
                  <c:v>104322921.98935255</c:v>
                </c:pt>
              </c:numCache>
            </c:numRef>
          </c:val>
          <c:smooth val="1"/>
          <c:extLst>
            <c:ext xmlns:c16="http://schemas.microsoft.com/office/drawing/2014/chart" uri="{C3380CC4-5D6E-409C-BE32-E72D297353CC}">
              <c16:uniqueId val="{00000003-F860-45F7-82BA-B17D9A3D533F}"/>
            </c:ext>
          </c:extLst>
        </c:ser>
        <c:dLbls>
          <c:showLegendKey val="0"/>
          <c:showVal val="0"/>
          <c:showCatName val="0"/>
          <c:showSerName val="0"/>
          <c:showPercent val="0"/>
          <c:showBubbleSize val="0"/>
        </c:dLbls>
        <c:marker val="1"/>
        <c:smooth val="0"/>
        <c:axId val="774554671"/>
        <c:axId val="774555087"/>
      </c:lineChart>
      <c:catAx>
        <c:axId val="774554671"/>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774555087"/>
        <c:crosses val="autoZero"/>
        <c:auto val="1"/>
        <c:lblAlgn val="ctr"/>
        <c:lblOffset val="100"/>
        <c:noMultiLvlLbl val="0"/>
      </c:catAx>
      <c:valAx>
        <c:axId val="774555087"/>
        <c:scaling>
          <c:orientation val="minMax"/>
          <c:min val="60000000.000000007"/>
        </c:scaling>
        <c:delete val="0"/>
        <c:axPos val="l"/>
        <c:numFmt formatCode="#,##0&quot;M&quot;\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774554671"/>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'Forecasts 4'!$B$1</c:f>
              <c:strCache>
                <c:ptCount val="1"/>
                <c:pt idx="0">
                  <c:v>Чистая прибыль</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dLbl>
              <c:idx val="0"/>
              <c:tx>
                <c:rich>
                  <a:bodyPr/>
                  <a:lstStyle/>
                  <a:p>
                    <a:fld id="{52D5A88B-BA14-4AC5-B54F-FA7AD0456CF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682-48A5-9317-89A3CE3335BD}"/>
                </c:ext>
              </c:extLst>
            </c:dLbl>
            <c:dLbl>
              <c:idx val="1"/>
              <c:tx>
                <c:rich>
                  <a:bodyPr/>
                  <a:lstStyle/>
                  <a:p>
                    <a:fld id="{2C4517DA-9057-404D-8DE2-E483F6D5E10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3682-48A5-9317-89A3CE3335BD}"/>
                </c:ext>
              </c:extLst>
            </c:dLbl>
            <c:dLbl>
              <c:idx val="2"/>
              <c:tx>
                <c:rich>
                  <a:bodyPr/>
                  <a:lstStyle/>
                  <a:p>
                    <a:fld id="{B4697AE2-3FC9-4D21-909C-02E4C6117CBA}"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682-48A5-9317-89A3CE3335BD}"/>
                </c:ext>
              </c:extLst>
            </c:dLbl>
            <c:dLbl>
              <c:idx val="3"/>
              <c:tx>
                <c:rich>
                  <a:bodyPr/>
                  <a:lstStyle/>
                  <a:p>
                    <a:fld id="{DAE7A58A-6B03-4E83-ABCF-4C2AD89A1CC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682-48A5-9317-89A3CE3335BD}"/>
                </c:ext>
              </c:extLst>
            </c:dLbl>
            <c:dLbl>
              <c:idx val="4"/>
              <c:tx>
                <c:rich>
                  <a:bodyPr/>
                  <a:lstStyle/>
                  <a:p>
                    <a:fld id="{341A5E03-FA0E-4365-BD29-A1BC6E27592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3682-48A5-9317-89A3CE3335BD}"/>
                </c:ext>
              </c:extLst>
            </c:dLbl>
            <c:dLbl>
              <c:idx val="5"/>
              <c:tx>
                <c:rich>
                  <a:bodyPr/>
                  <a:lstStyle/>
                  <a:p>
                    <a:fld id="{E8F32069-6F4E-400C-A97F-BE32F7CC8D5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682-48A5-9317-89A3CE3335BD}"/>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682-48A5-9317-89A3CE3335BD}"/>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682-48A5-9317-89A3CE3335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CCFFFF">
                          <a:alpha val="42000"/>
                        </a:srgbClr>
                      </a:solidFill>
                    </a:ln>
                    <a:solidFill>
                      <a:srgbClr val="CCFFFF"/>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4'!$B$2:$B$9</c:f>
              <c:numCache>
                <c:formatCode>#,##0.00\ "₽"</c:formatCode>
                <c:ptCount val="8"/>
                <c:pt idx="0">
                  <c:v>10367015</c:v>
                </c:pt>
                <c:pt idx="1">
                  <c:v>13422428</c:v>
                </c:pt>
                <c:pt idx="2">
                  <c:v>6058308.3300000001</c:v>
                </c:pt>
                <c:pt idx="3">
                  <c:v>18605842.630000003</c:v>
                </c:pt>
                <c:pt idx="4">
                  <c:v>13085898.130000001</c:v>
                </c:pt>
                <c:pt idx="5">
                  <c:v>21192281.590000004</c:v>
                </c:pt>
              </c:numCache>
            </c:numRef>
          </c:val>
          <c:smooth val="1"/>
          <c:extLst>
            <c:ext xmlns:c15="http://schemas.microsoft.com/office/drawing/2012/chart" uri="{02D57815-91ED-43cb-92C2-25804820EDAC}">
              <c15:datalabelsRange>
                <c15:f>'Pivot Tables 2'!$E$5:$E$10</c15:f>
                <c15:dlblRangeCache>
                  <c:ptCount val="6"/>
                  <c:pt idx="0">
                    <c:v>0%</c:v>
                  </c:pt>
                  <c:pt idx="1">
                    <c:v>29%</c:v>
                  </c:pt>
                  <c:pt idx="2">
                    <c:v>-55%</c:v>
                  </c:pt>
                  <c:pt idx="3">
                    <c:v>207%</c:v>
                  </c:pt>
                  <c:pt idx="4">
                    <c:v>-30%</c:v>
                  </c:pt>
                  <c:pt idx="5">
                    <c:v>62%</c:v>
                  </c:pt>
                </c15:dlblRangeCache>
              </c15:datalabelsRange>
            </c:ext>
            <c:ext xmlns:c16="http://schemas.microsoft.com/office/drawing/2014/chart" uri="{C3380CC4-5D6E-409C-BE32-E72D297353CC}">
              <c16:uniqueId val="{00000000-3682-48A5-9317-89A3CE3335BD}"/>
            </c:ext>
          </c:extLst>
        </c:ser>
        <c:ser>
          <c:idx val="1"/>
          <c:order val="1"/>
          <c:tx>
            <c:strRef>
              <c:f>'Forecasts 4'!$C$1</c:f>
              <c:strCache>
                <c:ptCount val="1"/>
                <c:pt idx="0">
                  <c:v>Forecast(Чистая прибыль)</c:v>
                </c:pt>
              </c:strCache>
            </c:strRef>
          </c:tx>
          <c:spPr>
            <a:ln w="28575" cap="rnd">
              <a:solidFill>
                <a:srgbClr val="CCFFFF"/>
              </a:solidFill>
              <a:prstDash val="sysDash"/>
              <a:round/>
            </a:ln>
            <a:effectLst/>
          </c:spPr>
          <c:marker>
            <c:symbol val="none"/>
          </c:marker>
          <c:dPt>
            <c:idx val="6"/>
            <c:marker>
              <c:symbol val="circle"/>
              <c:size val="10"/>
              <c:spPr>
                <a:solidFill>
                  <a:srgbClr val="00B050"/>
                </a:solidFill>
                <a:ln w="9525">
                  <a:noFill/>
                </a:ln>
                <a:effectLst/>
              </c:spPr>
            </c:marker>
            <c:bubble3D val="0"/>
            <c:extLst>
              <c:ext xmlns:c16="http://schemas.microsoft.com/office/drawing/2014/chart" uri="{C3380CC4-5D6E-409C-BE32-E72D297353CC}">
                <c16:uniqueId val="{00000005-0A40-4186-8E41-2BFE13C6A402}"/>
              </c:ext>
            </c:extLst>
          </c:dPt>
          <c:dPt>
            <c:idx val="7"/>
            <c:marker>
              <c:symbol val="circle"/>
              <c:size val="10"/>
              <c:spPr>
                <a:solidFill>
                  <a:srgbClr val="00B050"/>
                </a:solidFill>
                <a:ln w="9525">
                  <a:noFill/>
                </a:ln>
                <a:effectLst/>
              </c:spPr>
            </c:marker>
            <c:bubble3D val="0"/>
            <c:extLst>
              <c:ext xmlns:c16="http://schemas.microsoft.com/office/drawing/2014/chart" uri="{C3380CC4-5D6E-409C-BE32-E72D297353CC}">
                <c16:uniqueId val="{00000006-0A40-4186-8E41-2BFE13C6A402}"/>
              </c:ext>
            </c:extLst>
          </c:dPt>
          <c:dLbls>
            <c:dLbl>
              <c:idx val="5"/>
              <c:delete val="1"/>
              <c:extLst>
                <c:ext xmlns:c15="http://schemas.microsoft.com/office/drawing/2012/chart" uri="{CE6537A1-D6FC-4f65-9D91-7224C49458BB}"/>
                <c:ext xmlns:c16="http://schemas.microsoft.com/office/drawing/2014/chart" uri="{C3380CC4-5D6E-409C-BE32-E72D297353CC}">
                  <c16:uniqueId val="{0000000A-0A40-4186-8E41-2BFE13C6A402}"/>
                </c:ext>
              </c:extLst>
            </c:dLbl>
            <c:dLbl>
              <c:idx val="6"/>
              <c:layout>
                <c:manualLayout>
                  <c:x val="-5.5944262332015472E-2"/>
                  <c:y val="4.834688002709338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40-4186-8E41-2BFE13C6A402}"/>
                </c:ext>
              </c:extLst>
            </c:dLbl>
            <c:dLbl>
              <c:idx val="7"/>
              <c:layout>
                <c:manualLayout>
                  <c:x val="0"/>
                  <c:y val="3.22580645161290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A40-4186-8E41-2BFE13C6A402}"/>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4'!$C$2:$C$9</c:f>
              <c:numCache>
                <c:formatCode>General</c:formatCode>
                <c:ptCount val="8"/>
                <c:pt idx="5" formatCode="#,##0.00\ &quot;₽&quot;">
                  <c:v>21192281.590000004</c:v>
                </c:pt>
                <c:pt idx="6" formatCode="#,##0.00\ &quot;₽&quot;">
                  <c:v>16857693.0021988</c:v>
                </c:pt>
                <c:pt idx="7" formatCode="#,##0.00\ &quot;₽&quot;">
                  <c:v>24347868.758019805</c:v>
                </c:pt>
              </c:numCache>
            </c:numRef>
          </c:val>
          <c:smooth val="1"/>
          <c:extLst>
            <c:ext xmlns:c16="http://schemas.microsoft.com/office/drawing/2014/chart" uri="{C3380CC4-5D6E-409C-BE32-E72D297353CC}">
              <c16:uniqueId val="{00000001-3682-48A5-9317-89A3CE3335BD}"/>
            </c:ext>
          </c:extLst>
        </c:ser>
        <c:ser>
          <c:idx val="2"/>
          <c:order val="2"/>
          <c:tx>
            <c:strRef>
              <c:f>'Forecasts 4'!$D$1</c:f>
              <c:strCache>
                <c:ptCount val="1"/>
                <c:pt idx="0">
                  <c:v>Lower Confidence Bound(Чистая прибыль)</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7-0A40-4186-8E41-2BFE13C6A402}"/>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8-0A40-4186-8E41-2BFE13C6A402}"/>
              </c:ext>
            </c:extLst>
          </c:dPt>
          <c:dLbls>
            <c:dLbl>
              <c:idx val="5"/>
              <c:delete val="1"/>
              <c:extLst>
                <c:ext xmlns:c15="http://schemas.microsoft.com/office/drawing/2012/chart" uri="{CE6537A1-D6FC-4f65-9D91-7224C49458BB}"/>
                <c:ext xmlns:c16="http://schemas.microsoft.com/office/drawing/2014/chart" uri="{C3380CC4-5D6E-409C-BE32-E72D297353CC}">
                  <c16:uniqueId val="{0000000B-0A40-4186-8E41-2BFE13C6A402}"/>
                </c:ext>
              </c:extLst>
            </c:dLbl>
            <c:dLbl>
              <c:idx val="7"/>
              <c:layout>
                <c:manualLayout>
                  <c:x val="0"/>
                  <c:y val="5.376344086021505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A40-4186-8E41-2BFE13C6A402}"/>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4'!$D$2:$D$9</c:f>
              <c:numCache>
                <c:formatCode>General</c:formatCode>
                <c:ptCount val="8"/>
                <c:pt idx="5" formatCode="#,##0.00\ &quot;₽&quot;">
                  <c:v>21192281.590000004</c:v>
                </c:pt>
                <c:pt idx="6" formatCode="#,##0.00\ &quot;₽&quot;">
                  <c:v>10958120.779477315</c:v>
                </c:pt>
                <c:pt idx="7" formatCode="#,##0.00\ &quot;₽&quot;">
                  <c:v>16966317.957585145</c:v>
                </c:pt>
              </c:numCache>
            </c:numRef>
          </c:val>
          <c:smooth val="1"/>
          <c:extLst>
            <c:ext xmlns:c16="http://schemas.microsoft.com/office/drawing/2014/chart" uri="{C3380CC4-5D6E-409C-BE32-E72D297353CC}">
              <c16:uniqueId val="{00000002-3682-48A5-9317-89A3CE3335BD}"/>
            </c:ext>
          </c:extLst>
        </c:ser>
        <c:ser>
          <c:idx val="3"/>
          <c:order val="3"/>
          <c:tx>
            <c:strRef>
              <c:f>'Forecasts 4'!$E$1</c:f>
              <c:strCache>
                <c:ptCount val="1"/>
                <c:pt idx="0">
                  <c:v>Upper Confidence Bound(Чистая прибыль)</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2-0A40-4186-8E41-2BFE13C6A402}"/>
              </c:ext>
            </c:extLst>
          </c:dPt>
          <c:dPt>
            <c:idx val="7"/>
            <c:marker>
              <c:symbol val="circle"/>
              <c:size val="6"/>
              <c:spPr>
                <a:solidFill>
                  <a:srgbClr val="00B050"/>
                </a:solidFill>
                <a:ln w="9525">
                  <a:noFill/>
                </a:ln>
                <a:effectLst/>
              </c:spPr>
            </c:marker>
            <c:bubble3D val="0"/>
            <c:extLst>
              <c:ext xmlns:c16="http://schemas.microsoft.com/office/drawing/2014/chart" uri="{C3380CC4-5D6E-409C-BE32-E72D297353CC}">
                <c16:uniqueId val="{00000004-0A40-4186-8E41-2BFE13C6A402}"/>
              </c:ext>
            </c:extLst>
          </c:dPt>
          <c:dLbls>
            <c:dLbl>
              <c:idx val="5"/>
              <c:delete val="1"/>
              <c:extLst>
                <c:ext xmlns:c15="http://schemas.microsoft.com/office/drawing/2012/chart" uri="{CE6537A1-D6FC-4f65-9D91-7224C49458BB}"/>
                <c:ext xmlns:c16="http://schemas.microsoft.com/office/drawing/2014/chart" uri="{C3380CC4-5D6E-409C-BE32-E72D297353CC}">
                  <c16:uniqueId val="{00000009-0A40-4186-8E41-2BFE13C6A402}"/>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4'!$E$2:$E$9</c:f>
              <c:numCache>
                <c:formatCode>General</c:formatCode>
                <c:ptCount val="8"/>
                <c:pt idx="5" formatCode="#,##0.00\ &quot;₽&quot;">
                  <c:v>21192281.590000004</c:v>
                </c:pt>
                <c:pt idx="6" formatCode="#,##0.00\ &quot;₽&quot;">
                  <c:v>22757265.224920288</c:v>
                </c:pt>
                <c:pt idx="7" formatCode="#,##0.00\ &quot;₽&quot;">
                  <c:v>31729419.558454465</c:v>
                </c:pt>
              </c:numCache>
            </c:numRef>
          </c:val>
          <c:smooth val="1"/>
          <c:extLst>
            <c:ext xmlns:c16="http://schemas.microsoft.com/office/drawing/2014/chart" uri="{C3380CC4-5D6E-409C-BE32-E72D297353CC}">
              <c16:uniqueId val="{00000003-3682-48A5-9317-89A3CE3335BD}"/>
            </c:ext>
          </c:extLst>
        </c:ser>
        <c:dLbls>
          <c:showLegendKey val="0"/>
          <c:showVal val="0"/>
          <c:showCatName val="0"/>
          <c:showSerName val="0"/>
          <c:showPercent val="0"/>
          <c:showBubbleSize val="0"/>
        </c:dLbls>
        <c:marker val="1"/>
        <c:smooth val="0"/>
        <c:axId val="935864223"/>
        <c:axId val="935865055"/>
      </c:lineChart>
      <c:catAx>
        <c:axId val="935864223"/>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935865055"/>
        <c:crosses val="autoZero"/>
        <c:auto val="1"/>
        <c:lblAlgn val="ctr"/>
        <c:lblOffset val="100"/>
        <c:noMultiLvlLbl val="0"/>
      </c:catAx>
      <c:valAx>
        <c:axId val="935865055"/>
        <c:scaling>
          <c:orientation val="minMax"/>
        </c:scaling>
        <c:delete val="0"/>
        <c:axPos val="l"/>
        <c:numFmt formatCode="#,##0&quot;M&quot;\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935864223"/>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7'!$B$1</c:f>
              <c:strCache>
                <c:ptCount val="1"/>
                <c:pt idx="0">
                  <c:v>Values</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dLbl>
              <c:idx val="0"/>
              <c:tx>
                <c:rich>
                  <a:bodyPr/>
                  <a:lstStyle/>
                  <a:p>
                    <a:fld id="{38BF75CF-DEB0-4486-8055-3671A6E674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7B37-4C83-B471-2B85565957C3}"/>
                </c:ext>
              </c:extLst>
            </c:dLbl>
            <c:dLbl>
              <c:idx val="1"/>
              <c:tx>
                <c:rich>
                  <a:bodyPr/>
                  <a:lstStyle/>
                  <a:p>
                    <a:fld id="{17AC18B9-E4F4-4584-933A-50F0C6A82F7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B37-4C83-B471-2B85565957C3}"/>
                </c:ext>
              </c:extLst>
            </c:dLbl>
            <c:dLbl>
              <c:idx val="2"/>
              <c:tx>
                <c:rich>
                  <a:bodyPr/>
                  <a:lstStyle/>
                  <a:p>
                    <a:fld id="{BA1D3F9A-EF4D-4DAD-94C1-8549F9D7FF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7B37-4C83-B471-2B85565957C3}"/>
                </c:ext>
              </c:extLst>
            </c:dLbl>
            <c:dLbl>
              <c:idx val="3"/>
              <c:tx>
                <c:rich>
                  <a:bodyPr/>
                  <a:lstStyle/>
                  <a:p>
                    <a:fld id="{AFD944BB-2BA1-42D7-AB8C-AF89E97060C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B37-4C83-B471-2B85565957C3}"/>
                </c:ext>
              </c:extLst>
            </c:dLbl>
            <c:dLbl>
              <c:idx val="4"/>
              <c:tx>
                <c:rich>
                  <a:bodyPr/>
                  <a:lstStyle/>
                  <a:p>
                    <a:fld id="{012A58C4-5504-40AA-B398-995FB011312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7B37-4C83-B471-2B85565957C3}"/>
                </c:ext>
              </c:extLst>
            </c:dLbl>
            <c:dLbl>
              <c:idx val="5"/>
              <c:tx>
                <c:rich>
                  <a:bodyPr/>
                  <a:lstStyle/>
                  <a:p>
                    <a:fld id="{2FF96A8D-0768-4F70-8612-A704DAC3CBE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B37-4C83-B471-2B85565957C3}"/>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7B37-4C83-B471-2B85565957C3}"/>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7B37-4C83-B471-2B85565957C3}"/>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CCFFFF">
                          <a:alpha val="56000"/>
                        </a:srgbClr>
                      </a:solidFill>
                    </a:ln>
                    <a:solidFill>
                      <a:srgbClr val="CCFFFF"/>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val>
            <c:numRef>
              <c:f>'Forecast 7'!$B$2:$B$9</c:f>
              <c:numCache>
                <c:formatCode>#,##0.00\ "₽"</c:formatCode>
                <c:ptCount val="8"/>
                <c:pt idx="0">
                  <c:v>14261441</c:v>
                </c:pt>
                <c:pt idx="1">
                  <c:v>20091817</c:v>
                </c:pt>
                <c:pt idx="2">
                  <c:v>13322133.329999998</c:v>
                </c:pt>
                <c:pt idx="3">
                  <c:v>22219020.690000001</c:v>
                </c:pt>
                <c:pt idx="4">
                  <c:v>18830930.129999999</c:v>
                </c:pt>
                <c:pt idx="5">
                  <c:v>26997589.379999999</c:v>
                </c:pt>
              </c:numCache>
            </c:numRef>
          </c:val>
          <c:smooth val="1"/>
          <c:extLst>
            <c:ext xmlns:c15="http://schemas.microsoft.com/office/drawing/2012/chart" uri="{02D57815-91ED-43cb-92C2-25804820EDAC}">
              <c15:datalabelsRange>
                <c15:f>'Only Totals'!$Z$2:$Z$7</c15:f>
                <c15:dlblRangeCache>
                  <c:ptCount val="6"/>
                  <c:pt idx="1">
                    <c:v>40.88%</c:v>
                  </c:pt>
                  <c:pt idx="2">
                    <c:v>-33.69%</c:v>
                  </c:pt>
                  <c:pt idx="3">
                    <c:v>66.78%</c:v>
                  </c:pt>
                  <c:pt idx="4">
                    <c:v>-15.25%</c:v>
                  </c:pt>
                  <c:pt idx="5">
                    <c:v>43.37%</c:v>
                  </c:pt>
                </c15:dlblRangeCache>
              </c15:datalabelsRange>
            </c:ext>
            <c:ext xmlns:c16="http://schemas.microsoft.com/office/drawing/2014/chart" uri="{C3380CC4-5D6E-409C-BE32-E72D297353CC}">
              <c16:uniqueId val="{00000000-7B37-4C83-B471-2B85565957C3}"/>
            </c:ext>
          </c:extLst>
        </c:ser>
        <c:ser>
          <c:idx val="1"/>
          <c:order val="1"/>
          <c:tx>
            <c:strRef>
              <c:f>'Forecast 7'!$C$1</c:f>
              <c:strCache>
                <c:ptCount val="1"/>
                <c:pt idx="0">
                  <c:v>Forecast</c:v>
                </c:pt>
              </c:strCache>
            </c:strRef>
          </c:tx>
          <c:spPr>
            <a:ln w="25400" cap="rnd">
              <a:solidFill>
                <a:srgbClr val="CCFFFF"/>
              </a:solidFill>
              <a:prstDash val="dash"/>
              <a:round/>
            </a:ln>
            <a:effectLst/>
          </c:spPr>
          <c:marker>
            <c:symbol val="none"/>
          </c:marker>
          <c:dPt>
            <c:idx val="6"/>
            <c:marker>
              <c:symbol val="circle"/>
              <c:size val="10"/>
              <c:spPr>
                <a:solidFill>
                  <a:srgbClr val="00B050"/>
                </a:solidFill>
                <a:ln w="9525">
                  <a:noFill/>
                </a:ln>
                <a:effectLst/>
              </c:spPr>
            </c:marker>
            <c:bubble3D val="0"/>
            <c:extLst>
              <c:ext xmlns:c16="http://schemas.microsoft.com/office/drawing/2014/chart" uri="{C3380CC4-5D6E-409C-BE32-E72D297353CC}">
                <c16:uniqueId val="{0000000A-7B37-4C83-B471-2B85565957C3}"/>
              </c:ext>
            </c:extLst>
          </c:dPt>
          <c:dPt>
            <c:idx val="7"/>
            <c:marker>
              <c:symbol val="circle"/>
              <c:size val="10"/>
              <c:spPr>
                <a:solidFill>
                  <a:srgbClr val="00B050"/>
                </a:solidFill>
                <a:ln w="9525">
                  <a:noFill/>
                </a:ln>
                <a:effectLst/>
              </c:spPr>
            </c:marker>
            <c:bubble3D val="0"/>
            <c:extLst>
              <c:ext xmlns:c16="http://schemas.microsoft.com/office/drawing/2014/chart" uri="{C3380CC4-5D6E-409C-BE32-E72D297353CC}">
                <c16:uniqueId val="{0000000B-7B37-4C83-B471-2B85565957C3}"/>
              </c:ext>
            </c:extLst>
          </c:dPt>
          <c:dLbls>
            <c:dLbl>
              <c:idx val="6"/>
              <c:layout>
                <c:manualLayout>
                  <c:x val="-1.3046317096592562E-2"/>
                  <c:y val="6.2015503875968428E-3"/>
                </c:manualLayout>
              </c:layout>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62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B37-4C83-B471-2B85565957C3}"/>
                </c:ext>
              </c:extLst>
            </c:dLbl>
            <c:dLbl>
              <c:idx val="7"/>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9000"/>
                          </a:srgbClr>
                        </a:solidFill>
                      </a:ln>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B37-4C83-B471-2B85565957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7'!$A$2:$A$9</c:f>
              <c:numCache>
                <c:formatCode>[$-FC19]yyyy</c:formatCode>
                <c:ptCount val="8"/>
                <c:pt idx="0">
                  <c:v>42736</c:v>
                </c:pt>
                <c:pt idx="1">
                  <c:v>43101</c:v>
                </c:pt>
                <c:pt idx="2">
                  <c:v>43466</c:v>
                </c:pt>
                <c:pt idx="3">
                  <c:v>43831</c:v>
                </c:pt>
                <c:pt idx="4">
                  <c:v>44197</c:v>
                </c:pt>
                <c:pt idx="5">
                  <c:v>44562</c:v>
                </c:pt>
                <c:pt idx="6">
                  <c:v>44927</c:v>
                </c:pt>
                <c:pt idx="7">
                  <c:v>45292</c:v>
                </c:pt>
              </c:numCache>
            </c:numRef>
          </c:cat>
          <c:val>
            <c:numRef>
              <c:f>'Forecast 7'!$C$2:$C$9</c:f>
              <c:numCache>
                <c:formatCode>General</c:formatCode>
                <c:ptCount val="8"/>
                <c:pt idx="5" formatCode="#,##0.00\ &quot;₽&quot;">
                  <c:v>26997589.379999999</c:v>
                </c:pt>
                <c:pt idx="6" formatCode="#,##0.00\ &quot;₽&quot;">
                  <c:v>22130771.788090829</c:v>
                </c:pt>
                <c:pt idx="7" formatCode="#,##0.00\ &quot;₽&quot;">
                  <c:v>30217872.368340638</c:v>
                </c:pt>
              </c:numCache>
            </c:numRef>
          </c:val>
          <c:smooth val="1"/>
          <c:extLst>
            <c:ext xmlns:c16="http://schemas.microsoft.com/office/drawing/2014/chart" uri="{C3380CC4-5D6E-409C-BE32-E72D297353CC}">
              <c16:uniqueId val="{00000001-7B37-4C83-B471-2B85565957C3}"/>
            </c:ext>
          </c:extLst>
        </c:ser>
        <c:ser>
          <c:idx val="2"/>
          <c:order val="2"/>
          <c:tx>
            <c:strRef>
              <c:f>'Forecast 7'!$D$1</c:f>
              <c:strCache>
                <c:ptCount val="1"/>
                <c:pt idx="0">
                  <c:v>Lower Confidence Bound</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8-7B37-4C83-B471-2B85565957C3}"/>
              </c:ext>
            </c:extLst>
          </c:dPt>
          <c:dPt>
            <c:idx val="7"/>
            <c:marker>
              <c:symbol val="circle"/>
              <c:size val="5"/>
              <c:spPr>
                <a:solidFill>
                  <a:srgbClr val="00B050"/>
                </a:solidFill>
                <a:ln w="9525">
                  <a:solidFill>
                    <a:schemeClr val="accent3"/>
                  </a:solidFill>
                </a:ln>
                <a:effectLst/>
              </c:spPr>
            </c:marker>
            <c:bubble3D val="0"/>
            <c:extLst>
              <c:ext xmlns:c16="http://schemas.microsoft.com/office/drawing/2014/chart" uri="{C3380CC4-5D6E-409C-BE32-E72D297353CC}">
                <c16:uniqueId val="{00000009-7B37-4C83-B471-2B85565957C3}"/>
              </c:ext>
            </c:extLst>
          </c:dPt>
          <c:dLbls>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B37-4C83-B471-2B85565957C3}"/>
                </c:ext>
              </c:extLst>
            </c:dLbl>
            <c:dLbl>
              <c:idx val="7"/>
              <c:layout>
                <c:manualLayout>
                  <c:x val="-8.6676854436384728E-3"/>
                  <c:y val="4.64652383568333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B37-4C83-B471-2B85565957C3}"/>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9000"/>
                        </a:srgbClr>
                      </a:solidFill>
                    </a:ln>
                    <a:solidFill>
                      <a:srgbClr val="00B050"/>
                    </a:solidFill>
                    <a:latin typeface="+mn-lt"/>
                    <a:ea typeface="+mn-ea"/>
                    <a:cs typeface="+mn-cs"/>
                  </a:defRPr>
                </a:pPr>
                <a:endParaRPr lang="en-US"/>
              </a:p>
            </c:txPr>
            <c:dLblPos val="b"/>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7'!$A$2:$A$9</c:f>
              <c:numCache>
                <c:formatCode>[$-FC19]yyyy</c:formatCode>
                <c:ptCount val="8"/>
                <c:pt idx="0">
                  <c:v>42736</c:v>
                </c:pt>
                <c:pt idx="1">
                  <c:v>43101</c:v>
                </c:pt>
                <c:pt idx="2">
                  <c:v>43466</c:v>
                </c:pt>
                <c:pt idx="3">
                  <c:v>43831</c:v>
                </c:pt>
                <c:pt idx="4">
                  <c:v>44197</c:v>
                </c:pt>
                <c:pt idx="5">
                  <c:v>44562</c:v>
                </c:pt>
                <c:pt idx="6">
                  <c:v>44927</c:v>
                </c:pt>
                <c:pt idx="7">
                  <c:v>45292</c:v>
                </c:pt>
              </c:numCache>
            </c:numRef>
          </c:cat>
          <c:val>
            <c:numRef>
              <c:f>'Forecast 7'!$D$2:$D$9</c:f>
              <c:numCache>
                <c:formatCode>General</c:formatCode>
                <c:ptCount val="8"/>
                <c:pt idx="5" formatCode="#,##0.00\ &quot;₽&quot;">
                  <c:v>26997589.379999999</c:v>
                </c:pt>
                <c:pt idx="6" formatCode="#,##0.00\ &quot;₽&quot;">
                  <c:v>19251909.849358924</c:v>
                </c:pt>
                <c:pt idx="7" formatCode="#,##0.00\ &quot;₽&quot;">
                  <c:v>26342833.299701001</c:v>
                </c:pt>
              </c:numCache>
            </c:numRef>
          </c:val>
          <c:smooth val="1"/>
          <c:extLst>
            <c:ext xmlns:c16="http://schemas.microsoft.com/office/drawing/2014/chart" uri="{C3380CC4-5D6E-409C-BE32-E72D297353CC}">
              <c16:uniqueId val="{00000002-7B37-4C83-B471-2B85565957C3}"/>
            </c:ext>
          </c:extLst>
        </c:ser>
        <c:ser>
          <c:idx val="3"/>
          <c:order val="3"/>
          <c:tx>
            <c:strRef>
              <c:f>'Forecast 7'!$E$1</c:f>
              <c:strCache>
                <c:ptCount val="1"/>
                <c:pt idx="0">
                  <c:v>Upper Confidence Bound</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7-7B37-4C83-B471-2B85565957C3}"/>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6-7B37-4C83-B471-2B85565957C3}"/>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B37-4C83-B471-2B85565957C3}"/>
                </c:ext>
              </c:extLst>
            </c:dLbl>
            <c:dLbl>
              <c:idx val="7"/>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B37-4C83-B471-2B85565957C3}"/>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6000"/>
                        </a:srgbClr>
                      </a:solidFill>
                    </a:ln>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7'!$A$2:$A$9</c:f>
              <c:numCache>
                <c:formatCode>[$-FC19]yyyy</c:formatCode>
                <c:ptCount val="8"/>
                <c:pt idx="0">
                  <c:v>42736</c:v>
                </c:pt>
                <c:pt idx="1">
                  <c:v>43101</c:v>
                </c:pt>
                <c:pt idx="2">
                  <c:v>43466</c:v>
                </c:pt>
                <c:pt idx="3">
                  <c:v>43831</c:v>
                </c:pt>
                <c:pt idx="4">
                  <c:v>44197</c:v>
                </c:pt>
                <c:pt idx="5">
                  <c:v>44562</c:v>
                </c:pt>
                <c:pt idx="6">
                  <c:v>44927</c:v>
                </c:pt>
                <c:pt idx="7">
                  <c:v>45292</c:v>
                </c:pt>
              </c:numCache>
            </c:numRef>
          </c:cat>
          <c:val>
            <c:numRef>
              <c:f>'Forecast 7'!$E$2:$E$9</c:f>
              <c:numCache>
                <c:formatCode>General</c:formatCode>
                <c:ptCount val="8"/>
                <c:pt idx="5" formatCode="#,##0.00\ &quot;₽&quot;">
                  <c:v>26997589.379999999</c:v>
                </c:pt>
                <c:pt idx="6" formatCode="#,##0.00\ &quot;₽&quot;">
                  <c:v>25009633.726822734</c:v>
                </c:pt>
                <c:pt idx="7" formatCode="#,##0.00\ &quot;₽&quot;">
                  <c:v>34092911.436980277</c:v>
                </c:pt>
              </c:numCache>
            </c:numRef>
          </c:val>
          <c:smooth val="1"/>
          <c:extLst>
            <c:ext xmlns:c16="http://schemas.microsoft.com/office/drawing/2014/chart" uri="{C3380CC4-5D6E-409C-BE32-E72D297353CC}">
              <c16:uniqueId val="{00000003-7B37-4C83-B471-2B85565957C3}"/>
            </c:ext>
          </c:extLst>
        </c:ser>
        <c:dLbls>
          <c:showLegendKey val="0"/>
          <c:showVal val="0"/>
          <c:showCatName val="0"/>
          <c:showSerName val="0"/>
          <c:showPercent val="0"/>
          <c:showBubbleSize val="0"/>
        </c:dLbls>
        <c:marker val="1"/>
        <c:smooth val="0"/>
        <c:axId val="735659023"/>
        <c:axId val="735660271"/>
      </c:lineChart>
      <c:catAx>
        <c:axId val="735659023"/>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735660271"/>
        <c:crosses val="autoZero"/>
        <c:auto val="1"/>
        <c:lblAlgn val="ctr"/>
        <c:lblOffset val="100"/>
        <c:noMultiLvlLbl val="0"/>
      </c:catAx>
      <c:valAx>
        <c:axId val="735660271"/>
        <c:scaling>
          <c:orientation val="minMax"/>
          <c:max val="35000000"/>
          <c:min val="10000000"/>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735659023"/>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margin'!$B$1</c:f>
              <c:strCache>
                <c:ptCount val="1"/>
                <c:pt idx="0">
                  <c:v>Маржинальность</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CCFFFF">
                          <a:alpha val="58000"/>
                        </a:srgbClr>
                      </a:solidFill>
                    </a:ln>
                    <a:solidFill>
                      <a:srgbClr val="CCFFFF"/>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val>
            <c:numRef>
              <c:f>'forecast margin'!$B$2:$B$9</c:f>
              <c:numCache>
                <c:formatCode>0.00%</c:formatCode>
                <c:ptCount val="8"/>
                <c:pt idx="0">
                  <c:v>0.51091155126629628</c:v>
                </c:pt>
                <c:pt idx="1">
                  <c:v>0.57538159500922248</c:v>
                </c:pt>
                <c:pt idx="2">
                  <c:v>0.58090882713926717</c:v>
                </c:pt>
                <c:pt idx="3">
                  <c:v>0.57460508069201599</c:v>
                </c:pt>
                <c:pt idx="4">
                  <c:v>0.56462393089253571</c:v>
                </c:pt>
                <c:pt idx="5">
                  <c:v>0.57579243608718267</c:v>
                </c:pt>
              </c:numCache>
            </c:numRef>
          </c:val>
          <c:smooth val="1"/>
          <c:extLst>
            <c:ext xmlns:c16="http://schemas.microsoft.com/office/drawing/2014/chart" uri="{C3380CC4-5D6E-409C-BE32-E72D297353CC}">
              <c16:uniqueId val="{00000000-9F07-47BB-8A2F-B82D606CCD8B}"/>
            </c:ext>
          </c:extLst>
        </c:ser>
        <c:ser>
          <c:idx val="1"/>
          <c:order val="1"/>
          <c:tx>
            <c:strRef>
              <c:f>'forecast margin'!$C$1</c:f>
              <c:strCache>
                <c:ptCount val="1"/>
                <c:pt idx="0">
                  <c:v>Forecast(Маржинальность)</c:v>
                </c:pt>
              </c:strCache>
            </c:strRef>
          </c:tx>
          <c:spPr>
            <a:ln w="25400" cap="rnd">
              <a:solidFill>
                <a:srgbClr val="CCFFFF"/>
              </a:solidFill>
              <a:prstDash val="dash"/>
              <a:round/>
            </a:ln>
            <a:effectLst/>
          </c:spPr>
          <c:marker>
            <c:symbol val="circle"/>
            <c:size val="10"/>
            <c:spPr>
              <a:solidFill>
                <a:srgbClr val="CCFFFF"/>
              </a:solidFill>
              <a:ln w="9525">
                <a:noFill/>
              </a:ln>
              <a:effectLst/>
            </c:spPr>
          </c:marker>
          <c:dPt>
            <c:idx val="6"/>
            <c:marker>
              <c:symbol val="circle"/>
              <c:size val="10"/>
              <c:spPr>
                <a:solidFill>
                  <a:srgbClr val="00B050"/>
                </a:solidFill>
                <a:ln w="9525">
                  <a:noFill/>
                </a:ln>
                <a:effectLst/>
              </c:spPr>
            </c:marker>
            <c:bubble3D val="0"/>
            <c:extLst>
              <c:ext xmlns:c16="http://schemas.microsoft.com/office/drawing/2014/chart" uri="{C3380CC4-5D6E-409C-BE32-E72D297353CC}">
                <c16:uniqueId val="{0000000E-9F07-47BB-8A2F-B82D606CCD8B}"/>
              </c:ext>
            </c:extLst>
          </c:dPt>
          <c:dPt>
            <c:idx val="7"/>
            <c:marker>
              <c:symbol val="circle"/>
              <c:size val="10"/>
              <c:spPr>
                <a:solidFill>
                  <a:srgbClr val="00B050"/>
                </a:solidFill>
                <a:ln w="9525">
                  <a:noFill/>
                </a:ln>
                <a:effectLst/>
              </c:spPr>
            </c:marker>
            <c:bubble3D val="0"/>
            <c:extLst>
              <c:ext xmlns:c16="http://schemas.microsoft.com/office/drawing/2014/chart" uri="{C3380CC4-5D6E-409C-BE32-E72D297353CC}">
                <c16:uniqueId val="{0000000D-9F07-47BB-8A2F-B82D606CCD8B}"/>
              </c:ext>
            </c:extLst>
          </c:dPt>
          <c:dLbls>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F07-47BB-8A2F-B82D606CCD8B}"/>
                </c:ext>
              </c:extLst>
            </c:dLbl>
            <c:dLbl>
              <c:idx val="7"/>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F07-47BB-8A2F-B82D606CCD8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b"/>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margin'!$A$2:$A$9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'forecast margin'!$C$2:$C$9</c:f>
              <c:numCache>
                <c:formatCode>General</c:formatCode>
                <c:ptCount val="8"/>
                <c:pt idx="5" formatCode="0.00%">
                  <c:v>0.57579243608718267</c:v>
                </c:pt>
                <c:pt idx="6" formatCode="0.00%">
                  <c:v>0.58004997071736297</c:v>
                </c:pt>
                <c:pt idx="7" formatCode="0.00%">
                  <c:v>0.58479281445696574</c:v>
                </c:pt>
              </c:numCache>
            </c:numRef>
          </c:val>
          <c:smooth val="1"/>
          <c:extLst>
            <c:ext xmlns:c16="http://schemas.microsoft.com/office/drawing/2014/chart" uri="{C3380CC4-5D6E-409C-BE32-E72D297353CC}">
              <c16:uniqueId val="{00000001-9F07-47BB-8A2F-B82D606CCD8B}"/>
            </c:ext>
          </c:extLst>
        </c:ser>
        <c:ser>
          <c:idx val="2"/>
          <c:order val="2"/>
          <c:tx>
            <c:strRef>
              <c:f>'forecast margin'!$D$1</c:f>
              <c:strCache>
                <c:ptCount val="1"/>
                <c:pt idx="0">
                  <c:v>Lower Confidence Bound(Маржинальность)</c:v>
                </c:pt>
              </c:strCache>
            </c:strRef>
          </c:tx>
          <c:spPr>
            <a:ln w="12700" cap="rnd">
              <a:solidFill>
                <a:srgbClr val="CCFFFF"/>
              </a:solidFill>
              <a:prstDash val="sysDash"/>
              <a:round/>
            </a:ln>
            <a:effectLst/>
          </c:spPr>
          <c:marker>
            <c:symbol val="circle"/>
            <c:size val="5"/>
            <c:spPr>
              <a:solidFill>
                <a:srgbClr val="CCFFFF"/>
              </a:solidFill>
              <a:ln w="9525">
                <a:noFill/>
              </a:ln>
              <a:effectLst/>
            </c:spPr>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11-9F07-47BB-8A2F-B82D606CCD8B}"/>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12-9F07-47BB-8A2F-B82D606CCD8B}"/>
              </c:ext>
            </c:extLst>
          </c:dPt>
          <c:dLbls>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F07-47BB-8A2F-B82D606CCD8B}"/>
                </c:ext>
              </c:extLst>
            </c:dLbl>
            <c:dLbl>
              <c:idx val="7"/>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F07-47BB-8A2F-B82D606CCD8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7000"/>
                        </a:srgbClr>
                      </a:solidFill>
                    </a:ln>
                    <a:solidFill>
                      <a:srgbClr val="00B050"/>
                    </a:solidFill>
                    <a:latin typeface="+mn-lt"/>
                    <a:ea typeface="+mn-ea"/>
                    <a:cs typeface="+mn-cs"/>
                  </a:defRPr>
                </a:pPr>
                <a:endParaRPr lang="en-US"/>
              </a:p>
            </c:txPr>
            <c:dLblPos val="b"/>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margin'!$A$2:$A$9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'forecast margin'!$D$2:$D$9</c:f>
              <c:numCache>
                <c:formatCode>General</c:formatCode>
                <c:ptCount val="8"/>
                <c:pt idx="5" formatCode="0.00%">
                  <c:v>0.57579243608718267</c:v>
                </c:pt>
                <c:pt idx="6" formatCode="0.00%">
                  <c:v>0.52945239043304926</c:v>
                </c:pt>
                <c:pt idx="7" formatCode="0.00%">
                  <c:v>0.51668687379254097</c:v>
                </c:pt>
              </c:numCache>
            </c:numRef>
          </c:val>
          <c:smooth val="1"/>
          <c:extLst>
            <c:ext xmlns:c16="http://schemas.microsoft.com/office/drawing/2014/chart" uri="{C3380CC4-5D6E-409C-BE32-E72D297353CC}">
              <c16:uniqueId val="{00000002-9F07-47BB-8A2F-B82D606CCD8B}"/>
            </c:ext>
          </c:extLst>
        </c:ser>
        <c:ser>
          <c:idx val="3"/>
          <c:order val="3"/>
          <c:tx>
            <c:strRef>
              <c:f>'forecast margin'!$E$1</c:f>
              <c:strCache>
                <c:ptCount val="1"/>
                <c:pt idx="0">
                  <c:v>Upper Confidence Bound(Маржинальность)</c:v>
                </c:pt>
              </c:strCache>
            </c:strRef>
          </c:tx>
          <c:spPr>
            <a:ln w="12700" cap="rnd">
              <a:solidFill>
                <a:srgbClr val="CCFFFF"/>
              </a:solidFill>
              <a:prstDash val="sysDash"/>
              <a:round/>
            </a:ln>
            <a:effectLst/>
          </c:spPr>
          <c:marker>
            <c:symbol val="circle"/>
            <c:size val="5"/>
            <c:spPr>
              <a:solidFill>
                <a:srgbClr val="00B050"/>
              </a:solidFill>
              <a:ln w="9525">
                <a:noFill/>
              </a:ln>
              <a:effectLst/>
            </c:spPr>
          </c:marker>
          <c:dPt>
            <c:idx val="5"/>
            <c:marker>
              <c:symbol val="circle"/>
              <c:size val="5"/>
              <c:spPr>
                <a:solidFill>
                  <a:srgbClr val="CCFFFF"/>
                </a:solidFill>
                <a:ln w="9525">
                  <a:noFill/>
                </a:ln>
                <a:effectLst/>
              </c:spPr>
            </c:marker>
            <c:bubble3D val="0"/>
            <c:extLst>
              <c:ext xmlns:c16="http://schemas.microsoft.com/office/drawing/2014/chart" uri="{C3380CC4-5D6E-409C-BE32-E72D297353CC}">
                <c16:uniqueId val="{0000000F-9F07-47BB-8A2F-B82D606CCD8B}"/>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F07-47BB-8A2F-B82D606CCD8B}"/>
                </c:ext>
              </c:extLst>
            </c:dLbl>
            <c:dLbl>
              <c:idx val="7"/>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9F07-47BB-8A2F-B82D606CCD8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margin'!$A$2:$A$9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'forecast margin'!$E$2:$E$9</c:f>
              <c:numCache>
                <c:formatCode>General</c:formatCode>
                <c:ptCount val="8"/>
                <c:pt idx="5" formatCode="0.00%">
                  <c:v>0.57579243608718267</c:v>
                </c:pt>
                <c:pt idx="6" formatCode="0.00%">
                  <c:v>0.63064755100167669</c:v>
                </c:pt>
                <c:pt idx="7" formatCode="0.00%">
                  <c:v>0.65289875512139051</c:v>
                </c:pt>
              </c:numCache>
            </c:numRef>
          </c:val>
          <c:smooth val="1"/>
          <c:extLst>
            <c:ext xmlns:c16="http://schemas.microsoft.com/office/drawing/2014/chart" uri="{C3380CC4-5D6E-409C-BE32-E72D297353CC}">
              <c16:uniqueId val="{00000003-9F07-47BB-8A2F-B82D606CCD8B}"/>
            </c:ext>
          </c:extLst>
        </c:ser>
        <c:dLbls>
          <c:showLegendKey val="0"/>
          <c:showVal val="0"/>
          <c:showCatName val="0"/>
          <c:showSerName val="0"/>
          <c:showPercent val="0"/>
          <c:showBubbleSize val="0"/>
        </c:dLbls>
        <c:marker val="1"/>
        <c:smooth val="0"/>
        <c:axId val="256340832"/>
        <c:axId val="256341664"/>
      </c:lineChart>
      <c:catAx>
        <c:axId val="2563408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256341664"/>
        <c:crosses val="autoZero"/>
        <c:auto val="1"/>
        <c:lblAlgn val="ctr"/>
        <c:lblOffset val="100"/>
        <c:noMultiLvlLbl val="0"/>
      </c:catAx>
      <c:valAx>
        <c:axId val="256341664"/>
        <c:scaling>
          <c:orientation val="minMax"/>
          <c:max val="0.66000000000000014"/>
          <c:min val="0.46"/>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256340832"/>
        <c:crosses val="autoZero"/>
        <c:crossBetween val="between"/>
        <c:majorUnit val="2.0000000000000004E-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'cogs forecast'!$B$1</c:f>
              <c:strCache>
                <c:ptCount val="1"/>
                <c:pt idx="0">
                  <c:v>Себестоимость</c:v>
                </c:pt>
              </c:strCache>
            </c:strRef>
          </c:tx>
          <c:spPr>
            <a:ln w="28575" cap="rnd">
              <a:solidFill>
                <a:srgbClr val="CCFFFF"/>
              </a:solidFill>
              <a:round/>
            </a:ln>
            <a:effectLst/>
          </c:spPr>
          <c:marker>
            <c:symbol val="circle"/>
            <c:size val="10"/>
            <c:spPr>
              <a:solidFill>
                <a:srgbClr val="CCFFFF"/>
              </a:solidFill>
              <a:ln w="9525">
                <a:solidFill>
                  <a:schemeClr val="accent1"/>
                </a:solidFill>
              </a:ln>
              <a:effectLst/>
            </c:spPr>
          </c:marker>
          <c:dLbls>
            <c:dLbl>
              <c:idx val="0"/>
              <c:tx>
                <c:rich>
                  <a:bodyPr/>
                  <a:lstStyle/>
                  <a:p>
                    <a:fld id="{48844DE2-AB60-4EFA-9F63-4E2D9048EC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6AB-4AFC-8526-E4A7AB35E605}"/>
                </c:ext>
              </c:extLst>
            </c:dLbl>
            <c:dLbl>
              <c:idx val="1"/>
              <c:tx>
                <c:rich>
                  <a:bodyPr/>
                  <a:lstStyle/>
                  <a:p>
                    <a:fld id="{DD9B66A4-83E6-4D2F-8BA8-2A2038E8BE6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6AB-4AFC-8526-E4A7AB35E605}"/>
                </c:ext>
              </c:extLst>
            </c:dLbl>
            <c:dLbl>
              <c:idx val="2"/>
              <c:tx>
                <c:rich>
                  <a:bodyPr/>
                  <a:lstStyle/>
                  <a:p>
                    <a:fld id="{FB24A10D-BCF6-4A19-A1C9-DECDBE5ED5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6AB-4AFC-8526-E4A7AB35E605}"/>
                </c:ext>
              </c:extLst>
            </c:dLbl>
            <c:dLbl>
              <c:idx val="3"/>
              <c:tx>
                <c:rich>
                  <a:bodyPr/>
                  <a:lstStyle/>
                  <a:p>
                    <a:fld id="{F221BA7F-1A1C-4369-A2B6-413DF83B228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6AB-4AFC-8526-E4A7AB35E605}"/>
                </c:ext>
              </c:extLst>
            </c:dLbl>
            <c:dLbl>
              <c:idx val="4"/>
              <c:tx>
                <c:rich>
                  <a:bodyPr/>
                  <a:lstStyle/>
                  <a:p>
                    <a:fld id="{92128DF5-C72B-4F85-A1AF-DFE8F75A2CC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6AB-4AFC-8526-E4A7AB35E605}"/>
                </c:ext>
              </c:extLst>
            </c:dLbl>
            <c:dLbl>
              <c:idx val="5"/>
              <c:tx>
                <c:rich>
                  <a:bodyPr/>
                  <a:lstStyle/>
                  <a:p>
                    <a:fld id="{C3879B5E-A8F8-412E-857A-53DBFC875C4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6AB-4AFC-8526-E4A7AB35E605}"/>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E6AB-4AFC-8526-E4A7AB35E605}"/>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E6AB-4AFC-8526-E4A7AB35E605}"/>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CCFFFF">
                          <a:alpha val="57000"/>
                        </a:srgbClr>
                      </a:solidFill>
                    </a:ln>
                    <a:solidFill>
                      <a:srgbClr val="CCFFFF"/>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B050"/>
                </a:solidFill>
                <a:prstDash val="lgDash"/>
              </a:ln>
              <a:effectLst/>
            </c:spPr>
            <c:trendlineType val="linear"/>
            <c:dispRSqr val="0"/>
            <c:dispEq val="0"/>
          </c:trendline>
          <c:val>
            <c:numRef>
              <c:f>'cogs forecast'!$B$2:$B$9</c:f>
              <c:numCache>
                <c:formatCode>#,##0.00\ "₽"</c:formatCode>
                <c:ptCount val="8"/>
                <c:pt idx="0">
                  <c:v>67758349</c:v>
                </c:pt>
                <c:pt idx="1">
                  <c:v>63758835</c:v>
                </c:pt>
                <c:pt idx="2">
                  <c:v>53829247.719999999</c:v>
                </c:pt>
                <c:pt idx="3">
                  <c:v>56602228.890000008</c:v>
                </c:pt>
                <c:pt idx="4">
                  <c:v>62983953.140000001</c:v>
                </c:pt>
                <c:pt idx="5">
                  <c:v>67894674.179999992</c:v>
                </c:pt>
              </c:numCache>
            </c:numRef>
          </c:val>
          <c:smooth val="1"/>
          <c:extLst>
            <c:ext xmlns:c15="http://schemas.microsoft.com/office/drawing/2012/chart" uri="{02D57815-91ED-43cb-92C2-25804820EDAC}">
              <c15:datalabelsRange>
                <c15:f>'Only Totals'!$E$2:$E$7</c15:f>
                <c15:dlblRangeCache>
                  <c:ptCount val="6"/>
                  <c:pt idx="1">
                    <c:v>-5.90%</c:v>
                  </c:pt>
                  <c:pt idx="2">
                    <c:v>-15.57%</c:v>
                  </c:pt>
                  <c:pt idx="3">
                    <c:v>5.15%</c:v>
                  </c:pt>
                  <c:pt idx="4">
                    <c:v>11.27%</c:v>
                  </c:pt>
                  <c:pt idx="5">
                    <c:v>7.80%</c:v>
                  </c:pt>
                </c15:dlblRangeCache>
              </c15:datalabelsRange>
            </c:ext>
            <c:ext xmlns:c16="http://schemas.microsoft.com/office/drawing/2014/chart" uri="{C3380CC4-5D6E-409C-BE32-E72D297353CC}">
              <c16:uniqueId val="{00000000-E6AB-4AFC-8526-E4A7AB35E605}"/>
            </c:ext>
          </c:extLst>
        </c:ser>
        <c:ser>
          <c:idx val="1"/>
          <c:order val="1"/>
          <c:tx>
            <c:strRef>
              <c:f>'cogs forecast'!$C$1</c:f>
              <c:strCache>
                <c:ptCount val="1"/>
                <c:pt idx="0">
                  <c:v>Forecast(Себестоимость)</c:v>
                </c:pt>
              </c:strCache>
            </c:strRef>
          </c:tx>
          <c:spPr>
            <a:ln w="25400" cap="rnd">
              <a:solidFill>
                <a:srgbClr val="CCFFFF"/>
              </a:solidFill>
              <a:prstDash val="dash"/>
              <a:round/>
            </a:ln>
            <a:effectLst/>
          </c:spPr>
          <c:marker>
            <c:symbol val="none"/>
          </c:marker>
          <c:dPt>
            <c:idx val="6"/>
            <c:marker>
              <c:symbol val="circle"/>
              <c:size val="10"/>
              <c:spPr>
                <a:solidFill>
                  <a:srgbClr val="00B050"/>
                </a:solidFill>
                <a:ln w="9525">
                  <a:noFill/>
                </a:ln>
                <a:effectLst/>
              </c:spPr>
            </c:marker>
            <c:bubble3D val="0"/>
            <c:extLst>
              <c:ext xmlns:c16="http://schemas.microsoft.com/office/drawing/2014/chart" uri="{C3380CC4-5D6E-409C-BE32-E72D297353CC}">
                <c16:uniqueId val="{00000006-E6AB-4AFC-8526-E4A7AB35E605}"/>
              </c:ext>
            </c:extLst>
          </c:dPt>
          <c:dPt>
            <c:idx val="7"/>
            <c:marker>
              <c:symbol val="circle"/>
              <c:size val="10"/>
              <c:spPr>
                <a:solidFill>
                  <a:srgbClr val="00B050"/>
                </a:solidFill>
                <a:ln w="9525">
                  <a:noFill/>
                </a:ln>
                <a:effectLst/>
              </c:spPr>
            </c:marker>
            <c:bubble3D val="0"/>
            <c:extLst>
              <c:ext xmlns:c16="http://schemas.microsoft.com/office/drawing/2014/chart" uri="{C3380CC4-5D6E-409C-BE32-E72D297353CC}">
                <c16:uniqueId val="{00000005-E6AB-4AFC-8526-E4A7AB35E605}"/>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6AB-4AFC-8526-E4A7AB35E605}"/>
                </c:ext>
              </c:extLst>
            </c:dLbl>
            <c:dLbl>
              <c:idx val="7"/>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6AB-4AFC-8526-E4A7AB35E605}"/>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8000"/>
                        </a:srgbClr>
                      </a:solidFill>
                    </a:ln>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'cogs forecast'!$A$2:$A$9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'cogs forecast'!$C$2:$C$9</c:f>
              <c:numCache>
                <c:formatCode>General</c:formatCode>
                <c:ptCount val="8"/>
                <c:pt idx="5" formatCode="#,##0.00\ &quot;₽&quot;">
                  <c:v>67894674.179999992</c:v>
                </c:pt>
                <c:pt idx="6" formatCode="#,##0.00\ &quot;₽&quot;">
                  <c:v>65484278.716918424</c:v>
                </c:pt>
                <c:pt idx="7" formatCode="#,##0.00\ &quot;₽&quot;">
                  <c:v>69022202.97669512</c:v>
                </c:pt>
              </c:numCache>
            </c:numRef>
          </c:val>
          <c:smooth val="1"/>
          <c:extLst>
            <c:ext xmlns:c16="http://schemas.microsoft.com/office/drawing/2014/chart" uri="{C3380CC4-5D6E-409C-BE32-E72D297353CC}">
              <c16:uniqueId val="{00000001-E6AB-4AFC-8526-E4A7AB35E605}"/>
            </c:ext>
          </c:extLst>
        </c:ser>
        <c:ser>
          <c:idx val="2"/>
          <c:order val="2"/>
          <c:tx>
            <c:strRef>
              <c:f>'cogs forecast'!$D$1</c:f>
              <c:strCache>
                <c:ptCount val="1"/>
                <c:pt idx="0">
                  <c:v>Lower Confidence Bound(Себестоимость)</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9-E6AB-4AFC-8526-E4A7AB35E605}"/>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A-E6AB-4AFC-8526-E4A7AB35E605}"/>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6AB-4AFC-8526-E4A7AB35E605}"/>
                </c:ext>
              </c:extLst>
            </c:dLbl>
            <c:dLbl>
              <c:idx val="7"/>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6AB-4AFC-8526-E4A7AB35E605}"/>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6000"/>
                        </a:srgbClr>
                      </a:solidFill>
                    </a:ln>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'cogs forecast'!$A$2:$A$9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'cogs forecast'!$D$2:$D$9</c:f>
              <c:numCache>
                <c:formatCode>General</c:formatCode>
                <c:ptCount val="8"/>
                <c:pt idx="5" formatCode="#,##0.00\ &quot;₽&quot;">
                  <c:v>67894674.179999992</c:v>
                </c:pt>
                <c:pt idx="6" formatCode="#,##0.00\ &quot;₽&quot;">
                  <c:v>53474854.405093953</c:v>
                </c:pt>
                <c:pt idx="7" formatCode="#,##0.00\ &quot;₽&quot;">
                  <c:v>52857138.659408212</c:v>
                </c:pt>
              </c:numCache>
            </c:numRef>
          </c:val>
          <c:smooth val="1"/>
          <c:extLst>
            <c:ext xmlns:c16="http://schemas.microsoft.com/office/drawing/2014/chart" uri="{C3380CC4-5D6E-409C-BE32-E72D297353CC}">
              <c16:uniqueId val="{00000002-E6AB-4AFC-8526-E4A7AB35E605}"/>
            </c:ext>
          </c:extLst>
        </c:ser>
        <c:ser>
          <c:idx val="3"/>
          <c:order val="3"/>
          <c:tx>
            <c:strRef>
              <c:f>'cogs forecast'!$E$1</c:f>
              <c:strCache>
                <c:ptCount val="1"/>
                <c:pt idx="0">
                  <c:v>Upper Confidence Bound(Себестоимость)</c:v>
                </c:pt>
              </c:strCache>
            </c:strRef>
          </c:tx>
          <c:spPr>
            <a:ln w="12700" cap="rnd">
              <a:solidFill>
                <a:srgbClr val="CCFFFF"/>
              </a:solidFill>
              <a:prstDash val="sysDash"/>
              <a:round/>
            </a:ln>
            <a:effectLst/>
          </c:spPr>
          <c:marker>
            <c:symbol val="none"/>
          </c:marker>
          <c:dPt>
            <c:idx val="6"/>
            <c:marker>
              <c:symbol val="circle"/>
              <c:size val="5"/>
              <c:spPr>
                <a:solidFill>
                  <a:srgbClr val="00B050"/>
                </a:solidFill>
                <a:ln w="9525">
                  <a:noFill/>
                </a:ln>
                <a:effectLst/>
              </c:spPr>
            </c:marker>
            <c:bubble3D val="0"/>
            <c:extLst>
              <c:ext xmlns:c16="http://schemas.microsoft.com/office/drawing/2014/chart" uri="{C3380CC4-5D6E-409C-BE32-E72D297353CC}">
                <c16:uniqueId val="{00000007-E6AB-4AFC-8526-E4A7AB35E605}"/>
              </c:ext>
            </c:extLst>
          </c:dPt>
          <c:dPt>
            <c:idx val="7"/>
            <c:marker>
              <c:symbol val="circle"/>
              <c:size val="5"/>
              <c:spPr>
                <a:solidFill>
                  <a:srgbClr val="00B050"/>
                </a:solidFill>
                <a:ln w="9525">
                  <a:noFill/>
                </a:ln>
                <a:effectLst/>
              </c:spPr>
            </c:marker>
            <c:bubble3D val="0"/>
            <c:extLst>
              <c:ext xmlns:c16="http://schemas.microsoft.com/office/drawing/2014/chart" uri="{C3380CC4-5D6E-409C-BE32-E72D297353CC}">
                <c16:uniqueId val="{00000008-E6AB-4AFC-8526-E4A7AB35E605}"/>
              </c:ext>
            </c:extLst>
          </c:dPt>
          <c:dLbls>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6AB-4AFC-8526-E4A7AB35E605}"/>
                </c:ext>
              </c:extLst>
            </c:dLbl>
            <c:dLbl>
              <c:idx val="7"/>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6AB-4AFC-8526-E4A7AB35E605}"/>
                </c:ext>
              </c:extLst>
            </c:dLbl>
            <c:numFmt formatCode="#,###&quot;M&quot;\ [$₽-419]"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00B050">
                          <a:alpha val="56000"/>
                        </a:srgbClr>
                      </a:solidFill>
                    </a:ln>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'cogs forecast'!$A$2:$A$9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'cogs forecast'!$E$2:$E$9</c:f>
              <c:numCache>
                <c:formatCode>General</c:formatCode>
                <c:ptCount val="8"/>
                <c:pt idx="5" formatCode="#,##0.00\ &quot;₽&quot;">
                  <c:v>67894674.179999992</c:v>
                </c:pt>
                <c:pt idx="6" formatCode="#,##0.00\ &quot;₽&quot;">
                  <c:v>77493703.028742895</c:v>
                </c:pt>
                <c:pt idx="7" formatCode="#,##0.00\ &quot;₽&quot;">
                  <c:v>85187267.293982029</c:v>
                </c:pt>
              </c:numCache>
            </c:numRef>
          </c:val>
          <c:smooth val="1"/>
          <c:extLst>
            <c:ext xmlns:c16="http://schemas.microsoft.com/office/drawing/2014/chart" uri="{C3380CC4-5D6E-409C-BE32-E72D297353CC}">
              <c16:uniqueId val="{00000003-E6AB-4AFC-8526-E4A7AB35E605}"/>
            </c:ext>
          </c:extLst>
        </c:ser>
        <c:dLbls>
          <c:showLegendKey val="0"/>
          <c:showVal val="0"/>
          <c:showCatName val="0"/>
          <c:showSerName val="0"/>
          <c:showPercent val="0"/>
          <c:showBubbleSize val="0"/>
        </c:dLbls>
        <c:marker val="1"/>
        <c:smooth val="0"/>
        <c:axId val="1780874736"/>
        <c:axId val="1780872656"/>
      </c:lineChart>
      <c:catAx>
        <c:axId val="178087473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780872656"/>
        <c:crosses val="autoZero"/>
        <c:auto val="1"/>
        <c:lblAlgn val="ctr"/>
        <c:lblOffset val="100"/>
        <c:noMultiLvlLbl val="0"/>
      </c:catAx>
      <c:valAx>
        <c:axId val="1780872656"/>
        <c:scaling>
          <c:orientation val="minMax"/>
          <c:min val="50000000"/>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CCFFFF"/>
                </a:solidFill>
                <a:latin typeface="+mn-lt"/>
                <a:ea typeface="+mn-ea"/>
                <a:cs typeface="+mn-cs"/>
              </a:defRPr>
            </a:pPr>
            <a:endParaRPr lang="en-US"/>
          </a:p>
        </c:txPr>
        <c:crossAx val="1780874736"/>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Forecasts!$A$2:$A$73</c:f>
              <c:numCache>
                <c:formatCode>[$-419]mmm\ yyyy;@</c:formatCode>
                <c:ptCount val="72"/>
                <c:pt idx="0">
                  <c:v>42736</c:v>
                </c:pt>
                <c:pt idx="1">
                  <c:v>42767</c:v>
                </c:pt>
                <c:pt idx="2">
                  <c:v>42795</c:v>
                </c:pt>
                <c:pt idx="3">
                  <c:v>42826</c:v>
                </c:pt>
                <c:pt idx="4">
                  <c:v>42856</c:v>
                </c:pt>
                <c:pt idx="5">
                  <c:v>42887</c:v>
                </c:pt>
                <c:pt idx="6">
                  <c:v>42917</c:v>
                </c:pt>
                <c:pt idx="7">
                  <c:v>42948</c:v>
                </c:pt>
                <c:pt idx="8">
                  <c:v>42979</c:v>
                </c:pt>
                <c:pt idx="9">
                  <c:v>43009</c:v>
                </c:pt>
                <c:pt idx="10">
                  <c:v>43040</c:v>
                </c:pt>
                <c:pt idx="11">
                  <c:v>43070</c:v>
                </c:pt>
                <c:pt idx="12">
                  <c:v>43101</c:v>
                </c:pt>
                <c:pt idx="13">
                  <c:v>43132</c:v>
                </c:pt>
                <c:pt idx="14">
                  <c:v>43160</c:v>
                </c:pt>
                <c:pt idx="15">
                  <c:v>43191</c:v>
                </c:pt>
                <c:pt idx="16">
                  <c:v>43221</c:v>
                </c:pt>
                <c:pt idx="17">
                  <c:v>43252</c:v>
                </c:pt>
                <c:pt idx="18">
                  <c:v>43282</c:v>
                </c:pt>
                <c:pt idx="19">
                  <c:v>43313</c:v>
                </c:pt>
                <c:pt idx="20">
                  <c:v>43344</c:v>
                </c:pt>
                <c:pt idx="21">
                  <c:v>43374</c:v>
                </c:pt>
                <c:pt idx="22">
                  <c:v>43405</c:v>
                </c:pt>
                <c:pt idx="23">
                  <c:v>43435</c:v>
                </c:pt>
                <c:pt idx="24">
                  <c:v>43466</c:v>
                </c:pt>
                <c:pt idx="25">
                  <c:v>43497</c:v>
                </c:pt>
                <c:pt idx="26">
                  <c:v>43525</c:v>
                </c:pt>
                <c:pt idx="27">
                  <c:v>43556</c:v>
                </c:pt>
                <c:pt idx="28">
                  <c:v>43586</c:v>
                </c:pt>
                <c:pt idx="29">
                  <c:v>43617</c:v>
                </c:pt>
                <c:pt idx="30">
                  <c:v>43647</c:v>
                </c:pt>
                <c:pt idx="31">
                  <c:v>43678</c:v>
                </c:pt>
                <c:pt idx="32">
                  <c:v>43709</c:v>
                </c:pt>
                <c:pt idx="33">
                  <c:v>43739</c:v>
                </c:pt>
                <c:pt idx="34">
                  <c:v>43770</c:v>
                </c:pt>
                <c:pt idx="35">
                  <c:v>43800</c:v>
                </c:pt>
                <c:pt idx="36">
                  <c:v>43831</c:v>
                </c:pt>
                <c:pt idx="37">
                  <c:v>43862</c:v>
                </c:pt>
                <c:pt idx="38">
                  <c:v>43891</c:v>
                </c:pt>
                <c:pt idx="39">
                  <c:v>43922</c:v>
                </c:pt>
                <c:pt idx="40">
                  <c:v>43952</c:v>
                </c:pt>
                <c:pt idx="41">
                  <c:v>43983</c:v>
                </c:pt>
                <c:pt idx="42">
                  <c:v>44013</c:v>
                </c:pt>
                <c:pt idx="43">
                  <c:v>44044</c:v>
                </c:pt>
                <c:pt idx="44">
                  <c:v>44075</c:v>
                </c:pt>
                <c:pt idx="45">
                  <c:v>44105</c:v>
                </c:pt>
                <c:pt idx="46">
                  <c:v>44136</c:v>
                </c:pt>
                <c:pt idx="47">
                  <c:v>44166</c:v>
                </c:pt>
                <c:pt idx="48">
                  <c:v>44197</c:v>
                </c:pt>
                <c:pt idx="49">
                  <c:v>44228</c:v>
                </c:pt>
                <c:pt idx="50">
                  <c:v>44256</c:v>
                </c:pt>
                <c:pt idx="51">
                  <c:v>44287</c:v>
                </c:pt>
                <c:pt idx="52">
                  <c:v>44317</c:v>
                </c:pt>
                <c:pt idx="53">
                  <c:v>44348</c:v>
                </c:pt>
                <c:pt idx="54">
                  <c:v>44378</c:v>
                </c:pt>
                <c:pt idx="55">
                  <c:v>44409</c:v>
                </c:pt>
                <c:pt idx="56">
                  <c:v>44440</c:v>
                </c:pt>
                <c:pt idx="57">
                  <c:v>44470</c:v>
                </c:pt>
                <c:pt idx="58">
                  <c:v>44501</c:v>
                </c:pt>
                <c:pt idx="59">
                  <c:v>44531</c:v>
                </c:pt>
                <c:pt idx="60">
                  <c:v>44562</c:v>
                </c:pt>
                <c:pt idx="61">
                  <c:v>44593</c:v>
                </c:pt>
                <c:pt idx="62">
                  <c:v>44621</c:v>
                </c:pt>
                <c:pt idx="63">
                  <c:v>44652</c:v>
                </c:pt>
                <c:pt idx="64">
                  <c:v>44682</c:v>
                </c:pt>
                <c:pt idx="65">
                  <c:v>44713</c:v>
                </c:pt>
                <c:pt idx="66">
                  <c:v>44743</c:v>
                </c:pt>
                <c:pt idx="67">
                  <c:v>44774</c:v>
                </c:pt>
                <c:pt idx="68">
                  <c:v>44805</c:v>
                </c:pt>
                <c:pt idx="69">
                  <c:v>44835</c:v>
                </c:pt>
                <c:pt idx="70">
                  <c:v>44866</c:v>
                </c:pt>
                <c:pt idx="71">
                  <c:v>44896</c:v>
                </c:pt>
              </c:numCache>
            </c:numRef>
          </c:cat>
          <c:val>
            <c:numRef>
              <c:f>Forecasts!$B$2:$B$73</c:f>
              <c:numCache>
                <c:formatCode>#,##0.00\ "₽"</c:formatCode>
                <c:ptCount val="72"/>
                <c:pt idx="0">
                  <c:v>8410477</c:v>
                </c:pt>
                <c:pt idx="1">
                  <c:v>8781008</c:v>
                </c:pt>
                <c:pt idx="2">
                  <c:v>9994730</c:v>
                </c:pt>
                <c:pt idx="3">
                  <c:v>10482743</c:v>
                </c:pt>
                <c:pt idx="4">
                  <c:v>13324007</c:v>
                </c:pt>
                <c:pt idx="5">
                  <c:v>12665976</c:v>
                </c:pt>
                <c:pt idx="6">
                  <c:v>13362147</c:v>
                </c:pt>
                <c:pt idx="7">
                  <c:v>12258656</c:v>
                </c:pt>
                <c:pt idx="8">
                  <c:v>13790745</c:v>
                </c:pt>
                <c:pt idx="9">
                  <c:v>13104174</c:v>
                </c:pt>
                <c:pt idx="10">
                  <c:v>10410288</c:v>
                </c:pt>
                <c:pt idx="11">
                  <c:v>14161423</c:v>
                </c:pt>
                <c:pt idx="12">
                  <c:v>8666531</c:v>
                </c:pt>
                <c:pt idx="13">
                  <c:v>9471679</c:v>
                </c:pt>
                <c:pt idx="14">
                  <c:v>11074954</c:v>
                </c:pt>
                <c:pt idx="15">
                  <c:v>13081063</c:v>
                </c:pt>
                <c:pt idx="16">
                  <c:v>13754112</c:v>
                </c:pt>
                <c:pt idx="17">
                  <c:v>12515143</c:v>
                </c:pt>
                <c:pt idx="18">
                  <c:v>13934231</c:v>
                </c:pt>
                <c:pt idx="19">
                  <c:v>12916943</c:v>
                </c:pt>
                <c:pt idx="20">
                  <c:v>15072902</c:v>
                </c:pt>
                <c:pt idx="21">
                  <c:v>14590559</c:v>
                </c:pt>
                <c:pt idx="22">
                  <c:v>12189742</c:v>
                </c:pt>
                <c:pt idx="23">
                  <c:v>12901234</c:v>
                </c:pt>
                <c:pt idx="24">
                  <c:v>6550883</c:v>
                </c:pt>
                <c:pt idx="25">
                  <c:v>8363283</c:v>
                </c:pt>
                <c:pt idx="26">
                  <c:v>7935684</c:v>
                </c:pt>
                <c:pt idx="27">
                  <c:v>11031285</c:v>
                </c:pt>
                <c:pt idx="28">
                  <c:v>12192533</c:v>
                </c:pt>
                <c:pt idx="29">
                  <c:v>10036330</c:v>
                </c:pt>
                <c:pt idx="30">
                  <c:v>13989437</c:v>
                </c:pt>
                <c:pt idx="31">
                  <c:v>11808377</c:v>
                </c:pt>
                <c:pt idx="32">
                  <c:v>13561815</c:v>
                </c:pt>
                <c:pt idx="33">
                  <c:v>9864028</c:v>
                </c:pt>
                <c:pt idx="34">
                  <c:v>10806325</c:v>
                </c:pt>
                <c:pt idx="35">
                  <c:v>11999947</c:v>
                </c:pt>
                <c:pt idx="36">
                  <c:v>5978967</c:v>
                </c:pt>
                <c:pt idx="37">
                  <c:v>7583876</c:v>
                </c:pt>
                <c:pt idx="38">
                  <c:v>12524631</c:v>
                </c:pt>
                <c:pt idx="39">
                  <c:v>11577352.359999999</c:v>
                </c:pt>
                <c:pt idx="40">
                  <c:v>12947927.33</c:v>
                </c:pt>
                <c:pt idx="41">
                  <c:v>11902556</c:v>
                </c:pt>
                <c:pt idx="42">
                  <c:v>11413037</c:v>
                </c:pt>
                <c:pt idx="43">
                  <c:v>11491012</c:v>
                </c:pt>
                <c:pt idx="44">
                  <c:v>10323500</c:v>
                </c:pt>
                <c:pt idx="45">
                  <c:v>12795408</c:v>
                </c:pt>
                <c:pt idx="46">
                  <c:v>12202888</c:v>
                </c:pt>
                <c:pt idx="47">
                  <c:v>12398731</c:v>
                </c:pt>
                <c:pt idx="48">
                  <c:v>6667726</c:v>
                </c:pt>
                <c:pt idx="49">
                  <c:v>7611996</c:v>
                </c:pt>
                <c:pt idx="50">
                  <c:v>12074039</c:v>
                </c:pt>
                <c:pt idx="51">
                  <c:v>13512832</c:v>
                </c:pt>
                <c:pt idx="52">
                  <c:v>11412354.42</c:v>
                </c:pt>
                <c:pt idx="53">
                  <c:v>11694165</c:v>
                </c:pt>
                <c:pt idx="54">
                  <c:v>10900540</c:v>
                </c:pt>
                <c:pt idx="55">
                  <c:v>11301926</c:v>
                </c:pt>
                <c:pt idx="56">
                  <c:v>12700295</c:v>
                </c:pt>
                <c:pt idx="57">
                  <c:v>11905965</c:v>
                </c:pt>
                <c:pt idx="58">
                  <c:v>9747352</c:v>
                </c:pt>
                <c:pt idx="59">
                  <c:v>22718925</c:v>
                </c:pt>
                <c:pt idx="60">
                  <c:v>6179301.2800000003</c:v>
                </c:pt>
                <c:pt idx="61">
                  <c:v>8244750.7699999996</c:v>
                </c:pt>
                <c:pt idx="62">
                  <c:v>17640985.559999999</c:v>
                </c:pt>
                <c:pt idx="63">
                  <c:v>16545016.859999999</c:v>
                </c:pt>
                <c:pt idx="64">
                  <c:v>14569736.24</c:v>
                </c:pt>
                <c:pt idx="65">
                  <c:v>14177801.85</c:v>
                </c:pt>
                <c:pt idx="66">
                  <c:v>12722329.810000001</c:v>
                </c:pt>
                <c:pt idx="67">
                  <c:v>14065414.59</c:v>
                </c:pt>
                <c:pt idx="68">
                  <c:v>13465585.890000001</c:v>
                </c:pt>
                <c:pt idx="69">
                  <c:v>16183936.4</c:v>
                </c:pt>
                <c:pt idx="70">
                  <c:v>10971669.289999999</c:v>
                </c:pt>
                <c:pt idx="71">
                  <c:v>14337958.02</c:v>
                </c:pt>
              </c:numCache>
            </c:numRef>
          </c:val>
          <c:smooth val="0"/>
          <c:extLst>
            <c:ext xmlns:c16="http://schemas.microsoft.com/office/drawing/2014/chart" uri="{C3380CC4-5D6E-409C-BE32-E72D297353CC}">
              <c16:uniqueId val="{00000000-A4B5-41DB-8932-1E5A93E73DD0}"/>
            </c:ext>
          </c:extLst>
        </c:ser>
        <c:dLbls>
          <c:showLegendKey val="0"/>
          <c:showVal val="0"/>
          <c:showCatName val="0"/>
          <c:showSerName val="0"/>
          <c:showPercent val="0"/>
          <c:showBubbleSize val="0"/>
        </c:dLbls>
        <c:smooth val="0"/>
        <c:axId val="1338329152"/>
        <c:axId val="1338320832"/>
      </c:lineChart>
      <c:dateAx>
        <c:axId val="1338329152"/>
        <c:scaling>
          <c:orientation val="minMax"/>
        </c:scaling>
        <c:delete val="0"/>
        <c:axPos val="b"/>
        <c:numFmt formatCode="[$-419]mmm\ yy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320832"/>
        <c:crosses val="autoZero"/>
        <c:auto val="1"/>
        <c:lblOffset val="100"/>
        <c:baseTimeUnit val="months"/>
      </c:dateAx>
      <c:valAx>
        <c:axId val="133832083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329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'Forecasts 2'!$B$1</c:f>
              <c:strCache>
                <c:ptCount val="1"/>
                <c:pt idx="0">
                  <c:v>Чистая прибыль</c:v>
                </c:pt>
              </c:strCache>
            </c:strRef>
          </c:tx>
          <c:spPr>
            <a:solidFill>
              <a:schemeClr val="accent1"/>
            </a:solidFill>
            <a:ln>
              <a:noFill/>
            </a:ln>
            <a:effectLst/>
          </c:spPr>
          <c:val>
            <c:numRef>
              <c:f>'Forecasts 2'!$B$2:$B$97</c:f>
              <c:numCache>
                <c:formatCode>#,##0.00\ "₽"</c:formatCode>
                <c:ptCount val="96"/>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pt idx="12">
                  <c:v>-281804</c:v>
                </c:pt>
                <c:pt idx="13">
                  <c:v>-434662</c:v>
                </c:pt>
                <c:pt idx="14">
                  <c:v>1499031</c:v>
                </c:pt>
                <c:pt idx="15">
                  <c:v>1859716</c:v>
                </c:pt>
                <c:pt idx="16">
                  <c:v>1253751</c:v>
                </c:pt>
                <c:pt idx="17">
                  <c:v>1337050</c:v>
                </c:pt>
                <c:pt idx="18">
                  <c:v>1975874</c:v>
                </c:pt>
                <c:pt idx="19">
                  <c:v>390946</c:v>
                </c:pt>
                <c:pt idx="20">
                  <c:v>1726764</c:v>
                </c:pt>
                <c:pt idx="21">
                  <c:v>2259440</c:v>
                </c:pt>
                <c:pt idx="22">
                  <c:v>637235</c:v>
                </c:pt>
                <c:pt idx="23">
                  <c:v>1199087</c:v>
                </c:pt>
                <c:pt idx="24">
                  <c:v>-1218320</c:v>
                </c:pt>
                <c:pt idx="25">
                  <c:v>-128852</c:v>
                </c:pt>
                <c:pt idx="26">
                  <c:v>-347373.65000000037</c:v>
                </c:pt>
                <c:pt idx="27">
                  <c:v>3126704.58</c:v>
                </c:pt>
                <c:pt idx="28">
                  <c:v>1922942.7999999998</c:v>
                </c:pt>
                <c:pt idx="29">
                  <c:v>245926.33000000007</c:v>
                </c:pt>
                <c:pt idx="30">
                  <c:v>2146786.3200000003</c:v>
                </c:pt>
                <c:pt idx="31">
                  <c:v>738264.96999999974</c:v>
                </c:pt>
                <c:pt idx="32">
                  <c:v>911457</c:v>
                </c:pt>
                <c:pt idx="33">
                  <c:v>-736886.75</c:v>
                </c:pt>
                <c:pt idx="34">
                  <c:v>99089.730000000447</c:v>
                </c:pt>
                <c:pt idx="35">
                  <c:v>-701431</c:v>
                </c:pt>
                <c:pt idx="36">
                  <c:v>-1650328.1099999999</c:v>
                </c:pt>
                <c:pt idx="37">
                  <c:v>-822213.9299999997</c:v>
                </c:pt>
                <c:pt idx="38">
                  <c:v>1719340.04</c:v>
                </c:pt>
                <c:pt idx="39">
                  <c:v>2234452.66</c:v>
                </c:pt>
                <c:pt idx="40">
                  <c:v>2797861.6900000004</c:v>
                </c:pt>
                <c:pt idx="41">
                  <c:v>2186096.6099999994</c:v>
                </c:pt>
                <c:pt idx="42">
                  <c:v>1906860.4000000004</c:v>
                </c:pt>
                <c:pt idx="43">
                  <c:v>1811411.79</c:v>
                </c:pt>
                <c:pt idx="44">
                  <c:v>1425791.6600000001</c:v>
                </c:pt>
                <c:pt idx="45">
                  <c:v>2442178.41</c:v>
                </c:pt>
                <c:pt idx="46">
                  <c:v>2343681.5999999996</c:v>
                </c:pt>
                <c:pt idx="47">
                  <c:v>2210709.8099999996</c:v>
                </c:pt>
                <c:pt idx="48">
                  <c:v>-576984.60999999987</c:v>
                </c:pt>
                <c:pt idx="49">
                  <c:v>337840.21999999974</c:v>
                </c:pt>
                <c:pt idx="50">
                  <c:v>1461862.13</c:v>
                </c:pt>
                <c:pt idx="51">
                  <c:v>2161583.7400000002</c:v>
                </c:pt>
                <c:pt idx="52">
                  <c:v>980925.99000000022</c:v>
                </c:pt>
                <c:pt idx="53">
                  <c:v>460364.19000000041</c:v>
                </c:pt>
                <c:pt idx="54">
                  <c:v>350152.37000000011</c:v>
                </c:pt>
                <c:pt idx="55">
                  <c:v>857090.05999999959</c:v>
                </c:pt>
                <c:pt idx="56">
                  <c:v>884190.21999999974</c:v>
                </c:pt>
                <c:pt idx="57">
                  <c:v>556173.29</c:v>
                </c:pt>
                <c:pt idx="58">
                  <c:v>-472362.55999999959</c:v>
                </c:pt>
                <c:pt idx="59">
                  <c:v>6085063.0899999999</c:v>
                </c:pt>
                <c:pt idx="60">
                  <c:v>-1095686.21</c:v>
                </c:pt>
                <c:pt idx="61">
                  <c:v>390140.31</c:v>
                </c:pt>
                <c:pt idx="62">
                  <c:v>4171072.7099999995</c:v>
                </c:pt>
                <c:pt idx="63">
                  <c:v>3143212.4800000004</c:v>
                </c:pt>
                <c:pt idx="64">
                  <c:v>2311797.1100000003</c:v>
                </c:pt>
                <c:pt idx="65">
                  <c:v>2201789.79</c:v>
                </c:pt>
                <c:pt idx="66">
                  <c:v>1217007.9999999998</c:v>
                </c:pt>
                <c:pt idx="67">
                  <c:v>1579434.5400000003</c:v>
                </c:pt>
                <c:pt idx="68">
                  <c:v>1165574.2599999998</c:v>
                </c:pt>
                <c:pt idx="69">
                  <c:v>3408355.5100000007</c:v>
                </c:pt>
                <c:pt idx="70">
                  <c:v>463572.81000000017</c:v>
                </c:pt>
                <c:pt idx="71">
                  <c:v>2236010.2799999998</c:v>
                </c:pt>
              </c:numCache>
            </c:numRef>
          </c:val>
          <c:extLst>
            <c:ext xmlns:c16="http://schemas.microsoft.com/office/drawing/2014/chart" uri="{C3380CC4-5D6E-409C-BE32-E72D297353CC}">
              <c16:uniqueId val="{00000000-4A2A-43AA-9473-56D1B3D9B9E6}"/>
            </c:ext>
          </c:extLst>
        </c:ser>
        <c:ser>
          <c:idx val="1"/>
          <c:order val="1"/>
          <c:tx>
            <c:strRef>
              <c:f>'Forecasts 2'!$C$1</c:f>
              <c:strCache>
                <c:ptCount val="1"/>
                <c:pt idx="0">
                  <c:v>Forecast(Чистая прибыль)</c:v>
                </c:pt>
              </c:strCache>
            </c:strRef>
          </c:tx>
          <c:spPr>
            <a:noFill/>
            <a:ln w="25400" cmpd="sng">
              <a:solidFill>
                <a:srgbClr val="CCFFFF"/>
              </a:solidFill>
            </a:ln>
            <a:effectLst/>
          </c:spPr>
          <c:cat>
            <c:numRef>
              <c:f>'Forecasts 2'!$A$2:$A$97</c:f>
              <c:numCache>
                <c:formatCode>[$-419]mmm\ yyyy;@</c:formatCode>
                <c:ptCount val="96"/>
                <c:pt idx="0">
                  <c:v>42736</c:v>
                </c:pt>
                <c:pt idx="1">
                  <c:v>42767</c:v>
                </c:pt>
                <c:pt idx="2">
                  <c:v>42795</c:v>
                </c:pt>
                <c:pt idx="3">
                  <c:v>42826</c:v>
                </c:pt>
                <c:pt idx="4">
                  <c:v>42856</c:v>
                </c:pt>
                <c:pt idx="5">
                  <c:v>42887</c:v>
                </c:pt>
                <c:pt idx="6">
                  <c:v>42917</c:v>
                </c:pt>
                <c:pt idx="7">
                  <c:v>42948</c:v>
                </c:pt>
                <c:pt idx="8">
                  <c:v>42979</c:v>
                </c:pt>
                <c:pt idx="9">
                  <c:v>43009</c:v>
                </c:pt>
                <c:pt idx="10">
                  <c:v>43040</c:v>
                </c:pt>
                <c:pt idx="11">
                  <c:v>43070</c:v>
                </c:pt>
                <c:pt idx="12">
                  <c:v>43101</c:v>
                </c:pt>
                <c:pt idx="13">
                  <c:v>43132</c:v>
                </c:pt>
                <c:pt idx="14">
                  <c:v>43160</c:v>
                </c:pt>
                <c:pt idx="15">
                  <c:v>43191</c:v>
                </c:pt>
                <c:pt idx="16">
                  <c:v>43221</c:v>
                </c:pt>
                <c:pt idx="17">
                  <c:v>43252</c:v>
                </c:pt>
                <c:pt idx="18">
                  <c:v>43282</c:v>
                </c:pt>
                <c:pt idx="19">
                  <c:v>43313</c:v>
                </c:pt>
                <c:pt idx="20">
                  <c:v>43344</c:v>
                </c:pt>
                <c:pt idx="21">
                  <c:v>43374</c:v>
                </c:pt>
                <c:pt idx="22">
                  <c:v>43405</c:v>
                </c:pt>
                <c:pt idx="23">
                  <c:v>43435</c:v>
                </c:pt>
                <c:pt idx="24">
                  <c:v>43466</c:v>
                </c:pt>
                <c:pt idx="25">
                  <c:v>43497</c:v>
                </c:pt>
                <c:pt idx="26">
                  <c:v>43525</c:v>
                </c:pt>
                <c:pt idx="27">
                  <c:v>43556</c:v>
                </c:pt>
                <c:pt idx="28">
                  <c:v>43586</c:v>
                </c:pt>
                <c:pt idx="29">
                  <c:v>43617</c:v>
                </c:pt>
                <c:pt idx="30">
                  <c:v>43647</c:v>
                </c:pt>
                <c:pt idx="31">
                  <c:v>43678</c:v>
                </c:pt>
                <c:pt idx="32">
                  <c:v>43709</c:v>
                </c:pt>
                <c:pt idx="33">
                  <c:v>43739</c:v>
                </c:pt>
                <c:pt idx="34">
                  <c:v>43770</c:v>
                </c:pt>
                <c:pt idx="35">
                  <c:v>43800</c:v>
                </c:pt>
                <c:pt idx="36">
                  <c:v>43831</c:v>
                </c:pt>
                <c:pt idx="37">
                  <c:v>43862</c:v>
                </c:pt>
                <c:pt idx="38">
                  <c:v>43891</c:v>
                </c:pt>
                <c:pt idx="39">
                  <c:v>43922</c:v>
                </c:pt>
                <c:pt idx="40">
                  <c:v>43952</c:v>
                </c:pt>
                <c:pt idx="41">
                  <c:v>43983</c:v>
                </c:pt>
                <c:pt idx="42">
                  <c:v>44013</c:v>
                </c:pt>
                <c:pt idx="43">
                  <c:v>44044</c:v>
                </c:pt>
                <c:pt idx="44">
                  <c:v>44075</c:v>
                </c:pt>
                <c:pt idx="45">
                  <c:v>44105</c:v>
                </c:pt>
                <c:pt idx="46">
                  <c:v>44136</c:v>
                </c:pt>
                <c:pt idx="47">
                  <c:v>44166</c:v>
                </c:pt>
                <c:pt idx="48">
                  <c:v>44197</c:v>
                </c:pt>
                <c:pt idx="49">
                  <c:v>44228</c:v>
                </c:pt>
                <c:pt idx="50">
                  <c:v>44256</c:v>
                </c:pt>
                <c:pt idx="51">
                  <c:v>44287</c:v>
                </c:pt>
                <c:pt idx="52">
                  <c:v>44317</c:v>
                </c:pt>
                <c:pt idx="53">
                  <c:v>44348</c:v>
                </c:pt>
                <c:pt idx="54">
                  <c:v>44378</c:v>
                </c:pt>
                <c:pt idx="55">
                  <c:v>44409</c:v>
                </c:pt>
                <c:pt idx="56">
                  <c:v>44440</c:v>
                </c:pt>
                <c:pt idx="57">
                  <c:v>44470</c:v>
                </c:pt>
                <c:pt idx="58">
                  <c:v>44501</c:v>
                </c:pt>
                <c:pt idx="59">
                  <c:v>44531</c:v>
                </c:pt>
                <c:pt idx="60">
                  <c:v>44562</c:v>
                </c:pt>
                <c:pt idx="61">
                  <c:v>44593</c:v>
                </c:pt>
                <c:pt idx="62">
                  <c:v>44621</c:v>
                </c:pt>
                <c:pt idx="63">
                  <c:v>44652</c:v>
                </c:pt>
                <c:pt idx="64">
                  <c:v>44682</c:v>
                </c:pt>
                <c:pt idx="65">
                  <c:v>44713</c:v>
                </c:pt>
                <c:pt idx="66">
                  <c:v>44743</c:v>
                </c:pt>
                <c:pt idx="67">
                  <c:v>44774</c:v>
                </c:pt>
                <c:pt idx="68">
                  <c:v>44805</c:v>
                </c:pt>
                <c:pt idx="69">
                  <c:v>44835</c:v>
                </c:pt>
                <c:pt idx="70">
                  <c:v>44866</c:v>
                </c:pt>
                <c:pt idx="71">
                  <c:v>44896</c:v>
                </c:pt>
                <c:pt idx="72" formatCode="[$-409]mmm\-yy;@">
                  <c:v>44927</c:v>
                </c:pt>
                <c:pt idx="73" formatCode="[$-409]mmm\-yy;@">
                  <c:v>44958</c:v>
                </c:pt>
                <c:pt idx="74" formatCode="[$-409]mmm\-yy;@">
                  <c:v>44986</c:v>
                </c:pt>
                <c:pt idx="75" formatCode="[$-409]mmm\-yy;@">
                  <c:v>45017</c:v>
                </c:pt>
                <c:pt idx="76" formatCode="[$-409]mmm\-yy;@">
                  <c:v>45047</c:v>
                </c:pt>
                <c:pt idx="77" formatCode="[$-409]mmm\-yy;@">
                  <c:v>45078</c:v>
                </c:pt>
                <c:pt idx="78" formatCode="[$-409]mmm\-yy;@">
                  <c:v>45108</c:v>
                </c:pt>
                <c:pt idx="79" formatCode="[$-409]mmm\-yy;@">
                  <c:v>45139</c:v>
                </c:pt>
                <c:pt idx="80" formatCode="[$-409]mmm\-yy;@">
                  <c:v>45170</c:v>
                </c:pt>
                <c:pt idx="81" formatCode="[$-409]mmm\-yy;@">
                  <c:v>45200</c:v>
                </c:pt>
                <c:pt idx="82" formatCode="[$-409]mmm\-yy;@">
                  <c:v>45231</c:v>
                </c:pt>
                <c:pt idx="83" formatCode="[$-409]mmm\-yy;@">
                  <c:v>45261</c:v>
                </c:pt>
                <c:pt idx="84" formatCode="[$-409]mmm\-yy;@">
                  <c:v>45292</c:v>
                </c:pt>
                <c:pt idx="85" formatCode="[$-409]mmm\-yy;@">
                  <c:v>45323</c:v>
                </c:pt>
                <c:pt idx="86" formatCode="[$-409]mmm\-yy;@">
                  <c:v>45352</c:v>
                </c:pt>
                <c:pt idx="87" formatCode="[$-409]mmm\-yy;@">
                  <c:v>45383</c:v>
                </c:pt>
                <c:pt idx="88" formatCode="[$-409]mmm\-yy;@">
                  <c:v>45413</c:v>
                </c:pt>
                <c:pt idx="89" formatCode="[$-409]mmm\-yy;@">
                  <c:v>45444</c:v>
                </c:pt>
                <c:pt idx="90" formatCode="[$-409]mmm\-yy;@">
                  <c:v>45474</c:v>
                </c:pt>
                <c:pt idx="91" formatCode="[$-409]mmm\-yy;@">
                  <c:v>45505</c:v>
                </c:pt>
                <c:pt idx="92" formatCode="[$-409]mmm\-yy;@">
                  <c:v>45536</c:v>
                </c:pt>
                <c:pt idx="93" formatCode="[$-409]mmm\-yy;@">
                  <c:v>45566</c:v>
                </c:pt>
                <c:pt idx="94" formatCode="[$-409]mmm\-yy;@">
                  <c:v>45597</c:v>
                </c:pt>
                <c:pt idx="95" formatCode="[$-409]mmm\-yy;@">
                  <c:v>45627</c:v>
                </c:pt>
              </c:numCache>
            </c:numRef>
          </c:cat>
          <c:val>
            <c:numRef>
              <c:f>'Forecasts 2'!$C$2:$C$97</c:f>
              <c:numCache>
                <c:formatCode>General</c:formatCode>
                <c:ptCount val="96"/>
                <c:pt idx="71" formatCode="#,##0.00\ &quot;₽&quot;">
                  <c:v>2236010.2799999998</c:v>
                </c:pt>
                <c:pt idx="72" formatCode="#,##0.00\ &quot;₽&quot;">
                  <c:v>-123348.48666308704</c:v>
                </c:pt>
                <c:pt idx="73" formatCode="#,##0.00\ &quot;₽&quot;">
                  <c:v>457245.57019459247</c:v>
                </c:pt>
                <c:pt idx="74" formatCode="#,##0.00\ &quot;₽&quot;">
                  <c:v>1898996.4168897625</c:v>
                </c:pt>
                <c:pt idx="75" formatCode="#,##0.00\ &quot;₽&quot;">
                  <c:v>3337193.0487736585</c:v>
                </c:pt>
                <c:pt idx="76" formatCode="#,##0.00\ &quot;₽&quot;">
                  <c:v>2912711.6537098708</c:v>
                </c:pt>
                <c:pt idx="77" formatCode="#,##0.00\ &quot;₽&quot;">
                  <c:v>2025482.9833998182</c:v>
                </c:pt>
                <c:pt idx="78" formatCode="#,##0.00\ &quot;₽&quot;">
                  <c:v>3068883.0029215058</c:v>
                </c:pt>
                <c:pt idx="79" formatCode="#,##0.00\ &quot;₽&quot;">
                  <c:v>1788589.6596818001</c:v>
                </c:pt>
                <c:pt idx="80" formatCode="#,##0.00\ &quot;₽&quot;">
                  <c:v>2433636.7652090495</c:v>
                </c:pt>
                <c:pt idx="81" formatCode="#,##0.00\ &quot;₽&quot;">
                  <c:v>1426329.2886875414</c:v>
                </c:pt>
                <c:pt idx="82" formatCode="#,##0.00\ &quot;₽&quot;">
                  <c:v>1186835.4854968491</c:v>
                </c:pt>
                <c:pt idx="83" formatCode="#,##0.00\ &quot;₽&quot;">
                  <c:v>1517587.1133435969</c:v>
                </c:pt>
                <c:pt idx="84" formatCode="#,##0.00\ &quot;₽&quot;">
                  <c:v>-42700.067341896472</c:v>
                </c:pt>
                <c:pt idx="85" formatCode="#,##0.00\ &quot;₽&quot;">
                  <c:v>537893.98951578327</c:v>
                </c:pt>
                <c:pt idx="86" formatCode="#,##0.00\ &quot;₽&quot;">
                  <c:v>1979644.8362109531</c:v>
                </c:pt>
                <c:pt idx="87" formatCode="#,##0.00\ &quot;₽&quot;">
                  <c:v>3417841.468094849</c:v>
                </c:pt>
                <c:pt idx="88" formatCode="#,##0.00\ &quot;₽&quot;">
                  <c:v>2993360.0730310613</c:v>
                </c:pt>
                <c:pt idx="89" formatCode="#,##0.00\ &quot;₽&quot;">
                  <c:v>2106131.4027210088</c:v>
                </c:pt>
                <c:pt idx="90" formatCode="#,##0.00\ &quot;₽&quot;">
                  <c:v>3149531.4222426964</c:v>
                </c:pt>
                <c:pt idx="91" formatCode="#,##0.00\ &quot;₽&quot;">
                  <c:v>1869238.0790029906</c:v>
                </c:pt>
                <c:pt idx="92" formatCode="#,##0.00\ &quot;₽&quot;">
                  <c:v>2514285.1845302405</c:v>
                </c:pt>
                <c:pt idx="93" formatCode="#,##0.00\ &quot;₽&quot;">
                  <c:v>1506977.7080087319</c:v>
                </c:pt>
                <c:pt idx="94" formatCode="#,##0.00\ &quot;₽&quot;">
                  <c:v>1267483.9048180396</c:v>
                </c:pt>
                <c:pt idx="95" formatCode="#,##0.00\ &quot;₽&quot;">
                  <c:v>1598235.5326647877</c:v>
                </c:pt>
              </c:numCache>
            </c:numRef>
          </c:val>
          <c:extLst>
            <c:ext xmlns:c16="http://schemas.microsoft.com/office/drawing/2014/chart" uri="{C3380CC4-5D6E-409C-BE32-E72D297353CC}">
              <c16:uniqueId val="{00000001-4A2A-43AA-9473-56D1B3D9B9E6}"/>
            </c:ext>
          </c:extLst>
        </c:ser>
        <c:ser>
          <c:idx val="2"/>
          <c:order val="2"/>
          <c:tx>
            <c:strRef>
              <c:f>'Forecasts 2'!$D$1</c:f>
              <c:strCache>
                <c:ptCount val="1"/>
                <c:pt idx="0">
                  <c:v>Lower Confidence Bound(Чистая прибыль)</c:v>
                </c:pt>
              </c:strCache>
            </c:strRef>
          </c:tx>
          <c:spPr>
            <a:noFill/>
            <a:ln w="12700">
              <a:solidFill>
                <a:srgbClr val="FF0000"/>
              </a:solidFill>
              <a:prstDash val="solid"/>
            </a:ln>
            <a:effectLst/>
          </c:spPr>
          <c:cat>
            <c:numRef>
              <c:f>'Forecasts 2'!$A$2:$A$97</c:f>
              <c:numCache>
                <c:formatCode>[$-419]mmm\ yyyy;@</c:formatCode>
                <c:ptCount val="96"/>
                <c:pt idx="0">
                  <c:v>42736</c:v>
                </c:pt>
                <c:pt idx="1">
                  <c:v>42767</c:v>
                </c:pt>
                <c:pt idx="2">
                  <c:v>42795</c:v>
                </c:pt>
                <c:pt idx="3">
                  <c:v>42826</c:v>
                </c:pt>
                <c:pt idx="4">
                  <c:v>42856</c:v>
                </c:pt>
                <c:pt idx="5">
                  <c:v>42887</c:v>
                </c:pt>
                <c:pt idx="6">
                  <c:v>42917</c:v>
                </c:pt>
                <c:pt idx="7">
                  <c:v>42948</c:v>
                </c:pt>
                <c:pt idx="8">
                  <c:v>42979</c:v>
                </c:pt>
                <c:pt idx="9">
                  <c:v>43009</c:v>
                </c:pt>
                <c:pt idx="10">
                  <c:v>43040</c:v>
                </c:pt>
                <c:pt idx="11">
                  <c:v>43070</c:v>
                </c:pt>
                <c:pt idx="12">
                  <c:v>43101</c:v>
                </c:pt>
                <c:pt idx="13">
                  <c:v>43132</c:v>
                </c:pt>
                <c:pt idx="14">
                  <c:v>43160</c:v>
                </c:pt>
                <c:pt idx="15">
                  <c:v>43191</c:v>
                </c:pt>
                <c:pt idx="16">
                  <c:v>43221</c:v>
                </c:pt>
                <c:pt idx="17">
                  <c:v>43252</c:v>
                </c:pt>
                <c:pt idx="18">
                  <c:v>43282</c:v>
                </c:pt>
                <c:pt idx="19">
                  <c:v>43313</c:v>
                </c:pt>
                <c:pt idx="20">
                  <c:v>43344</c:v>
                </c:pt>
                <c:pt idx="21">
                  <c:v>43374</c:v>
                </c:pt>
                <c:pt idx="22">
                  <c:v>43405</c:v>
                </c:pt>
                <c:pt idx="23">
                  <c:v>43435</c:v>
                </c:pt>
                <c:pt idx="24">
                  <c:v>43466</c:v>
                </c:pt>
                <c:pt idx="25">
                  <c:v>43497</c:v>
                </c:pt>
                <c:pt idx="26">
                  <c:v>43525</c:v>
                </c:pt>
                <c:pt idx="27">
                  <c:v>43556</c:v>
                </c:pt>
                <c:pt idx="28">
                  <c:v>43586</c:v>
                </c:pt>
                <c:pt idx="29">
                  <c:v>43617</c:v>
                </c:pt>
                <c:pt idx="30">
                  <c:v>43647</c:v>
                </c:pt>
                <c:pt idx="31">
                  <c:v>43678</c:v>
                </c:pt>
                <c:pt idx="32">
                  <c:v>43709</c:v>
                </c:pt>
                <c:pt idx="33">
                  <c:v>43739</c:v>
                </c:pt>
                <c:pt idx="34">
                  <c:v>43770</c:v>
                </c:pt>
                <c:pt idx="35">
                  <c:v>43800</c:v>
                </c:pt>
                <c:pt idx="36">
                  <c:v>43831</c:v>
                </c:pt>
                <c:pt idx="37">
                  <c:v>43862</c:v>
                </c:pt>
                <c:pt idx="38">
                  <c:v>43891</c:v>
                </c:pt>
                <c:pt idx="39">
                  <c:v>43922</c:v>
                </c:pt>
                <c:pt idx="40">
                  <c:v>43952</c:v>
                </c:pt>
                <c:pt idx="41">
                  <c:v>43983</c:v>
                </c:pt>
                <c:pt idx="42">
                  <c:v>44013</c:v>
                </c:pt>
                <c:pt idx="43">
                  <c:v>44044</c:v>
                </c:pt>
                <c:pt idx="44">
                  <c:v>44075</c:v>
                </c:pt>
                <c:pt idx="45">
                  <c:v>44105</c:v>
                </c:pt>
                <c:pt idx="46">
                  <c:v>44136</c:v>
                </c:pt>
                <c:pt idx="47">
                  <c:v>44166</c:v>
                </c:pt>
                <c:pt idx="48">
                  <c:v>44197</c:v>
                </c:pt>
                <c:pt idx="49">
                  <c:v>44228</c:v>
                </c:pt>
                <c:pt idx="50">
                  <c:v>44256</c:v>
                </c:pt>
                <c:pt idx="51">
                  <c:v>44287</c:v>
                </c:pt>
                <c:pt idx="52">
                  <c:v>44317</c:v>
                </c:pt>
                <c:pt idx="53">
                  <c:v>44348</c:v>
                </c:pt>
                <c:pt idx="54">
                  <c:v>44378</c:v>
                </c:pt>
                <c:pt idx="55">
                  <c:v>44409</c:v>
                </c:pt>
                <c:pt idx="56">
                  <c:v>44440</c:v>
                </c:pt>
                <c:pt idx="57">
                  <c:v>44470</c:v>
                </c:pt>
                <c:pt idx="58">
                  <c:v>44501</c:v>
                </c:pt>
                <c:pt idx="59">
                  <c:v>44531</c:v>
                </c:pt>
                <c:pt idx="60">
                  <c:v>44562</c:v>
                </c:pt>
                <c:pt idx="61">
                  <c:v>44593</c:v>
                </c:pt>
                <c:pt idx="62">
                  <c:v>44621</c:v>
                </c:pt>
                <c:pt idx="63">
                  <c:v>44652</c:v>
                </c:pt>
                <c:pt idx="64">
                  <c:v>44682</c:v>
                </c:pt>
                <c:pt idx="65">
                  <c:v>44713</c:v>
                </c:pt>
                <c:pt idx="66">
                  <c:v>44743</c:v>
                </c:pt>
                <c:pt idx="67">
                  <c:v>44774</c:v>
                </c:pt>
                <c:pt idx="68">
                  <c:v>44805</c:v>
                </c:pt>
                <c:pt idx="69">
                  <c:v>44835</c:v>
                </c:pt>
                <c:pt idx="70">
                  <c:v>44866</c:v>
                </c:pt>
                <c:pt idx="71">
                  <c:v>44896</c:v>
                </c:pt>
                <c:pt idx="72" formatCode="[$-409]mmm\-yy;@">
                  <c:v>44927</c:v>
                </c:pt>
                <c:pt idx="73" formatCode="[$-409]mmm\-yy;@">
                  <c:v>44958</c:v>
                </c:pt>
                <c:pt idx="74" formatCode="[$-409]mmm\-yy;@">
                  <c:v>44986</c:v>
                </c:pt>
                <c:pt idx="75" formatCode="[$-409]mmm\-yy;@">
                  <c:v>45017</c:v>
                </c:pt>
                <c:pt idx="76" formatCode="[$-409]mmm\-yy;@">
                  <c:v>45047</c:v>
                </c:pt>
                <c:pt idx="77" formatCode="[$-409]mmm\-yy;@">
                  <c:v>45078</c:v>
                </c:pt>
                <c:pt idx="78" formatCode="[$-409]mmm\-yy;@">
                  <c:v>45108</c:v>
                </c:pt>
                <c:pt idx="79" formatCode="[$-409]mmm\-yy;@">
                  <c:v>45139</c:v>
                </c:pt>
                <c:pt idx="80" formatCode="[$-409]mmm\-yy;@">
                  <c:v>45170</c:v>
                </c:pt>
                <c:pt idx="81" formatCode="[$-409]mmm\-yy;@">
                  <c:v>45200</c:v>
                </c:pt>
                <c:pt idx="82" formatCode="[$-409]mmm\-yy;@">
                  <c:v>45231</c:v>
                </c:pt>
                <c:pt idx="83" formatCode="[$-409]mmm\-yy;@">
                  <c:v>45261</c:v>
                </c:pt>
                <c:pt idx="84" formatCode="[$-409]mmm\-yy;@">
                  <c:v>45292</c:v>
                </c:pt>
                <c:pt idx="85" formatCode="[$-409]mmm\-yy;@">
                  <c:v>45323</c:v>
                </c:pt>
                <c:pt idx="86" formatCode="[$-409]mmm\-yy;@">
                  <c:v>45352</c:v>
                </c:pt>
                <c:pt idx="87" formatCode="[$-409]mmm\-yy;@">
                  <c:v>45383</c:v>
                </c:pt>
                <c:pt idx="88" formatCode="[$-409]mmm\-yy;@">
                  <c:v>45413</c:v>
                </c:pt>
                <c:pt idx="89" formatCode="[$-409]mmm\-yy;@">
                  <c:v>45444</c:v>
                </c:pt>
                <c:pt idx="90" formatCode="[$-409]mmm\-yy;@">
                  <c:v>45474</c:v>
                </c:pt>
                <c:pt idx="91" formatCode="[$-409]mmm\-yy;@">
                  <c:v>45505</c:v>
                </c:pt>
                <c:pt idx="92" formatCode="[$-409]mmm\-yy;@">
                  <c:v>45536</c:v>
                </c:pt>
                <c:pt idx="93" formatCode="[$-409]mmm\-yy;@">
                  <c:v>45566</c:v>
                </c:pt>
                <c:pt idx="94" formatCode="[$-409]mmm\-yy;@">
                  <c:v>45597</c:v>
                </c:pt>
                <c:pt idx="95" formatCode="[$-409]mmm\-yy;@">
                  <c:v>45627</c:v>
                </c:pt>
              </c:numCache>
            </c:numRef>
          </c:cat>
          <c:val>
            <c:numRef>
              <c:f>'Forecasts 2'!$D$2:$D$97</c:f>
              <c:numCache>
                <c:formatCode>General</c:formatCode>
                <c:ptCount val="96"/>
                <c:pt idx="71" formatCode="#,##0.00\ &quot;₽&quot;">
                  <c:v>2236010.2799999998</c:v>
                </c:pt>
                <c:pt idx="72" formatCode="#,##0.00\ &quot;₽&quot;">
                  <c:v>-2564847.7399744475</c:v>
                </c:pt>
                <c:pt idx="73" formatCode="#,##0.00\ &quot;₽&quot;">
                  <c:v>-2003864.3948582809</c:v>
                </c:pt>
                <c:pt idx="74" formatCode="#,##0.00\ &quot;₽&quot;">
                  <c:v>-581875.59723937837</c:v>
                </c:pt>
                <c:pt idx="75" formatCode="#,##0.00\ &quot;₽&quot;">
                  <c:v>836408.85237105563</c:v>
                </c:pt>
                <c:pt idx="76" formatCode="#,##0.00\ &quot;₽&quot;">
                  <c:v>391866.33489650488</c:v>
                </c:pt>
                <c:pt idx="77" formatCode="#,##0.00\ &quot;₽&quot;">
                  <c:v>-515571.21624747152</c:v>
                </c:pt>
                <c:pt idx="78" formatCode="#,##0.00\ &quot;₽&quot;">
                  <c:v>507473.33414537879</c:v>
                </c:pt>
                <c:pt idx="79" formatCode="#,##0.00\ &quot;₽&quot;">
                  <c:v>-793320.90818931977</c:v>
                </c:pt>
                <c:pt idx="80" formatCode="#,##0.00\ &quot;₽&quot;">
                  <c:v>-168918.98538238741</c:v>
                </c:pt>
                <c:pt idx="81" formatCode="#,##0.00\ &quot;₽&quot;">
                  <c:v>-1197014.7940612303</c:v>
                </c:pt>
                <c:pt idx="82" formatCode="#,##0.00\ &quot;₽&quot;">
                  <c:v>-1457438.9569525535</c:v>
                </c:pt>
                <c:pt idx="83" formatCode="#,##0.00\ &quot;₽&quot;">
                  <c:v>-1147758.6068713386</c:v>
                </c:pt>
                <c:pt idx="84" formatCode="#,##0.00\ &quot;₽&quot;">
                  <c:v>-2729564.1719468189</c:v>
                </c:pt>
                <c:pt idx="85" formatCode="#,##0.00\ &quot;₽&quot;">
                  <c:v>-2170317.528250277</c:v>
                </c:pt>
                <c:pt idx="86" formatCode="#,##0.00\ &quot;₽&quot;">
                  <c:v>-750051.78238928597</c:v>
                </c:pt>
                <c:pt idx="87" formatCode="#,##0.00\ &quot;₽&quot;">
                  <c:v>666523.12003657501</c:v>
                </c:pt>
                <c:pt idx="88" formatCode="#,##0.00\ &quot;₽&quot;">
                  <c:v>220284.41321008373</c:v>
                </c:pt>
                <c:pt idx="89" formatCode="#,##0.00\ &quot;₽&quot;">
                  <c:v>-688836.11759530241</c:v>
                </c:pt>
                <c:pt idx="90" formatCode="#,##0.00\ &quot;₽&quot;">
                  <c:v>332538.51351999352</c:v>
                </c:pt>
                <c:pt idx="91" formatCode="#,##0.00\ &quot;₽&quot;">
                  <c:v>-969912.73795644124</c:v>
                </c:pt>
                <c:pt idx="92" formatCode="#,##0.00\ &quot;₽&quot;">
                  <c:v>-347155.06513470225</c:v>
                </c:pt>
                <c:pt idx="93" formatCode="#,##0.00\ &quot;₽&quot;">
                  <c:v>-1376882.5161551705</c:v>
                </c:pt>
                <c:pt idx="94" formatCode="#,##0.00\ &quot;₽&quot;">
                  <c:v>-1638925.865605762</c:v>
                </c:pt>
                <c:pt idx="95" formatCode="#,##0.00\ &quot;₽&quot;">
                  <c:v>-1330852.3983370394</c:v>
                </c:pt>
              </c:numCache>
            </c:numRef>
          </c:val>
          <c:extLst>
            <c:ext xmlns:c16="http://schemas.microsoft.com/office/drawing/2014/chart" uri="{C3380CC4-5D6E-409C-BE32-E72D297353CC}">
              <c16:uniqueId val="{00000002-4A2A-43AA-9473-56D1B3D9B9E6}"/>
            </c:ext>
          </c:extLst>
        </c:ser>
        <c:ser>
          <c:idx val="3"/>
          <c:order val="3"/>
          <c:tx>
            <c:strRef>
              <c:f>'Forecasts 2'!$E$1</c:f>
              <c:strCache>
                <c:ptCount val="1"/>
                <c:pt idx="0">
                  <c:v>Upper Confidence Bound(Чистая прибыль)</c:v>
                </c:pt>
              </c:strCache>
            </c:strRef>
          </c:tx>
          <c:spPr>
            <a:noFill/>
            <a:ln w="12700">
              <a:solidFill>
                <a:srgbClr val="CCFFFF"/>
              </a:solidFill>
              <a:prstDash val="solid"/>
            </a:ln>
            <a:effectLst/>
          </c:spPr>
          <c:cat>
            <c:numRef>
              <c:f>'Forecasts 2'!$A$2:$A$97</c:f>
              <c:numCache>
                <c:formatCode>[$-419]mmm\ yyyy;@</c:formatCode>
                <c:ptCount val="96"/>
                <c:pt idx="0">
                  <c:v>42736</c:v>
                </c:pt>
                <c:pt idx="1">
                  <c:v>42767</c:v>
                </c:pt>
                <c:pt idx="2">
                  <c:v>42795</c:v>
                </c:pt>
                <c:pt idx="3">
                  <c:v>42826</c:v>
                </c:pt>
                <c:pt idx="4">
                  <c:v>42856</c:v>
                </c:pt>
                <c:pt idx="5">
                  <c:v>42887</c:v>
                </c:pt>
                <c:pt idx="6">
                  <c:v>42917</c:v>
                </c:pt>
                <c:pt idx="7">
                  <c:v>42948</c:v>
                </c:pt>
                <c:pt idx="8">
                  <c:v>42979</c:v>
                </c:pt>
                <c:pt idx="9">
                  <c:v>43009</c:v>
                </c:pt>
                <c:pt idx="10">
                  <c:v>43040</c:v>
                </c:pt>
                <c:pt idx="11">
                  <c:v>43070</c:v>
                </c:pt>
                <c:pt idx="12">
                  <c:v>43101</c:v>
                </c:pt>
                <c:pt idx="13">
                  <c:v>43132</c:v>
                </c:pt>
                <c:pt idx="14">
                  <c:v>43160</c:v>
                </c:pt>
                <c:pt idx="15">
                  <c:v>43191</c:v>
                </c:pt>
                <c:pt idx="16">
                  <c:v>43221</c:v>
                </c:pt>
                <c:pt idx="17">
                  <c:v>43252</c:v>
                </c:pt>
                <c:pt idx="18">
                  <c:v>43282</c:v>
                </c:pt>
                <c:pt idx="19">
                  <c:v>43313</c:v>
                </c:pt>
                <c:pt idx="20">
                  <c:v>43344</c:v>
                </c:pt>
                <c:pt idx="21">
                  <c:v>43374</c:v>
                </c:pt>
                <c:pt idx="22">
                  <c:v>43405</c:v>
                </c:pt>
                <c:pt idx="23">
                  <c:v>43435</c:v>
                </c:pt>
                <c:pt idx="24">
                  <c:v>43466</c:v>
                </c:pt>
                <c:pt idx="25">
                  <c:v>43497</c:v>
                </c:pt>
                <c:pt idx="26">
                  <c:v>43525</c:v>
                </c:pt>
                <c:pt idx="27">
                  <c:v>43556</c:v>
                </c:pt>
                <c:pt idx="28">
                  <c:v>43586</c:v>
                </c:pt>
                <c:pt idx="29">
                  <c:v>43617</c:v>
                </c:pt>
                <c:pt idx="30">
                  <c:v>43647</c:v>
                </c:pt>
                <c:pt idx="31">
                  <c:v>43678</c:v>
                </c:pt>
                <c:pt idx="32">
                  <c:v>43709</c:v>
                </c:pt>
                <c:pt idx="33">
                  <c:v>43739</c:v>
                </c:pt>
                <c:pt idx="34">
                  <c:v>43770</c:v>
                </c:pt>
                <c:pt idx="35">
                  <c:v>43800</c:v>
                </c:pt>
                <c:pt idx="36">
                  <c:v>43831</c:v>
                </c:pt>
                <c:pt idx="37">
                  <c:v>43862</c:v>
                </c:pt>
                <c:pt idx="38">
                  <c:v>43891</c:v>
                </c:pt>
                <c:pt idx="39">
                  <c:v>43922</c:v>
                </c:pt>
                <c:pt idx="40">
                  <c:v>43952</c:v>
                </c:pt>
                <c:pt idx="41">
                  <c:v>43983</c:v>
                </c:pt>
                <c:pt idx="42">
                  <c:v>44013</c:v>
                </c:pt>
                <c:pt idx="43">
                  <c:v>44044</c:v>
                </c:pt>
                <c:pt idx="44">
                  <c:v>44075</c:v>
                </c:pt>
                <c:pt idx="45">
                  <c:v>44105</c:v>
                </c:pt>
                <c:pt idx="46">
                  <c:v>44136</c:v>
                </c:pt>
                <c:pt idx="47">
                  <c:v>44166</c:v>
                </c:pt>
                <c:pt idx="48">
                  <c:v>44197</c:v>
                </c:pt>
                <c:pt idx="49">
                  <c:v>44228</c:v>
                </c:pt>
                <c:pt idx="50">
                  <c:v>44256</c:v>
                </c:pt>
                <c:pt idx="51">
                  <c:v>44287</c:v>
                </c:pt>
                <c:pt idx="52">
                  <c:v>44317</c:v>
                </c:pt>
                <c:pt idx="53">
                  <c:v>44348</c:v>
                </c:pt>
                <c:pt idx="54">
                  <c:v>44378</c:v>
                </c:pt>
                <c:pt idx="55">
                  <c:v>44409</c:v>
                </c:pt>
                <c:pt idx="56">
                  <c:v>44440</c:v>
                </c:pt>
                <c:pt idx="57">
                  <c:v>44470</c:v>
                </c:pt>
                <c:pt idx="58">
                  <c:v>44501</c:v>
                </c:pt>
                <c:pt idx="59">
                  <c:v>44531</c:v>
                </c:pt>
                <c:pt idx="60">
                  <c:v>44562</c:v>
                </c:pt>
                <c:pt idx="61">
                  <c:v>44593</c:v>
                </c:pt>
                <c:pt idx="62">
                  <c:v>44621</c:v>
                </c:pt>
                <c:pt idx="63">
                  <c:v>44652</c:v>
                </c:pt>
                <c:pt idx="64">
                  <c:v>44682</c:v>
                </c:pt>
                <c:pt idx="65">
                  <c:v>44713</c:v>
                </c:pt>
                <c:pt idx="66">
                  <c:v>44743</c:v>
                </c:pt>
                <c:pt idx="67">
                  <c:v>44774</c:v>
                </c:pt>
                <c:pt idx="68">
                  <c:v>44805</c:v>
                </c:pt>
                <c:pt idx="69">
                  <c:v>44835</c:v>
                </c:pt>
                <c:pt idx="70">
                  <c:v>44866</c:v>
                </c:pt>
                <c:pt idx="71">
                  <c:v>44896</c:v>
                </c:pt>
                <c:pt idx="72" formatCode="[$-409]mmm\-yy;@">
                  <c:v>44927</c:v>
                </c:pt>
                <c:pt idx="73" formatCode="[$-409]mmm\-yy;@">
                  <c:v>44958</c:v>
                </c:pt>
                <c:pt idx="74" formatCode="[$-409]mmm\-yy;@">
                  <c:v>44986</c:v>
                </c:pt>
                <c:pt idx="75" formatCode="[$-409]mmm\-yy;@">
                  <c:v>45017</c:v>
                </c:pt>
                <c:pt idx="76" formatCode="[$-409]mmm\-yy;@">
                  <c:v>45047</c:v>
                </c:pt>
                <c:pt idx="77" formatCode="[$-409]mmm\-yy;@">
                  <c:v>45078</c:v>
                </c:pt>
                <c:pt idx="78" formatCode="[$-409]mmm\-yy;@">
                  <c:v>45108</c:v>
                </c:pt>
                <c:pt idx="79" formatCode="[$-409]mmm\-yy;@">
                  <c:v>45139</c:v>
                </c:pt>
                <c:pt idx="80" formatCode="[$-409]mmm\-yy;@">
                  <c:v>45170</c:v>
                </c:pt>
                <c:pt idx="81" formatCode="[$-409]mmm\-yy;@">
                  <c:v>45200</c:v>
                </c:pt>
                <c:pt idx="82" formatCode="[$-409]mmm\-yy;@">
                  <c:v>45231</c:v>
                </c:pt>
                <c:pt idx="83" formatCode="[$-409]mmm\-yy;@">
                  <c:v>45261</c:v>
                </c:pt>
                <c:pt idx="84" formatCode="[$-409]mmm\-yy;@">
                  <c:v>45292</c:v>
                </c:pt>
                <c:pt idx="85" formatCode="[$-409]mmm\-yy;@">
                  <c:v>45323</c:v>
                </c:pt>
                <c:pt idx="86" formatCode="[$-409]mmm\-yy;@">
                  <c:v>45352</c:v>
                </c:pt>
                <c:pt idx="87" formatCode="[$-409]mmm\-yy;@">
                  <c:v>45383</c:v>
                </c:pt>
                <c:pt idx="88" formatCode="[$-409]mmm\-yy;@">
                  <c:v>45413</c:v>
                </c:pt>
                <c:pt idx="89" formatCode="[$-409]mmm\-yy;@">
                  <c:v>45444</c:v>
                </c:pt>
                <c:pt idx="90" formatCode="[$-409]mmm\-yy;@">
                  <c:v>45474</c:v>
                </c:pt>
                <c:pt idx="91" formatCode="[$-409]mmm\-yy;@">
                  <c:v>45505</c:v>
                </c:pt>
                <c:pt idx="92" formatCode="[$-409]mmm\-yy;@">
                  <c:v>45536</c:v>
                </c:pt>
                <c:pt idx="93" formatCode="[$-409]mmm\-yy;@">
                  <c:v>45566</c:v>
                </c:pt>
                <c:pt idx="94" formatCode="[$-409]mmm\-yy;@">
                  <c:v>45597</c:v>
                </c:pt>
                <c:pt idx="95" formatCode="[$-409]mmm\-yy;@">
                  <c:v>45627</c:v>
                </c:pt>
              </c:numCache>
            </c:numRef>
          </c:cat>
          <c:val>
            <c:numRef>
              <c:f>'Forecasts 2'!$E$2:$E$97</c:f>
              <c:numCache>
                <c:formatCode>General</c:formatCode>
                <c:ptCount val="96"/>
                <c:pt idx="71" formatCode="#,##0.00\ &quot;₽&quot;">
                  <c:v>2236010.2799999998</c:v>
                </c:pt>
                <c:pt idx="72" formatCode="#,##0.00\ &quot;₽&quot;">
                  <c:v>2318150.7666482739</c:v>
                </c:pt>
                <c:pt idx="73" formatCode="#,##0.00\ &quot;₽&quot;">
                  <c:v>2918355.5352474656</c:v>
                </c:pt>
                <c:pt idx="74" formatCode="#,##0.00\ &quot;₽&quot;">
                  <c:v>4379868.4310189039</c:v>
                </c:pt>
                <c:pt idx="75" formatCode="#,##0.00\ &quot;₽&quot;">
                  <c:v>5837977.2451762613</c:v>
                </c:pt>
                <c:pt idx="76" formatCode="#,##0.00\ &quot;₽&quot;">
                  <c:v>5433556.9725232366</c:v>
                </c:pt>
                <c:pt idx="77" formatCode="#,##0.00\ &quot;₽&quot;">
                  <c:v>4566537.1830471084</c:v>
                </c:pt>
                <c:pt idx="78" formatCode="#,##0.00\ &quot;₽&quot;">
                  <c:v>5630292.6716976333</c:v>
                </c:pt>
                <c:pt idx="79" formatCode="#,##0.00\ &quot;₽&quot;">
                  <c:v>4370500.2275529196</c:v>
                </c:pt>
                <c:pt idx="80" formatCode="#,##0.00\ &quot;₽&quot;">
                  <c:v>5036192.5158004863</c:v>
                </c:pt>
                <c:pt idx="81" formatCode="#,##0.00\ &quot;₽&quot;">
                  <c:v>4049673.3714363128</c:v>
                </c:pt>
                <c:pt idx="82" formatCode="#,##0.00\ &quot;₽&quot;">
                  <c:v>3831109.9279462518</c:v>
                </c:pt>
                <c:pt idx="83" formatCode="#,##0.00\ &quot;₽&quot;">
                  <c:v>4182932.8335585324</c:v>
                </c:pt>
                <c:pt idx="84" formatCode="#,##0.00\ &quot;₽&quot;">
                  <c:v>2644164.0372630255</c:v>
                </c:pt>
                <c:pt idx="85" formatCode="#,##0.00\ &quot;₽&quot;">
                  <c:v>3246105.5072818436</c:v>
                </c:pt>
                <c:pt idx="86" formatCode="#,##0.00\ &quot;₽&quot;">
                  <c:v>4709341.4548111921</c:v>
                </c:pt>
                <c:pt idx="87" formatCode="#,##0.00\ &quot;₽&quot;">
                  <c:v>6169159.816153123</c:v>
                </c:pt>
                <c:pt idx="88" formatCode="#,##0.00\ &quot;₽&quot;">
                  <c:v>5766435.7328520389</c:v>
                </c:pt>
                <c:pt idx="89" formatCode="#,##0.00\ &quot;₽&quot;">
                  <c:v>4901098.9230373204</c:v>
                </c:pt>
                <c:pt idx="90" formatCode="#,##0.00\ &quot;₽&quot;">
                  <c:v>5966524.3309653997</c:v>
                </c:pt>
                <c:pt idx="91" formatCode="#,##0.00\ &quot;₽&quot;">
                  <c:v>4708388.8959624227</c:v>
                </c:pt>
                <c:pt idx="92" formatCode="#,##0.00\ &quot;₽&quot;">
                  <c:v>5375725.4341951832</c:v>
                </c:pt>
                <c:pt idx="93" formatCode="#,##0.00\ &quot;₽&quot;">
                  <c:v>4390837.9321726346</c:v>
                </c:pt>
                <c:pt idx="94" formatCode="#,##0.00\ &quot;₽&quot;">
                  <c:v>4173893.675241841</c:v>
                </c:pt>
                <c:pt idx="95" formatCode="#,##0.00\ &quot;₽&quot;">
                  <c:v>4527323.4636666151</c:v>
                </c:pt>
              </c:numCache>
            </c:numRef>
          </c:val>
          <c:extLst>
            <c:ext xmlns:c16="http://schemas.microsoft.com/office/drawing/2014/chart" uri="{C3380CC4-5D6E-409C-BE32-E72D297353CC}">
              <c16:uniqueId val="{00000003-4A2A-43AA-9473-56D1B3D9B9E6}"/>
            </c:ext>
          </c:extLst>
        </c:ser>
        <c:dLbls>
          <c:showLegendKey val="0"/>
          <c:showVal val="0"/>
          <c:showCatName val="0"/>
          <c:showSerName val="0"/>
          <c:showPercent val="0"/>
          <c:showBubbleSize val="0"/>
        </c:dLbls>
        <c:axId val="1289123472"/>
        <c:axId val="1289122640"/>
      </c:areaChart>
      <c:catAx>
        <c:axId val="128912347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22640"/>
        <c:crosses val="autoZero"/>
        <c:auto val="1"/>
        <c:lblAlgn val="ctr"/>
        <c:lblOffset val="100"/>
        <c:noMultiLvlLbl val="0"/>
      </c:catAx>
      <c:valAx>
        <c:axId val="1289122640"/>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234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'Forecasts 3'!$B$1</c:f>
              <c:strCache>
                <c:ptCount val="1"/>
                <c:pt idx="0">
                  <c:v>Выручка</c:v>
                </c:pt>
              </c:strCache>
            </c:strRef>
          </c:tx>
          <c:spPr>
            <a:ln w="28575" cap="rnd">
              <a:solidFill>
                <a:schemeClr val="accent1"/>
              </a:solidFill>
              <a:round/>
            </a:ln>
            <a:effectLst/>
          </c:spPr>
          <c:marker>
            <c:symbol val="circle"/>
            <c:size val="10"/>
            <c:spPr>
              <a:solidFill>
                <a:schemeClr val="accent1"/>
              </a:solidFill>
              <a:ln w="9525">
                <a:solidFill>
                  <a:schemeClr val="accent1"/>
                </a:solidFill>
              </a:ln>
              <a:effectLst/>
            </c:spPr>
          </c:marker>
          <c:dLbls>
            <c:dLbl>
              <c:idx val="0"/>
              <c:tx>
                <c:rich>
                  <a:bodyPr/>
                  <a:lstStyle/>
                  <a:p>
                    <a:fld id="{60B18D71-B52C-4A32-AE3B-3FA9701224F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746-4B32-B934-09D705421D41}"/>
                </c:ext>
              </c:extLst>
            </c:dLbl>
            <c:dLbl>
              <c:idx val="1"/>
              <c:tx>
                <c:rich>
                  <a:bodyPr/>
                  <a:lstStyle/>
                  <a:p>
                    <a:fld id="{8A300EC6-ACBE-4789-8F61-9A7D0DC4EEB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746-4B32-B934-09D705421D41}"/>
                </c:ext>
              </c:extLst>
            </c:dLbl>
            <c:dLbl>
              <c:idx val="2"/>
              <c:tx>
                <c:rich>
                  <a:bodyPr/>
                  <a:lstStyle/>
                  <a:p>
                    <a:fld id="{06501E58-43D8-460F-A4C6-05E0D9DB9EA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746-4B32-B934-09D705421D41}"/>
                </c:ext>
              </c:extLst>
            </c:dLbl>
            <c:dLbl>
              <c:idx val="3"/>
              <c:tx>
                <c:rich>
                  <a:bodyPr/>
                  <a:lstStyle/>
                  <a:p>
                    <a:fld id="{45D86ABA-496F-4C79-AC88-BC800F3F0CF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746-4B32-B934-09D705421D41}"/>
                </c:ext>
              </c:extLst>
            </c:dLbl>
            <c:dLbl>
              <c:idx val="4"/>
              <c:tx>
                <c:rich>
                  <a:bodyPr/>
                  <a:lstStyle/>
                  <a:p>
                    <a:fld id="{AB50FE26-2F71-4CD7-BAE3-45BE547A7FB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746-4B32-B934-09D705421D41}"/>
                </c:ext>
              </c:extLst>
            </c:dLbl>
            <c:dLbl>
              <c:idx val="5"/>
              <c:tx>
                <c:rich>
                  <a:bodyPr/>
                  <a:lstStyle/>
                  <a:p>
                    <a:fld id="{6E3AA939-9FF5-4565-BE62-3AC730A687C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746-4B32-B934-09D705421D4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0746-4B32-B934-09D705421D4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0746-4B32-B934-09D705421D41}"/>
                </c:ext>
              </c:extLst>
            </c:dLbl>
            <c:spPr>
              <a:noFill/>
              <a:ln>
                <a:noFill/>
              </a:ln>
              <a:effectLst/>
            </c:spPr>
            <c:txPr>
              <a:bodyPr rot="0" spcFirstLastPara="1" vertOverflow="overflow" horzOverflow="overflow" vert="horz" wrap="square" lIns="38100" tIns="18288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3'!$B$2:$B$9</c:f>
              <c:numCache>
                <c:formatCode>#,##0.00\ "₽"</c:formatCode>
                <c:ptCount val="8"/>
                <c:pt idx="0">
                  <c:v>140746374</c:v>
                </c:pt>
                <c:pt idx="1">
                  <c:v>150169093</c:v>
                </c:pt>
                <c:pt idx="2">
                  <c:v>128139927</c:v>
                </c:pt>
                <c:pt idx="3">
                  <c:v>133139885.69</c:v>
                </c:pt>
                <c:pt idx="4">
                  <c:v>142248115.42000002</c:v>
                </c:pt>
                <c:pt idx="5">
                  <c:v>159104486.56000003</c:v>
                </c:pt>
              </c:numCache>
            </c:numRef>
          </c:val>
          <c:smooth val="1"/>
          <c:extLst>
            <c:ext xmlns:c15="http://schemas.microsoft.com/office/drawing/2012/chart" uri="{02D57815-91ED-43cb-92C2-25804820EDAC}">
              <c15:datalabelsRange>
                <c15:f>'Pivot Tables'!$E$30:$E$35</c15:f>
                <c15:dlblRangeCache>
                  <c:ptCount val="6"/>
                  <c:pt idx="1">
                    <c:v>6.69%</c:v>
                  </c:pt>
                  <c:pt idx="2">
                    <c:v>-14.67%</c:v>
                  </c:pt>
                  <c:pt idx="3">
                    <c:v>3.90%</c:v>
                  </c:pt>
                  <c:pt idx="4">
                    <c:v>6.84%</c:v>
                  </c:pt>
                  <c:pt idx="5">
                    <c:v>11.85%</c:v>
                  </c:pt>
                </c15:dlblRangeCache>
              </c15:datalabelsRange>
            </c:ext>
            <c:ext xmlns:c16="http://schemas.microsoft.com/office/drawing/2014/chart" uri="{C3380CC4-5D6E-409C-BE32-E72D297353CC}">
              <c16:uniqueId val="{00000000-0746-4B32-B934-09D705421D41}"/>
            </c:ext>
          </c:extLst>
        </c:ser>
        <c:ser>
          <c:idx val="1"/>
          <c:order val="1"/>
          <c:tx>
            <c:strRef>
              <c:f>'Forecasts 3'!$C$1</c:f>
              <c:strCache>
                <c:ptCount val="1"/>
                <c:pt idx="0">
                  <c:v>Forecast(Выручка)</c:v>
                </c:pt>
              </c:strCache>
            </c:strRef>
          </c:tx>
          <c:spPr>
            <a:ln w="25400" cap="rnd">
              <a:solidFill>
                <a:schemeClr val="accent2"/>
              </a:solidFill>
              <a:round/>
            </a:ln>
            <a:effectLst/>
          </c:spPr>
          <c:marker>
            <c:symbol val="none"/>
          </c:marker>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3'!$C$2:$C$9</c:f>
              <c:numCache>
                <c:formatCode>General</c:formatCode>
                <c:ptCount val="8"/>
                <c:pt idx="5" formatCode="#,##0.00\ &quot;₽&quot;">
                  <c:v>159104486.56000003</c:v>
                </c:pt>
                <c:pt idx="6" formatCode="#,##0.00\ &quot;₽&quot;">
                  <c:v>153362563.28145996</c:v>
                </c:pt>
                <c:pt idx="7" formatCode="#,##0.00\ &quot;₽&quot;">
                  <c:v>155823976.70258918</c:v>
                </c:pt>
              </c:numCache>
            </c:numRef>
          </c:val>
          <c:smooth val="1"/>
          <c:extLst>
            <c:ext xmlns:c16="http://schemas.microsoft.com/office/drawing/2014/chart" uri="{C3380CC4-5D6E-409C-BE32-E72D297353CC}">
              <c16:uniqueId val="{00000001-0746-4B32-B934-09D705421D41}"/>
            </c:ext>
          </c:extLst>
        </c:ser>
        <c:ser>
          <c:idx val="2"/>
          <c:order val="2"/>
          <c:tx>
            <c:strRef>
              <c:f>'Forecasts 3'!$D$1</c:f>
              <c:strCache>
                <c:ptCount val="1"/>
                <c:pt idx="0">
                  <c:v>Lower Confidence Bound(Выручка)</c:v>
                </c:pt>
              </c:strCache>
            </c:strRef>
          </c:tx>
          <c:spPr>
            <a:ln w="12700" cap="rnd">
              <a:solidFill>
                <a:srgbClr val="ED7D31"/>
              </a:solidFill>
              <a:prstDash val="solid"/>
              <a:round/>
            </a:ln>
            <a:effectLst/>
          </c:spPr>
          <c:marker>
            <c:symbol val="none"/>
          </c:marker>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3'!$D$2:$D$9</c:f>
              <c:numCache>
                <c:formatCode>General</c:formatCode>
                <c:ptCount val="8"/>
                <c:pt idx="5" formatCode="#,##0.00\ &quot;₽&quot;">
                  <c:v>159104486.56000003</c:v>
                </c:pt>
                <c:pt idx="6" formatCode="#,##0.00\ &quot;₽&quot;">
                  <c:v>132291762.63931504</c:v>
                </c:pt>
                <c:pt idx="7" formatCode="#,##0.00\ &quot;₽&quot;">
                  <c:v>134645977.13217166</c:v>
                </c:pt>
              </c:numCache>
            </c:numRef>
          </c:val>
          <c:smooth val="1"/>
          <c:extLst>
            <c:ext xmlns:c16="http://schemas.microsoft.com/office/drawing/2014/chart" uri="{C3380CC4-5D6E-409C-BE32-E72D297353CC}">
              <c16:uniqueId val="{00000002-0746-4B32-B934-09D705421D41}"/>
            </c:ext>
          </c:extLst>
        </c:ser>
        <c:ser>
          <c:idx val="3"/>
          <c:order val="3"/>
          <c:tx>
            <c:strRef>
              <c:f>'Forecasts 3'!$E$1</c:f>
              <c:strCache>
                <c:ptCount val="1"/>
                <c:pt idx="0">
                  <c:v>Upper Confidence Bound(Выручка)</c:v>
                </c:pt>
              </c:strCache>
            </c:strRef>
          </c:tx>
          <c:spPr>
            <a:ln w="12700" cap="rnd">
              <a:solidFill>
                <a:srgbClr val="ED7D31"/>
              </a:solidFill>
              <a:prstDash val="solid"/>
              <a:round/>
            </a:ln>
            <a:effectLst/>
          </c:spPr>
          <c:marker>
            <c:symbol val="none"/>
          </c:marker>
          <c:cat>
            <c:numRef>
              <c:f>'Forecasts 3'!$A$12:$A$19</c:f>
              <c:numCache>
                <c:formatCode>General</c:formatCode>
                <c:ptCount val="8"/>
                <c:pt idx="0">
                  <c:v>2017</c:v>
                </c:pt>
                <c:pt idx="1">
                  <c:v>2018</c:v>
                </c:pt>
                <c:pt idx="2">
                  <c:v>2019</c:v>
                </c:pt>
                <c:pt idx="3">
                  <c:v>2020</c:v>
                </c:pt>
                <c:pt idx="4">
                  <c:v>2021</c:v>
                </c:pt>
                <c:pt idx="5">
                  <c:v>2022</c:v>
                </c:pt>
                <c:pt idx="6">
                  <c:v>2023</c:v>
                </c:pt>
                <c:pt idx="7">
                  <c:v>2024</c:v>
                </c:pt>
              </c:numCache>
            </c:numRef>
          </c:cat>
          <c:val>
            <c:numRef>
              <c:f>'Forecasts 3'!$E$2:$E$9</c:f>
              <c:numCache>
                <c:formatCode>General</c:formatCode>
                <c:ptCount val="8"/>
                <c:pt idx="5" formatCode="#,##0.00\ &quot;₽&quot;">
                  <c:v>159104486.56000003</c:v>
                </c:pt>
                <c:pt idx="6" formatCode="#,##0.00\ &quot;₽&quot;">
                  <c:v>174433363.92360488</c:v>
                </c:pt>
                <c:pt idx="7" formatCode="#,##0.00\ &quot;₽&quot;">
                  <c:v>177001976.27300671</c:v>
                </c:pt>
              </c:numCache>
            </c:numRef>
          </c:val>
          <c:smooth val="1"/>
          <c:extLst>
            <c:ext xmlns:c16="http://schemas.microsoft.com/office/drawing/2014/chart" uri="{C3380CC4-5D6E-409C-BE32-E72D297353CC}">
              <c16:uniqueId val="{00000003-0746-4B32-B934-09D705421D41}"/>
            </c:ext>
          </c:extLst>
        </c:ser>
        <c:dLbls>
          <c:showLegendKey val="0"/>
          <c:showVal val="0"/>
          <c:showCatName val="0"/>
          <c:showSerName val="0"/>
          <c:showPercent val="0"/>
          <c:showBubbleSize val="0"/>
        </c:dLbls>
        <c:marker val="1"/>
        <c:smooth val="0"/>
        <c:axId val="945027199"/>
        <c:axId val="945027615"/>
      </c:lineChart>
      <c:catAx>
        <c:axId val="9450271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027615"/>
        <c:crosses val="autoZero"/>
        <c:auto val="1"/>
        <c:lblAlgn val="ctr"/>
        <c:lblOffset val="100"/>
        <c:noMultiLvlLbl val="0"/>
      </c:catAx>
      <c:valAx>
        <c:axId val="945027615"/>
        <c:scaling>
          <c:orientation val="minMax"/>
          <c:min val="120000000"/>
        </c:scaling>
        <c:delete val="0"/>
        <c:axPos val="l"/>
        <c:numFmt formatCode="#,###&quot;M&quot;\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027199"/>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'Forecasts 4'!$B$1</c:f>
              <c:strCache>
                <c:ptCount val="1"/>
                <c:pt idx="0">
                  <c:v>Чистая прибыль</c:v>
                </c:pt>
              </c:strCache>
            </c:strRef>
          </c:tx>
          <c:spPr>
            <a:ln w="28575" cap="rnd">
              <a:solidFill>
                <a:schemeClr val="accent1"/>
              </a:solidFill>
              <a:round/>
            </a:ln>
            <a:effectLst/>
          </c:spPr>
          <c:marker>
            <c:symbol val="none"/>
          </c:marker>
          <c:val>
            <c:numRef>
              <c:f>'Forecasts 4'!$B$2:$B$9</c:f>
              <c:numCache>
                <c:formatCode>#,##0.00\ "₽"</c:formatCode>
                <c:ptCount val="8"/>
                <c:pt idx="0">
                  <c:v>10367015</c:v>
                </c:pt>
                <c:pt idx="1">
                  <c:v>13422428</c:v>
                </c:pt>
                <c:pt idx="2">
                  <c:v>6058308.3300000001</c:v>
                </c:pt>
                <c:pt idx="3">
                  <c:v>18605842.630000003</c:v>
                </c:pt>
                <c:pt idx="4">
                  <c:v>13085898.130000001</c:v>
                </c:pt>
                <c:pt idx="5">
                  <c:v>21192281.590000004</c:v>
                </c:pt>
              </c:numCache>
            </c:numRef>
          </c:val>
          <c:smooth val="0"/>
          <c:extLst>
            <c:ext xmlns:c16="http://schemas.microsoft.com/office/drawing/2014/chart" uri="{C3380CC4-5D6E-409C-BE32-E72D297353CC}">
              <c16:uniqueId val="{00000000-D53A-4F93-B776-3FA76C66028E}"/>
            </c:ext>
          </c:extLst>
        </c:ser>
        <c:ser>
          <c:idx val="1"/>
          <c:order val="1"/>
          <c:tx>
            <c:strRef>
              <c:f>'Forecasts 4'!$C$1</c:f>
              <c:strCache>
                <c:ptCount val="1"/>
                <c:pt idx="0">
                  <c:v>Forecast(Чистая прибыль)</c:v>
                </c:pt>
              </c:strCache>
            </c:strRef>
          </c:tx>
          <c:spPr>
            <a:ln w="25400" cap="rnd">
              <a:solidFill>
                <a:schemeClr val="accent2"/>
              </a:solidFill>
              <a:round/>
            </a:ln>
            <a:effectLst/>
          </c:spPr>
          <c:marker>
            <c:symbol val="none"/>
          </c:marker>
          <c:cat>
            <c:numRef>
              <c:f>'Forecasts 4'!$A$2:$A$9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'Forecasts 4'!$C$2:$C$9</c:f>
              <c:numCache>
                <c:formatCode>General</c:formatCode>
                <c:ptCount val="8"/>
                <c:pt idx="5" formatCode="#,##0.00\ &quot;₽&quot;">
                  <c:v>21192281.590000004</c:v>
                </c:pt>
                <c:pt idx="6" formatCode="#,##0.00\ &quot;₽&quot;">
                  <c:v>16857693.0021988</c:v>
                </c:pt>
                <c:pt idx="7" formatCode="#,##0.00\ &quot;₽&quot;">
                  <c:v>24347868.758019805</c:v>
                </c:pt>
              </c:numCache>
            </c:numRef>
          </c:val>
          <c:smooth val="0"/>
          <c:extLst>
            <c:ext xmlns:c16="http://schemas.microsoft.com/office/drawing/2014/chart" uri="{C3380CC4-5D6E-409C-BE32-E72D297353CC}">
              <c16:uniqueId val="{00000001-D53A-4F93-B776-3FA76C66028E}"/>
            </c:ext>
          </c:extLst>
        </c:ser>
        <c:ser>
          <c:idx val="2"/>
          <c:order val="2"/>
          <c:tx>
            <c:strRef>
              <c:f>'Forecasts 4'!$D$1</c:f>
              <c:strCache>
                <c:ptCount val="1"/>
                <c:pt idx="0">
                  <c:v>Lower Confidence Bound(Чистая прибыль)</c:v>
                </c:pt>
              </c:strCache>
            </c:strRef>
          </c:tx>
          <c:spPr>
            <a:ln w="12700" cap="rnd">
              <a:solidFill>
                <a:srgbClr val="ED7D31"/>
              </a:solidFill>
              <a:prstDash val="solid"/>
              <a:round/>
            </a:ln>
            <a:effectLst/>
          </c:spPr>
          <c:marker>
            <c:symbol val="none"/>
          </c:marker>
          <c:cat>
            <c:numRef>
              <c:f>'Forecasts 4'!$A$2:$A$9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'Forecasts 4'!$D$2:$D$9</c:f>
              <c:numCache>
                <c:formatCode>General</c:formatCode>
                <c:ptCount val="8"/>
                <c:pt idx="5" formatCode="#,##0.00\ &quot;₽&quot;">
                  <c:v>21192281.590000004</c:v>
                </c:pt>
                <c:pt idx="6" formatCode="#,##0.00\ &quot;₽&quot;">
                  <c:v>10958120.779477315</c:v>
                </c:pt>
                <c:pt idx="7" formatCode="#,##0.00\ &quot;₽&quot;">
                  <c:v>16966317.957585145</c:v>
                </c:pt>
              </c:numCache>
            </c:numRef>
          </c:val>
          <c:smooth val="0"/>
          <c:extLst>
            <c:ext xmlns:c16="http://schemas.microsoft.com/office/drawing/2014/chart" uri="{C3380CC4-5D6E-409C-BE32-E72D297353CC}">
              <c16:uniqueId val="{00000002-D53A-4F93-B776-3FA76C66028E}"/>
            </c:ext>
          </c:extLst>
        </c:ser>
        <c:ser>
          <c:idx val="3"/>
          <c:order val="3"/>
          <c:tx>
            <c:strRef>
              <c:f>'Forecasts 4'!$E$1</c:f>
              <c:strCache>
                <c:ptCount val="1"/>
                <c:pt idx="0">
                  <c:v>Upper Confidence Bound(Чистая прибыль)</c:v>
                </c:pt>
              </c:strCache>
            </c:strRef>
          </c:tx>
          <c:spPr>
            <a:ln w="12700" cap="rnd">
              <a:solidFill>
                <a:srgbClr val="ED7D31"/>
              </a:solidFill>
              <a:prstDash val="solid"/>
              <a:round/>
            </a:ln>
            <a:effectLst/>
          </c:spPr>
          <c:marker>
            <c:symbol val="none"/>
          </c:marker>
          <c:cat>
            <c:numRef>
              <c:f>'Forecasts 4'!$A$2:$A$9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'Forecasts 4'!$E$2:$E$9</c:f>
              <c:numCache>
                <c:formatCode>General</c:formatCode>
                <c:ptCount val="8"/>
                <c:pt idx="5" formatCode="#,##0.00\ &quot;₽&quot;">
                  <c:v>21192281.590000004</c:v>
                </c:pt>
                <c:pt idx="6" formatCode="#,##0.00\ &quot;₽&quot;">
                  <c:v>22757265.224920288</c:v>
                </c:pt>
                <c:pt idx="7" formatCode="#,##0.00\ &quot;₽&quot;">
                  <c:v>31729419.558454465</c:v>
                </c:pt>
              </c:numCache>
            </c:numRef>
          </c:val>
          <c:smooth val="0"/>
          <c:extLst>
            <c:ext xmlns:c16="http://schemas.microsoft.com/office/drawing/2014/chart" uri="{C3380CC4-5D6E-409C-BE32-E72D297353CC}">
              <c16:uniqueId val="{00000003-D53A-4F93-B776-3FA76C66028E}"/>
            </c:ext>
          </c:extLst>
        </c:ser>
        <c:dLbls>
          <c:showLegendKey val="0"/>
          <c:showVal val="0"/>
          <c:showCatName val="0"/>
          <c:showSerName val="0"/>
          <c:showPercent val="0"/>
          <c:showBubbleSize val="0"/>
        </c:dLbls>
        <c:smooth val="0"/>
        <c:axId val="935864223"/>
        <c:axId val="935865055"/>
      </c:lineChart>
      <c:catAx>
        <c:axId val="935864223"/>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865055"/>
        <c:crosses val="autoZero"/>
        <c:auto val="1"/>
        <c:lblAlgn val="ctr"/>
        <c:lblOffset val="100"/>
        <c:noMultiLvlLbl val="0"/>
      </c:catAx>
      <c:valAx>
        <c:axId val="935865055"/>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864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5'!$B$1</c:f>
              <c:strCache>
                <c:ptCount val="1"/>
                <c:pt idx="0">
                  <c:v>Расходы суммарно</c:v>
                </c:pt>
              </c:strCache>
            </c:strRef>
          </c:tx>
          <c:spPr>
            <a:ln w="28575" cap="rnd">
              <a:solidFill>
                <a:schemeClr val="accent1"/>
              </a:solidFill>
              <a:round/>
            </a:ln>
            <a:effectLst/>
          </c:spPr>
          <c:marker>
            <c:symbol val="none"/>
          </c:marker>
          <c:val>
            <c:numRef>
              <c:f>'Forecast 5'!$B$2:$B$9</c:f>
              <c:numCache>
                <c:formatCode>#,##0.00\ "₽"</c:formatCode>
                <c:ptCount val="8"/>
                <c:pt idx="0">
                  <c:v>57528048</c:v>
                </c:pt>
                <c:pt idx="1">
                  <c:v>66318441</c:v>
                </c:pt>
                <c:pt idx="2">
                  <c:v>60988545.950000003</c:v>
                </c:pt>
                <c:pt idx="3">
                  <c:v>54318636.109999999</c:v>
                </c:pt>
                <c:pt idx="4">
                  <c:v>60433232.150000006</c:v>
                </c:pt>
                <c:pt idx="5">
                  <c:v>64212223</c:v>
                </c:pt>
              </c:numCache>
            </c:numRef>
          </c:val>
          <c:smooth val="0"/>
          <c:extLst>
            <c:ext xmlns:c16="http://schemas.microsoft.com/office/drawing/2014/chart" uri="{C3380CC4-5D6E-409C-BE32-E72D297353CC}">
              <c16:uniqueId val="{00000000-426E-420D-97E2-DEDDAE0DD9BB}"/>
            </c:ext>
          </c:extLst>
        </c:ser>
        <c:ser>
          <c:idx val="1"/>
          <c:order val="1"/>
          <c:tx>
            <c:strRef>
              <c:f>'Forecast 5'!$C$1</c:f>
              <c:strCache>
                <c:ptCount val="1"/>
                <c:pt idx="0">
                  <c:v>Forecast(Расходы суммарно)</c:v>
                </c:pt>
              </c:strCache>
            </c:strRef>
          </c:tx>
          <c:spPr>
            <a:ln w="25400" cap="rnd">
              <a:solidFill>
                <a:schemeClr val="accent2"/>
              </a:solidFill>
              <a:round/>
            </a:ln>
            <a:effectLst/>
          </c:spPr>
          <c:marker>
            <c:symbol val="none"/>
          </c:marker>
          <c:cat>
            <c:numRef>
              <c:f>'Forecast 5'!$A$2:$A$9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 5'!$C$2:$C$9</c:f>
              <c:numCache>
                <c:formatCode>General</c:formatCode>
                <c:ptCount val="8"/>
                <c:pt idx="5" formatCode="#,##0.00\ &quot;₽&quot;">
                  <c:v>64212223</c:v>
                </c:pt>
                <c:pt idx="6" formatCode="#,##0.00\ &quot;₽&quot;">
                  <c:v>57716409.842154935</c:v>
                </c:pt>
                <c:pt idx="7" formatCode="#,##0.00\ &quot;₽&quot;">
                  <c:v>62538473.408679083</c:v>
                </c:pt>
              </c:numCache>
            </c:numRef>
          </c:val>
          <c:smooth val="0"/>
          <c:extLst>
            <c:ext xmlns:c16="http://schemas.microsoft.com/office/drawing/2014/chart" uri="{C3380CC4-5D6E-409C-BE32-E72D297353CC}">
              <c16:uniqueId val="{00000001-426E-420D-97E2-DEDDAE0DD9BB}"/>
            </c:ext>
          </c:extLst>
        </c:ser>
        <c:ser>
          <c:idx val="2"/>
          <c:order val="2"/>
          <c:tx>
            <c:strRef>
              <c:f>'Forecast 5'!$D$1</c:f>
              <c:strCache>
                <c:ptCount val="1"/>
                <c:pt idx="0">
                  <c:v>Lower Confidence Bound(Расходы суммарно)</c:v>
                </c:pt>
              </c:strCache>
            </c:strRef>
          </c:tx>
          <c:spPr>
            <a:ln w="12700" cap="rnd">
              <a:solidFill>
                <a:srgbClr val="ED7D31"/>
              </a:solidFill>
              <a:prstDash val="solid"/>
              <a:round/>
            </a:ln>
            <a:effectLst/>
          </c:spPr>
          <c:marker>
            <c:symbol val="none"/>
          </c:marker>
          <c:cat>
            <c:numRef>
              <c:f>'Forecast 5'!$A$2:$A$9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 5'!$D$2:$D$9</c:f>
              <c:numCache>
                <c:formatCode>General</c:formatCode>
                <c:ptCount val="8"/>
                <c:pt idx="5" formatCode="#,##0.00\ &quot;₽&quot;">
                  <c:v>64212223</c:v>
                </c:pt>
                <c:pt idx="6" formatCode="#,##0.00\ &quot;₽&quot;">
                  <c:v>48814992.890426673</c:v>
                </c:pt>
                <c:pt idx="7" formatCode="#,##0.00\ &quot;₽&quot;">
                  <c:v>53637016.400664665</c:v>
                </c:pt>
              </c:numCache>
            </c:numRef>
          </c:val>
          <c:smooth val="0"/>
          <c:extLst>
            <c:ext xmlns:c16="http://schemas.microsoft.com/office/drawing/2014/chart" uri="{C3380CC4-5D6E-409C-BE32-E72D297353CC}">
              <c16:uniqueId val="{00000002-426E-420D-97E2-DEDDAE0DD9BB}"/>
            </c:ext>
          </c:extLst>
        </c:ser>
        <c:ser>
          <c:idx val="3"/>
          <c:order val="3"/>
          <c:tx>
            <c:strRef>
              <c:f>'Forecast 5'!$E$1</c:f>
              <c:strCache>
                <c:ptCount val="1"/>
                <c:pt idx="0">
                  <c:v>Upper Confidence Bound(Расходы суммарно)</c:v>
                </c:pt>
              </c:strCache>
            </c:strRef>
          </c:tx>
          <c:spPr>
            <a:ln w="12700" cap="rnd">
              <a:solidFill>
                <a:srgbClr val="ED7D31"/>
              </a:solidFill>
              <a:prstDash val="solid"/>
              <a:round/>
            </a:ln>
            <a:effectLst/>
          </c:spPr>
          <c:marker>
            <c:symbol val="none"/>
          </c:marker>
          <c:cat>
            <c:numRef>
              <c:f>'Forecast 5'!$A$2:$A$9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 5'!$E$2:$E$9</c:f>
              <c:numCache>
                <c:formatCode>General</c:formatCode>
                <c:ptCount val="8"/>
                <c:pt idx="5" formatCode="#,##0.00\ &quot;₽&quot;">
                  <c:v>64212223</c:v>
                </c:pt>
                <c:pt idx="6" formatCode="#,##0.00\ &quot;₽&quot;">
                  <c:v>66617826.793883197</c:v>
                </c:pt>
                <c:pt idx="7" formatCode="#,##0.00\ &quot;₽&quot;">
                  <c:v>71439930.416693509</c:v>
                </c:pt>
              </c:numCache>
            </c:numRef>
          </c:val>
          <c:smooth val="0"/>
          <c:extLst>
            <c:ext xmlns:c16="http://schemas.microsoft.com/office/drawing/2014/chart" uri="{C3380CC4-5D6E-409C-BE32-E72D297353CC}">
              <c16:uniqueId val="{00000003-426E-420D-97E2-DEDDAE0DD9BB}"/>
            </c:ext>
          </c:extLst>
        </c:ser>
        <c:dLbls>
          <c:showLegendKey val="0"/>
          <c:showVal val="0"/>
          <c:showCatName val="0"/>
          <c:showSerName val="0"/>
          <c:showPercent val="0"/>
          <c:showBubbleSize val="0"/>
        </c:dLbls>
        <c:smooth val="0"/>
        <c:axId val="1109373551"/>
        <c:axId val="1109385199"/>
      </c:lineChart>
      <c:catAx>
        <c:axId val="110937355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385199"/>
        <c:crosses val="autoZero"/>
        <c:auto val="1"/>
        <c:lblAlgn val="ctr"/>
        <c:lblOffset val="100"/>
        <c:noMultiLvlLbl val="0"/>
      </c:catAx>
      <c:valAx>
        <c:axId val="1109385199"/>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373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6'!$B$1</c:f>
              <c:strCache>
                <c:ptCount val="1"/>
                <c:pt idx="0">
                  <c:v>Валовая прибыль</c:v>
                </c:pt>
              </c:strCache>
            </c:strRef>
          </c:tx>
          <c:spPr>
            <a:ln w="28575" cap="rnd">
              <a:solidFill>
                <a:schemeClr val="accent1"/>
              </a:solidFill>
              <a:round/>
            </a:ln>
            <a:effectLst/>
          </c:spPr>
          <c:marker>
            <c:symbol val="none"/>
          </c:marker>
          <c:val>
            <c:numRef>
              <c:f>'Forecast 6'!$B$2:$B$9</c:f>
              <c:numCache>
                <c:formatCode>#,##0.00\ "₽"</c:formatCode>
                <c:ptCount val="8"/>
                <c:pt idx="0">
                  <c:v>72988025</c:v>
                </c:pt>
                <c:pt idx="1">
                  <c:v>86410258</c:v>
                </c:pt>
                <c:pt idx="2">
                  <c:v>74310679.280000001</c:v>
                </c:pt>
                <c:pt idx="3">
                  <c:v>76537656.799999997</c:v>
                </c:pt>
                <c:pt idx="4">
                  <c:v>79264162.280000001</c:v>
                </c:pt>
                <c:pt idx="5">
                  <c:v>91209812.379999995</c:v>
                </c:pt>
              </c:numCache>
            </c:numRef>
          </c:val>
          <c:smooth val="0"/>
          <c:extLst>
            <c:ext xmlns:c16="http://schemas.microsoft.com/office/drawing/2014/chart" uri="{C3380CC4-5D6E-409C-BE32-E72D297353CC}">
              <c16:uniqueId val="{00000000-F6BA-40AD-8412-2554BAA20AE3}"/>
            </c:ext>
          </c:extLst>
        </c:ser>
        <c:ser>
          <c:idx val="1"/>
          <c:order val="1"/>
          <c:tx>
            <c:strRef>
              <c:f>'Forecast 6'!$C$1</c:f>
              <c:strCache>
                <c:ptCount val="1"/>
                <c:pt idx="0">
                  <c:v>Forecast(Валовая прибыль)</c:v>
                </c:pt>
              </c:strCache>
            </c:strRef>
          </c:tx>
          <c:spPr>
            <a:ln w="25400" cap="rnd">
              <a:solidFill>
                <a:schemeClr val="accent2"/>
              </a:solidFill>
              <a:round/>
            </a:ln>
            <a:effectLst/>
          </c:spPr>
          <c:marker>
            <c:symbol val="none"/>
          </c:marker>
          <c:cat>
            <c:numRef>
              <c:f>'Forecast 6'!$A$2:$A$9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 6'!$C$2:$C$9</c:f>
              <c:numCache>
                <c:formatCode>General</c:formatCode>
                <c:ptCount val="8"/>
                <c:pt idx="5" formatCode="#,##0.00\ &quot;₽&quot;">
                  <c:v>91209812.379999995</c:v>
                </c:pt>
                <c:pt idx="6" formatCode="#,##0.00\ &quot;₽&quot;">
                  <c:v>81294462.053556174</c:v>
                </c:pt>
                <c:pt idx="7" formatCode="#,##0.00\ &quot;₽&quot;">
                  <c:v>93673514.135795444</c:v>
                </c:pt>
              </c:numCache>
            </c:numRef>
          </c:val>
          <c:smooth val="0"/>
          <c:extLst>
            <c:ext xmlns:c16="http://schemas.microsoft.com/office/drawing/2014/chart" uri="{C3380CC4-5D6E-409C-BE32-E72D297353CC}">
              <c16:uniqueId val="{00000001-F6BA-40AD-8412-2554BAA20AE3}"/>
            </c:ext>
          </c:extLst>
        </c:ser>
        <c:ser>
          <c:idx val="2"/>
          <c:order val="2"/>
          <c:tx>
            <c:strRef>
              <c:f>'Forecast 6'!$D$1</c:f>
              <c:strCache>
                <c:ptCount val="1"/>
                <c:pt idx="0">
                  <c:v>Lower Confidence Bound(Валовая прибыль)</c:v>
                </c:pt>
              </c:strCache>
            </c:strRef>
          </c:tx>
          <c:spPr>
            <a:ln w="12700" cap="rnd">
              <a:solidFill>
                <a:srgbClr val="ED7D31"/>
              </a:solidFill>
              <a:prstDash val="solid"/>
              <a:round/>
            </a:ln>
            <a:effectLst/>
          </c:spPr>
          <c:marker>
            <c:symbol val="none"/>
          </c:marker>
          <c:cat>
            <c:numRef>
              <c:f>'Forecast 6'!$A$2:$A$9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 6'!$D$2:$D$9</c:f>
              <c:numCache>
                <c:formatCode>General</c:formatCode>
                <c:ptCount val="8"/>
                <c:pt idx="5" formatCode="#,##0.00\ &quot;₽&quot;">
                  <c:v>91209812.379999995</c:v>
                </c:pt>
                <c:pt idx="6" formatCode="#,##0.00\ &quot;₽&quot;">
                  <c:v>70645102.122010931</c:v>
                </c:pt>
                <c:pt idx="7" formatCode="#,##0.00\ &quot;₽&quot;">
                  <c:v>83024106.282238334</c:v>
                </c:pt>
              </c:numCache>
            </c:numRef>
          </c:val>
          <c:smooth val="0"/>
          <c:extLst>
            <c:ext xmlns:c16="http://schemas.microsoft.com/office/drawing/2014/chart" uri="{C3380CC4-5D6E-409C-BE32-E72D297353CC}">
              <c16:uniqueId val="{00000002-F6BA-40AD-8412-2554BAA20AE3}"/>
            </c:ext>
          </c:extLst>
        </c:ser>
        <c:ser>
          <c:idx val="3"/>
          <c:order val="3"/>
          <c:tx>
            <c:strRef>
              <c:f>'Forecast 6'!$E$1</c:f>
              <c:strCache>
                <c:ptCount val="1"/>
                <c:pt idx="0">
                  <c:v>Upper Confidence Bound(Валовая прибыль)</c:v>
                </c:pt>
              </c:strCache>
            </c:strRef>
          </c:tx>
          <c:spPr>
            <a:ln w="12700" cap="rnd">
              <a:solidFill>
                <a:srgbClr val="ED7D31"/>
              </a:solidFill>
              <a:prstDash val="solid"/>
              <a:round/>
            </a:ln>
            <a:effectLst/>
          </c:spPr>
          <c:marker>
            <c:symbol val="none"/>
          </c:marker>
          <c:cat>
            <c:numRef>
              <c:f>'Forecast 6'!$A$2:$A$9</c:f>
              <c:numCache>
                <c:formatCode>m/d/yyyy</c:formatCode>
                <c:ptCount val="8"/>
                <c:pt idx="0">
                  <c:v>42736</c:v>
                </c:pt>
                <c:pt idx="1">
                  <c:v>43101</c:v>
                </c:pt>
                <c:pt idx="2">
                  <c:v>43466</c:v>
                </c:pt>
                <c:pt idx="3">
                  <c:v>43831</c:v>
                </c:pt>
                <c:pt idx="4">
                  <c:v>44197</c:v>
                </c:pt>
                <c:pt idx="5">
                  <c:v>44562</c:v>
                </c:pt>
                <c:pt idx="6">
                  <c:v>44927</c:v>
                </c:pt>
                <c:pt idx="7">
                  <c:v>45292</c:v>
                </c:pt>
              </c:numCache>
            </c:numRef>
          </c:cat>
          <c:val>
            <c:numRef>
              <c:f>'Forecast 6'!$E$2:$E$9</c:f>
              <c:numCache>
                <c:formatCode>General</c:formatCode>
                <c:ptCount val="8"/>
                <c:pt idx="5" formatCode="#,##0.00\ &quot;₽&quot;">
                  <c:v>91209812.379999995</c:v>
                </c:pt>
                <c:pt idx="6" formatCode="#,##0.00\ &quot;₽&quot;">
                  <c:v>91943821.985101417</c:v>
                </c:pt>
                <c:pt idx="7" formatCode="#,##0.00\ &quot;₽&quot;">
                  <c:v>104322921.98935255</c:v>
                </c:pt>
              </c:numCache>
            </c:numRef>
          </c:val>
          <c:smooth val="0"/>
          <c:extLst>
            <c:ext xmlns:c16="http://schemas.microsoft.com/office/drawing/2014/chart" uri="{C3380CC4-5D6E-409C-BE32-E72D297353CC}">
              <c16:uniqueId val="{00000003-F6BA-40AD-8412-2554BAA20AE3}"/>
            </c:ext>
          </c:extLst>
        </c:ser>
        <c:dLbls>
          <c:showLegendKey val="0"/>
          <c:showVal val="0"/>
          <c:showCatName val="0"/>
          <c:showSerName val="0"/>
          <c:showPercent val="0"/>
          <c:showBubbleSize val="0"/>
        </c:dLbls>
        <c:smooth val="0"/>
        <c:axId val="774554671"/>
        <c:axId val="774555087"/>
      </c:lineChart>
      <c:catAx>
        <c:axId val="77455467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555087"/>
        <c:crosses val="autoZero"/>
        <c:auto val="1"/>
        <c:lblAlgn val="ctr"/>
        <c:lblOffset val="100"/>
        <c:noMultiLvlLbl val="0"/>
      </c:catAx>
      <c:valAx>
        <c:axId val="774555087"/>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554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7'!$B$1</c:f>
              <c:strCache>
                <c:ptCount val="1"/>
                <c:pt idx="0">
                  <c:v>Values</c:v>
                </c:pt>
              </c:strCache>
            </c:strRef>
          </c:tx>
          <c:spPr>
            <a:ln w="28575" cap="rnd">
              <a:solidFill>
                <a:schemeClr val="accent1"/>
              </a:solidFill>
              <a:round/>
            </a:ln>
            <a:effectLst/>
          </c:spPr>
          <c:marker>
            <c:symbol val="none"/>
          </c:marker>
          <c:val>
            <c:numRef>
              <c:f>'Forecast 7'!$B$2:$B$9</c:f>
              <c:numCache>
                <c:formatCode>#,##0.00\ "₽"</c:formatCode>
                <c:ptCount val="8"/>
                <c:pt idx="0">
                  <c:v>14261441</c:v>
                </c:pt>
                <c:pt idx="1">
                  <c:v>20091817</c:v>
                </c:pt>
                <c:pt idx="2">
                  <c:v>13322133.329999998</c:v>
                </c:pt>
                <c:pt idx="3">
                  <c:v>22219020.690000001</c:v>
                </c:pt>
                <c:pt idx="4">
                  <c:v>18830930.129999999</c:v>
                </c:pt>
                <c:pt idx="5">
                  <c:v>26997589.379999999</c:v>
                </c:pt>
              </c:numCache>
            </c:numRef>
          </c:val>
          <c:smooth val="0"/>
          <c:extLst>
            <c:ext xmlns:c16="http://schemas.microsoft.com/office/drawing/2014/chart" uri="{C3380CC4-5D6E-409C-BE32-E72D297353CC}">
              <c16:uniqueId val="{00000000-7DE6-4BB6-86DB-55A941D447B4}"/>
            </c:ext>
          </c:extLst>
        </c:ser>
        <c:ser>
          <c:idx val="1"/>
          <c:order val="1"/>
          <c:tx>
            <c:strRef>
              <c:f>'Forecast 7'!$C$1</c:f>
              <c:strCache>
                <c:ptCount val="1"/>
                <c:pt idx="0">
                  <c:v>Forecast</c:v>
                </c:pt>
              </c:strCache>
            </c:strRef>
          </c:tx>
          <c:spPr>
            <a:ln w="25400" cap="rnd">
              <a:solidFill>
                <a:schemeClr val="accent2"/>
              </a:solidFill>
              <a:round/>
            </a:ln>
            <a:effectLst/>
          </c:spPr>
          <c:marker>
            <c:symbol val="none"/>
          </c:marker>
          <c:cat>
            <c:numRef>
              <c:f>'Forecast 7'!$A$2:$A$9</c:f>
              <c:numCache>
                <c:formatCode>[$-FC19]yyyy</c:formatCode>
                <c:ptCount val="8"/>
                <c:pt idx="0">
                  <c:v>42736</c:v>
                </c:pt>
                <c:pt idx="1">
                  <c:v>43101</c:v>
                </c:pt>
                <c:pt idx="2">
                  <c:v>43466</c:v>
                </c:pt>
                <c:pt idx="3">
                  <c:v>43831</c:v>
                </c:pt>
                <c:pt idx="4">
                  <c:v>44197</c:v>
                </c:pt>
                <c:pt idx="5">
                  <c:v>44562</c:v>
                </c:pt>
                <c:pt idx="6">
                  <c:v>44927</c:v>
                </c:pt>
                <c:pt idx="7">
                  <c:v>45292</c:v>
                </c:pt>
              </c:numCache>
            </c:numRef>
          </c:cat>
          <c:val>
            <c:numRef>
              <c:f>'Forecast 7'!$C$2:$C$9</c:f>
              <c:numCache>
                <c:formatCode>General</c:formatCode>
                <c:ptCount val="8"/>
                <c:pt idx="5" formatCode="#,##0.00\ &quot;₽&quot;">
                  <c:v>26997589.379999999</c:v>
                </c:pt>
                <c:pt idx="6" formatCode="#,##0.00\ &quot;₽&quot;">
                  <c:v>22130771.788090829</c:v>
                </c:pt>
                <c:pt idx="7" formatCode="#,##0.00\ &quot;₽&quot;">
                  <c:v>30217872.368340638</c:v>
                </c:pt>
              </c:numCache>
            </c:numRef>
          </c:val>
          <c:smooth val="0"/>
          <c:extLst>
            <c:ext xmlns:c16="http://schemas.microsoft.com/office/drawing/2014/chart" uri="{C3380CC4-5D6E-409C-BE32-E72D297353CC}">
              <c16:uniqueId val="{00000001-7DE6-4BB6-86DB-55A941D447B4}"/>
            </c:ext>
          </c:extLst>
        </c:ser>
        <c:ser>
          <c:idx val="2"/>
          <c:order val="2"/>
          <c:tx>
            <c:strRef>
              <c:f>'Forecast 7'!$D$1</c:f>
              <c:strCache>
                <c:ptCount val="1"/>
                <c:pt idx="0">
                  <c:v>Lower Confidence Bound</c:v>
                </c:pt>
              </c:strCache>
            </c:strRef>
          </c:tx>
          <c:spPr>
            <a:ln w="12700" cap="rnd">
              <a:solidFill>
                <a:srgbClr val="ED7D31"/>
              </a:solidFill>
              <a:prstDash val="solid"/>
              <a:round/>
            </a:ln>
            <a:effectLst/>
          </c:spPr>
          <c:marker>
            <c:symbol val="none"/>
          </c:marker>
          <c:cat>
            <c:numRef>
              <c:f>'Forecast 7'!$A$2:$A$9</c:f>
              <c:numCache>
                <c:formatCode>[$-FC19]yyyy</c:formatCode>
                <c:ptCount val="8"/>
                <c:pt idx="0">
                  <c:v>42736</c:v>
                </c:pt>
                <c:pt idx="1">
                  <c:v>43101</c:v>
                </c:pt>
                <c:pt idx="2">
                  <c:v>43466</c:v>
                </c:pt>
                <c:pt idx="3">
                  <c:v>43831</c:v>
                </c:pt>
                <c:pt idx="4">
                  <c:v>44197</c:v>
                </c:pt>
                <c:pt idx="5">
                  <c:v>44562</c:v>
                </c:pt>
                <c:pt idx="6">
                  <c:v>44927</c:v>
                </c:pt>
                <c:pt idx="7">
                  <c:v>45292</c:v>
                </c:pt>
              </c:numCache>
            </c:numRef>
          </c:cat>
          <c:val>
            <c:numRef>
              <c:f>'Forecast 7'!$D$2:$D$9</c:f>
              <c:numCache>
                <c:formatCode>General</c:formatCode>
                <c:ptCount val="8"/>
                <c:pt idx="5" formatCode="#,##0.00\ &quot;₽&quot;">
                  <c:v>26997589.379999999</c:v>
                </c:pt>
                <c:pt idx="6" formatCode="#,##0.00\ &quot;₽&quot;">
                  <c:v>19251909.849358924</c:v>
                </c:pt>
                <c:pt idx="7" formatCode="#,##0.00\ &quot;₽&quot;">
                  <c:v>26342833.299701001</c:v>
                </c:pt>
              </c:numCache>
            </c:numRef>
          </c:val>
          <c:smooth val="0"/>
          <c:extLst>
            <c:ext xmlns:c16="http://schemas.microsoft.com/office/drawing/2014/chart" uri="{C3380CC4-5D6E-409C-BE32-E72D297353CC}">
              <c16:uniqueId val="{00000002-7DE6-4BB6-86DB-55A941D447B4}"/>
            </c:ext>
          </c:extLst>
        </c:ser>
        <c:ser>
          <c:idx val="3"/>
          <c:order val="3"/>
          <c:tx>
            <c:strRef>
              <c:f>'Forecast 7'!$E$1</c:f>
              <c:strCache>
                <c:ptCount val="1"/>
                <c:pt idx="0">
                  <c:v>Upper Confidence Bound</c:v>
                </c:pt>
              </c:strCache>
            </c:strRef>
          </c:tx>
          <c:spPr>
            <a:ln w="12700" cap="rnd">
              <a:solidFill>
                <a:srgbClr val="ED7D31"/>
              </a:solidFill>
              <a:prstDash val="solid"/>
              <a:round/>
            </a:ln>
            <a:effectLst/>
          </c:spPr>
          <c:marker>
            <c:symbol val="none"/>
          </c:marker>
          <c:cat>
            <c:numRef>
              <c:f>'Forecast 7'!$A$2:$A$9</c:f>
              <c:numCache>
                <c:formatCode>[$-FC19]yyyy</c:formatCode>
                <c:ptCount val="8"/>
                <c:pt idx="0">
                  <c:v>42736</c:v>
                </c:pt>
                <c:pt idx="1">
                  <c:v>43101</c:v>
                </c:pt>
                <c:pt idx="2">
                  <c:v>43466</c:v>
                </c:pt>
                <c:pt idx="3">
                  <c:v>43831</c:v>
                </c:pt>
                <c:pt idx="4">
                  <c:v>44197</c:v>
                </c:pt>
                <c:pt idx="5">
                  <c:v>44562</c:v>
                </c:pt>
                <c:pt idx="6">
                  <c:v>44927</c:v>
                </c:pt>
                <c:pt idx="7">
                  <c:v>45292</c:v>
                </c:pt>
              </c:numCache>
            </c:numRef>
          </c:cat>
          <c:val>
            <c:numRef>
              <c:f>'Forecast 7'!$E$2:$E$9</c:f>
              <c:numCache>
                <c:formatCode>General</c:formatCode>
                <c:ptCount val="8"/>
                <c:pt idx="5" formatCode="#,##0.00\ &quot;₽&quot;">
                  <c:v>26997589.379999999</c:v>
                </c:pt>
                <c:pt idx="6" formatCode="#,##0.00\ &quot;₽&quot;">
                  <c:v>25009633.726822734</c:v>
                </c:pt>
                <c:pt idx="7" formatCode="#,##0.00\ &quot;₽&quot;">
                  <c:v>34092911.436980277</c:v>
                </c:pt>
              </c:numCache>
            </c:numRef>
          </c:val>
          <c:smooth val="0"/>
          <c:extLst>
            <c:ext xmlns:c16="http://schemas.microsoft.com/office/drawing/2014/chart" uri="{C3380CC4-5D6E-409C-BE32-E72D297353CC}">
              <c16:uniqueId val="{00000003-7DE6-4BB6-86DB-55A941D447B4}"/>
            </c:ext>
          </c:extLst>
        </c:ser>
        <c:dLbls>
          <c:showLegendKey val="0"/>
          <c:showVal val="0"/>
          <c:showCatName val="0"/>
          <c:showSerName val="0"/>
          <c:showPercent val="0"/>
          <c:showBubbleSize val="0"/>
        </c:dLbls>
        <c:smooth val="0"/>
        <c:axId val="735659023"/>
        <c:axId val="735660271"/>
      </c:lineChart>
      <c:catAx>
        <c:axId val="735659023"/>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660271"/>
        <c:crosses val="autoZero"/>
        <c:auto val="1"/>
        <c:lblAlgn val="ctr"/>
        <c:lblOffset val="100"/>
        <c:noMultiLvlLbl val="0"/>
      </c:catAx>
      <c:valAx>
        <c:axId val="735660271"/>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6590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'forecast margin'!$B$2:$B$9</c:f>
              <c:numCache>
                <c:formatCode>0.00%</c:formatCode>
                <c:ptCount val="8"/>
                <c:pt idx="0">
                  <c:v>0.51091155126629628</c:v>
                </c:pt>
                <c:pt idx="1">
                  <c:v>0.57538159500922248</c:v>
                </c:pt>
                <c:pt idx="2">
                  <c:v>0.58090882713926717</c:v>
                </c:pt>
                <c:pt idx="3">
                  <c:v>0.57460508069201599</c:v>
                </c:pt>
                <c:pt idx="4">
                  <c:v>0.56462393089253571</c:v>
                </c:pt>
                <c:pt idx="5">
                  <c:v>0.57579243608718267</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D792-4F8D-9E13-A79705FBF6C4}"/>
            </c:ext>
          </c:extLst>
        </c:ser>
        <c:ser>
          <c:idx val="1"/>
          <c:order val="1"/>
          <c:spPr>
            <a:ln w="25400" cap="rnd">
              <a:solidFill>
                <a:schemeClr val="accent2"/>
              </a:solidFill>
              <a:round/>
            </a:ln>
            <a:effectLst/>
          </c:spPr>
          <c:marker>
            <c:symbol val="none"/>
          </c:marker>
          <c:cat>
            <c:numRef>
              <c:f>'forecast margin'!$A$2:$A$9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'forecast margin'!$C$2:$C$9</c:f>
              <c:numCache>
                <c:formatCode>General</c:formatCode>
                <c:ptCount val="8"/>
                <c:pt idx="5" formatCode="0.00%">
                  <c:v>0.57579243608718267</c:v>
                </c:pt>
                <c:pt idx="6" formatCode="0.00%">
                  <c:v>0.58004997071736297</c:v>
                </c:pt>
                <c:pt idx="7" formatCode="0.00%">
                  <c:v>0.58479281445696574</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1-D792-4F8D-9E13-A79705FBF6C4}"/>
            </c:ext>
          </c:extLst>
        </c:ser>
        <c:ser>
          <c:idx val="2"/>
          <c:order val="2"/>
          <c:spPr>
            <a:ln w="12700" cap="rnd">
              <a:solidFill>
                <a:srgbClr val="ED7D31"/>
              </a:solidFill>
              <a:prstDash val="solid"/>
              <a:round/>
            </a:ln>
            <a:effectLst/>
          </c:spPr>
          <c:marker>
            <c:symbol val="none"/>
          </c:marker>
          <c:cat>
            <c:numRef>
              <c:f>'forecast margin'!$A$2:$A$9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'forecast margin'!$D$2:$D$9</c:f>
              <c:numCache>
                <c:formatCode>General</c:formatCode>
                <c:ptCount val="8"/>
                <c:pt idx="5" formatCode="0.00%">
                  <c:v>0.57579243608718267</c:v>
                </c:pt>
                <c:pt idx="6" formatCode="0.00%">
                  <c:v>0.52945239043304926</c:v>
                </c:pt>
                <c:pt idx="7" formatCode="0.00%">
                  <c:v>0.51668687379254097</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2-D792-4F8D-9E13-A79705FBF6C4}"/>
            </c:ext>
          </c:extLst>
        </c:ser>
        <c:ser>
          <c:idx val="3"/>
          <c:order val="3"/>
          <c:spPr>
            <a:ln w="12700" cap="rnd">
              <a:solidFill>
                <a:srgbClr val="ED7D31"/>
              </a:solidFill>
              <a:prstDash val="solid"/>
              <a:round/>
            </a:ln>
            <a:effectLst/>
          </c:spPr>
          <c:marker>
            <c:symbol val="none"/>
          </c:marker>
          <c:cat>
            <c:numRef>
              <c:f>'forecast margin'!$A$2:$A$9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'forecast margin'!$E$2:$E$9</c:f>
              <c:numCache>
                <c:formatCode>General</c:formatCode>
                <c:ptCount val="8"/>
                <c:pt idx="5" formatCode="0.00%">
                  <c:v>0.57579243608718267</c:v>
                </c:pt>
                <c:pt idx="6" formatCode="0.00%">
                  <c:v>0.63064755100167669</c:v>
                </c:pt>
                <c:pt idx="7" formatCode="0.00%">
                  <c:v>0.65289875512139051</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D792-4F8D-9E13-A79705FBF6C4}"/>
            </c:ext>
          </c:extLst>
        </c:ser>
        <c:dLbls>
          <c:showLegendKey val="0"/>
          <c:showVal val="0"/>
          <c:showCatName val="0"/>
          <c:showSerName val="0"/>
          <c:showPercent val="0"/>
          <c:showBubbleSize val="0"/>
        </c:dLbls>
        <c:smooth val="0"/>
        <c:axId val="256340832"/>
        <c:axId val="256341664"/>
      </c:lineChart>
      <c:catAx>
        <c:axId val="25634083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341664"/>
        <c:crosses val="autoZero"/>
        <c:auto val="1"/>
        <c:lblAlgn val="ctr"/>
        <c:lblOffset val="100"/>
        <c:noMultiLvlLbl val="0"/>
      </c:catAx>
      <c:valAx>
        <c:axId val="256341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34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'cogs forecast'!$B$1</c:f>
              <c:strCache>
                <c:ptCount val="1"/>
                <c:pt idx="0">
                  <c:v>Себестоимость</c:v>
                </c:pt>
              </c:strCache>
            </c:strRef>
          </c:tx>
          <c:spPr>
            <a:ln w="28575" cap="rnd">
              <a:solidFill>
                <a:schemeClr val="accent1"/>
              </a:solidFill>
              <a:round/>
            </a:ln>
            <a:effectLst/>
          </c:spPr>
          <c:marker>
            <c:symbol val="none"/>
          </c:marker>
          <c:val>
            <c:numRef>
              <c:f>'cogs forecast'!$B$2:$B$9</c:f>
              <c:numCache>
                <c:formatCode>#,##0.00\ "₽"</c:formatCode>
                <c:ptCount val="8"/>
                <c:pt idx="0">
                  <c:v>67758349</c:v>
                </c:pt>
                <c:pt idx="1">
                  <c:v>63758835</c:v>
                </c:pt>
                <c:pt idx="2">
                  <c:v>53829247.719999999</c:v>
                </c:pt>
                <c:pt idx="3">
                  <c:v>56602228.890000008</c:v>
                </c:pt>
                <c:pt idx="4">
                  <c:v>62983953.140000001</c:v>
                </c:pt>
                <c:pt idx="5">
                  <c:v>67894674.179999992</c:v>
                </c:pt>
              </c:numCache>
            </c:numRef>
          </c:val>
          <c:smooth val="0"/>
          <c:extLst>
            <c:ext xmlns:c16="http://schemas.microsoft.com/office/drawing/2014/chart" uri="{C3380CC4-5D6E-409C-BE32-E72D297353CC}">
              <c16:uniqueId val="{00000000-70FA-4B65-8D64-16152C20F030}"/>
            </c:ext>
          </c:extLst>
        </c:ser>
        <c:ser>
          <c:idx val="1"/>
          <c:order val="1"/>
          <c:tx>
            <c:strRef>
              <c:f>'cogs forecast'!$C$1</c:f>
              <c:strCache>
                <c:ptCount val="1"/>
                <c:pt idx="0">
                  <c:v>Forecast(Себестоимость)</c:v>
                </c:pt>
              </c:strCache>
            </c:strRef>
          </c:tx>
          <c:spPr>
            <a:ln w="25400" cap="rnd">
              <a:solidFill>
                <a:schemeClr val="accent2"/>
              </a:solidFill>
              <a:round/>
            </a:ln>
            <a:effectLst/>
          </c:spPr>
          <c:marker>
            <c:symbol val="none"/>
          </c:marker>
          <c:cat>
            <c:numRef>
              <c:f>'cogs forecast'!$A$2:$A$9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'cogs forecast'!$C$2:$C$9</c:f>
              <c:numCache>
                <c:formatCode>General</c:formatCode>
                <c:ptCount val="8"/>
                <c:pt idx="5" formatCode="#,##0.00\ &quot;₽&quot;">
                  <c:v>67894674.179999992</c:v>
                </c:pt>
                <c:pt idx="6" formatCode="#,##0.00\ &quot;₽&quot;">
                  <c:v>65484278.716918424</c:v>
                </c:pt>
                <c:pt idx="7" formatCode="#,##0.00\ &quot;₽&quot;">
                  <c:v>69022202.97669512</c:v>
                </c:pt>
              </c:numCache>
            </c:numRef>
          </c:val>
          <c:smooth val="0"/>
          <c:extLst>
            <c:ext xmlns:c16="http://schemas.microsoft.com/office/drawing/2014/chart" uri="{C3380CC4-5D6E-409C-BE32-E72D297353CC}">
              <c16:uniqueId val="{00000001-70FA-4B65-8D64-16152C20F030}"/>
            </c:ext>
          </c:extLst>
        </c:ser>
        <c:ser>
          <c:idx val="2"/>
          <c:order val="2"/>
          <c:tx>
            <c:strRef>
              <c:f>'cogs forecast'!$D$1</c:f>
              <c:strCache>
                <c:ptCount val="1"/>
                <c:pt idx="0">
                  <c:v>Lower Confidence Bound(Себестоимость)</c:v>
                </c:pt>
              </c:strCache>
            </c:strRef>
          </c:tx>
          <c:spPr>
            <a:ln w="12700" cap="rnd">
              <a:solidFill>
                <a:srgbClr val="ED7D31"/>
              </a:solidFill>
              <a:prstDash val="solid"/>
              <a:round/>
            </a:ln>
            <a:effectLst/>
          </c:spPr>
          <c:marker>
            <c:symbol val="none"/>
          </c:marker>
          <c:cat>
            <c:numRef>
              <c:f>'cogs forecast'!$A$2:$A$9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'cogs forecast'!$D$2:$D$9</c:f>
              <c:numCache>
                <c:formatCode>General</c:formatCode>
                <c:ptCount val="8"/>
                <c:pt idx="5" formatCode="#,##0.00\ &quot;₽&quot;">
                  <c:v>67894674.179999992</c:v>
                </c:pt>
                <c:pt idx="6" formatCode="#,##0.00\ &quot;₽&quot;">
                  <c:v>53474854.405093953</c:v>
                </c:pt>
                <c:pt idx="7" formatCode="#,##0.00\ &quot;₽&quot;">
                  <c:v>52857138.659408212</c:v>
                </c:pt>
              </c:numCache>
            </c:numRef>
          </c:val>
          <c:smooth val="0"/>
          <c:extLst>
            <c:ext xmlns:c16="http://schemas.microsoft.com/office/drawing/2014/chart" uri="{C3380CC4-5D6E-409C-BE32-E72D297353CC}">
              <c16:uniqueId val="{00000002-70FA-4B65-8D64-16152C20F030}"/>
            </c:ext>
          </c:extLst>
        </c:ser>
        <c:ser>
          <c:idx val="3"/>
          <c:order val="3"/>
          <c:tx>
            <c:strRef>
              <c:f>'cogs forecast'!$E$1</c:f>
              <c:strCache>
                <c:ptCount val="1"/>
                <c:pt idx="0">
                  <c:v>Upper Confidence Bound(Себестоимость)</c:v>
                </c:pt>
              </c:strCache>
            </c:strRef>
          </c:tx>
          <c:spPr>
            <a:ln w="12700" cap="rnd">
              <a:solidFill>
                <a:srgbClr val="ED7D31"/>
              </a:solidFill>
              <a:prstDash val="solid"/>
              <a:round/>
            </a:ln>
            <a:effectLst/>
          </c:spPr>
          <c:marker>
            <c:symbol val="none"/>
          </c:marker>
          <c:cat>
            <c:numRef>
              <c:f>'cogs forecast'!$A$2:$A$9</c:f>
              <c:numCache>
                <c:formatCode>yyyy</c:formatCode>
                <c:ptCount val="8"/>
                <c:pt idx="0">
                  <c:v>42736</c:v>
                </c:pt>
                <c:pt idx="1">
                  <c:v>43101</c:v>
                </c:pt>
                <c:pt idx="2">
                  <c:v>43466</c:v>
                </c:pt>
                <c:pt idx="3">
                  <c:v>43831</c:v>
                </c:pt>
                <c:pt idx="4">
                  <c:v>44197</c:v>
                </c:pt>
                <c:pt idx="5">
                  <c:v>44562</c:v>
                </c:pt>
                <c:pt idx="6">
                  <c:v>44927</c:v>
                </c:pt>
                <c:pt idx="7">
                  <c:v>45292</c:v>
                </c:pt>
              </c:numCache>
            </c:numRef>
          </c:cat>
          <c:val>
            <c:numRef>
              <c:f>'cogs forecast'!$E$2:$E$9</c:f>
              <c:numCache>
                <c:formatCode>General</c:formatCode>
                <c:ptCount val="8"/>
                <c:pt idx="5" formatCode="#,##0.00\ &quot;₽&quot;">
                  <c:v>67894674.179999992</c:v>
                </c:pt>
                <c:pt idx="6" formatCode="#,##0.00\ &quot;₽&quot;">
                  <c:v>77493703.028742895</c:v>
                </c:pt>
                <c:pt idx="7" formatCode="#,##0.00\ &quot;₽&quot;">
                  <c:v>85187267.293982029</c:v>
                </c:pt>
              </c:numCache>
            </c:numRef>
          </c:val>
          <c:smooth val="0"/>
          <c:extLst>
            <c:ext xmlns:c16="http://schemas.microsoft.com/office/drawing/2014/chart" uri="{C3380CC4-5D6E-409C-BE32-E72D297353CC}">
              <c16:uniqueId val="{00000003-70FA-4B65-8D64-16152C20F030}"/>
            </c:ext>
          </c:extLst>
        </c:ser>
        <c:dLbls>
          <c:showLegendKey val="0"/>
          <c:showVal val="0"/>
          <c:showCatName val="0"/>
          <c:showSerName val="0"/>
          <c:showPercent val="0"/>
          <c:showBubbleSize val="0"/>
        </c:dLbls>
        <c:smooth val="0"/>
        <c:axId val="1780874736"/>
        <c:axId val="1780872656"/>
      </c:lineChart>
      <c:catAx>
        <c:axId val="178087473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872656"/>
        <c:crosses val="autoZero"/>
        <c:auto val="1"/>
        <c:lblAlgn val="ctr"/>
        <c:lblOffset val="100"/>
        <c:noMultiLvlLbl val="0"/>
      </c:catAx>
      <c:valAx>
        <c:axId val="1780872656"/>
        <c:scaling>
          <c:orientation val="minMax"/>
          <c:min val="50000000"/>
        </c:scaling>
        <c:delete val="0"/>
        <c:axPos val="l"/>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874736"/>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c:f>
              <c:strCache>
                <c:ptCount val="1"/>
                <c:pt idx="0">
                  <c:v>Total</c:v>
                </c:pt>
              </c:strCache>
            </c:strRef>
          </c:tx>
          <c:spPr>
            <a:ln w="28575" cap="rnd">
              <a:solidFill>
                <a:schemeClr val="accent1"/>
              </a:solidFill>
              <a:round/>
            </a:ln>
            <a:effectLst/>
          </c:spPr>
          <c:marker>
            <c:symbol val="none"/>
          </c:marker>
          <c:cat>
            <c:strRef>
              <c:f>'Pivot Tables'!$A$4:$A$76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Tables'!$B$4:$B$76</c:f>
              <c:numCache>
                <c:formatCode>#,##0\ [$₽-419]</c:formatCode>
                <c:ptCount val="72"/>
                <c:pt idx="0">
                  <c:v>8410477</c:v>
                </c:pt>
                <c:pt idx="1">
                  <c:v>8781008</c:v>
                </c:pt>
                <c:pt idx="2">
                  <c:v>9994730</c:v>
                </c:pt>
                <c:pt idx="3">
                  <c:v>10482743</c:v>
                </c:pt>
                <c:pt idx="4">
                  <c:v>13324007</c:v>
                </c:pt>
                <c:pt idx="5">
                  <c:v>12665976</c:v>
                </c:pt>
                <c:pt idx="6">
                  <c:v>13362147</c:v>
                </c:pt>
                <c:pt idx="7">
                  <c:v>12258656</c:v>
                </c:pt>
                <c:pt idx="8">
                  <c:v>13790745</c:v>
                </c:pt>
                <c:pt idx="9">
                  <c:v>13104174</c:v>
                </c:pt>
                <c:pt idx="10">
                  <c:v>10410288</c:v>
                </c:pt>
                <c:pt idx="11">
                  <c:v>14161423</c:v>
                </c:pt>
                <c:pt idx="12">
                  <c:v>8666531</c:v>
                </c:pt>
                <c:pt idx="13">
                  <c:v>9471679</c:v>
                </c:pt>
                <c:pt idx="14">
                  <c:v>11074954</c:v>
                </c:pt>
                <c:pt idx="15">
                  <c:v>13081063</c:v>
                </c:pt>
                <c:pt idx="16">
                  <c:v>13754112</c:v>
                </c:pt>
                <c:pt idx="17">
                  <c:v>12515143</c:v>
                </c:pt>
                <c:pt idx="18">
                  <c:v>13934231</c:v>
                </c:pt>
                <c:pt idx="19">
                  <c:v>12916943</c:v>
                </c:pt>
                <c:pt idx="20">
                  <c:v>15072902</c:v>
                </c:pt>
                <c:pt idx="21">
                  <c:v>14590559</c:v>
                </c:pt>
                <c:pt idx="22">
                  <c:v>12189742</c:v>
                </c:pt>
                <c:pt idx="23">
                  <c:v>12901234</c:v>
                </c:pt>
                <c:pt idx="24">
                  <c:v>6550883</c:v>
                </c:pt>
                <c:pt idx="25">
                  <c:v>8363283</c:v>
                </c:pt>
                <c:pt idx="26">
                  <c:v>7935684</c:v>
                </c:pt>
                <c:pt idx="27">
                  <c:v>11031285</c:v>
                </c:pt>
                <c:pt idx="28">
                  <c:v>12192533</c:v>
                </c:pt>
                <c:pt idx="29">
                  <c:v>10036330</c:v>
                </c:pt>
                <c:pt idx="30">
                  <c:v>13989437</c:v>
                </c:pt>
                <c:pt idx="31">
                  <c:v>11808377</c:v>
                </c:pt>
                <c:pt idx="32">
                  <c:v>13561815</c:v>
                </c:pt>
                <c:pt idx="33">
                  <c:v>9864028</c:v>
                </c:pt>
                <c:pt idx="34">
                  <c:v>10806325</c:v>
                </c:pt>
                <c:pt idx="35">
                  <c:v>11999947</c:v>
                </c:pt>
                <c:pt idx="36">
                  <c:v>5978967</c:v>
                </c:pt>
                <c:pt idx="37">
                  <c:v>7583876</c:v>
                </c:pt>
                <c:pt idx="38">
                  <c:v>12524631</c:v>
                </c:pt>
                <c:pt idx="39">
                  <c:v>11577352.359999999</c:v>
                </c:pt>
                <c:pt idx="40">
                  <c:v>12947927.33</c:v>
                </c:pt>
                <c:pt idx="41">
                  <c:v>11902556</c:v>
                </c:pt>
                <c:pt idx="42">
                  <c:v>11413037</c:v>
                </c:pt>
                <c:pt idx="43">
                  <c:v>11491012</c:v>
                </c:pt>
                <c:pt idx="44">
                  <c:v>10323500</c:v>
                </c:pt>
                <c:pt idx="45">
                  <c:v>12795408</c:v>
                </c:pt>
                <c:pt idx="46">
                  <c:v>12202888</c:v>
                </c:pt>
                <c:pt idx="47">
                  <c:v>12398731</c:v>
                </c:pt>
                <c:pt idx="48">
                  <c:v>6667726</c:v>
                </c:pt>
                <c:pt idx="49">
                  <c:v>7611996</c:v>
                </c:pt>
                <c:pt idx="50">
                  <c:v>12074039</c:v>
                </c:pt>
                <c:pt idx="51">
                  <c:v>13512832</c:v>
                </c:pt>
                <c:pt idx="52">
                  <c:v>11412354.42</c:v>
                </c:pt>
                <c:pt idx="53">
                  <c:v>11694165</c:v>
                </c:pt>
                <c:pt idx="54">
                  <c:v>10900540</c:v>
                </c:pt>
                <c:pt idx="55">
                  <c:v>11301926</c:v>
                </c:pt>
                <c:pt idx="56">
                  <c:v>12700295</c:v>
                </c:pt>
                <c:pt idx="57">
                  <c:v>11905965</c:v>
                </c:pt>
                <c:pt idx="58">
                  <c:v>9747352</c:v>
                </c:pt>
                <c:pt idx="59">
                  <c:v>22718925</c:v>
                </c:pt>
                <c:pt idx="60">
                  <c:v>6179301.2800000003</c:v>
                </c:pt>
                <c:pt idx="61">
                  <c:v>8244750.7699999996</c:v>
                </c:pt>
                <c:pt idx="62">
                  <c:v>17640985.559999999</c:v>
                </c:pt>
                <c:pt idx="63">
                  <c:v>16545016.859999999</c:v>
                </c:pt>
                <c:pt idx="64">
                  <c:v>14569736.24</c:v>
                </c:pt>
                <c:pt idx="65">
                  <c:v>14177801.85</c:v>
                </c:pt>
                <c:pt idx="66">
                  <c:v>12722329.810000001</c:v>
                </c:pt>
                <c:pt idx="67">
                  <c:v>14065414.59</c:v>
                </c:pt>
                <c:pt idx="68">
                  <c:v>13465585.890000001</c:v>
                </c:pt>
                <c:pt idx="69">
                  <c:v>16183936.4</c:v>
                </c:pt>
                <c:pt idx="70">
                  <c:v>10971669.289999999</c:v>
                </c:pt>
                <c:pt idx="71">
                  <c:v>14337958.02</c:v>
                </c:pt>
              </c:numCache>
            </c:numRef>
          </c:val>
          <c:smooth val="0"/>
          <c:extLst>
            <c:ext xmlns:c16="http://schemas.microsoft.com/office/drawing/2014/chart" uri="{C3380CC4-5D6E-409C-BE32-E72D297353CC}">
              <c16:uniqueId val="{00000000-CA01-4483-B743-C57CF926D796}"/>
            </c:ext>
          </c:extLst>
        </c:ser>
        <c:dLbls>
          <c:showLegendKey val="0"/>
          <c:showVal val="0"/>
          <c:showCatName val="0"/>
          <c:showSerName val="0"/>
          <c:showPercent val="0"/>
          <c:showBubbleSize val="0"/>
        </c:dLbls>
        <c:smooth val="0"/>
        <c:axId val="2064202447"/>
        <c:axId val="2064203279"/>
      </c:lineChart>
      <c:catAx>
        <c:axId val="206420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4203279"/>
        <c:crosses val="autoZero"/>
        <c:auto val="1"/>
        <c:lblAlgn val="ctr"/>
        <c:lblOffset val="100"/>
        <c:noMultiLvlLbl val="0"/>
      </c:catAx>
      <c:valAx>
        <c:axId val="2064203279"/>
        <c:scaling>
          <c:orientation val="minMax"/>
          <c:min val="5000000"/>
        </c:scaling>
        <c:delete val="0"/>
        <c:axPos val="l"/>
        <c:majorGridlines>
          <c:spPr>
            <a:ln w="9525" cap="flat" cmpd="sng" algn="ctr">
              <a:solidFill>
                <a:schemeClr val="tx1">
                  <a:lumMod val="15000"/>
                  <a:lumOff val="85000"/>
                </a:schemeClr>
              </a:solidFill>
              <a:round/>
            </a:ln>
            <a:effectLst/>
          </c:spPr>
        </c:majorGridlines>
        <c:numFmt formatCode="#,##0\ [$₽-419]"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4202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Tables!PivotTable6</c:name>
    <c:fmtId val="2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F7DEB8-94FB-4492-9048-6F44A5034757}"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14A9583-C9E3-40BC-9B35-ABCC3FD542F0}"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8F5CD5A-8C1E-4387-96D2-F8F9A4CDA17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0EC1B90-F540-4191-A10A-B4A36753A1E3}"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36680C6-8DBC-4019-B103-62E9869134F8}"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DA3BC09-1B15-4260-97F3-A9A4125362F4}"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'Pivot Tables'!$E$30:$E$35</c:f>
              <c:strCache>
                <c:ptCount val="1"/>
                <c:pt idx="0">
                  <c:v>Total</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2-F2F0-4E5D-8917-47F5F770CC4C}"/>
              </c:ext>
            </c:extLst>
          </c:dPt>
          <c:dLbls>
            <c:dLbl>
              <c:idx val="0"/>
              <c:tx>
                <c:rich>
                  <a:bodyPr/>
                  <a:lstStyle/>
                  <a:p>
                    <a:fld id="{C9F7DEB8-94FB-4492-9048-6F44A503475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2F0-4E5D-8917-47F5F770CC4C}"/>
                </c:ext>
              </c:extLst>
            </c:dLbl>
            <c:dLbl>
              <c:idx val="1"/>
              <c:tx>
                <c:rich>
                  <a:bodyPr/>
                  <a:lstStyle/>
                  <a:p>
                    <a:fld id="{314A9583-C9E3-40BC-9B35-ABCC3FD542F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2F0-4E5D-8917-47F5F770CC4C}"/>
                </c:ext>
              </c:extLst>
            </c:dLbl>
            <c:dLbl>
              <c:idx val="2"/>
              <c:tx>
                <c:rich>
                  <a:bodyPr/>
                  <a:lstStyle/>
                  <a:p>
                    <a:fld id="{A8F5CD5A-8C1E-4387-96D2-F8F9A4CDA17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2F0-4E5D-8917-47F5F770CC4C}"/>
                </c:ext>
              </c:extLst>
            </c:dLbl>
            <c:dLbl>
              <c:idx val="3"/>
              <c:tx>
                <c:rich>
                  <a:bodyPr/>
                  <a:lstStyle/>
                  <a:p>
                    <a:fld id="{A0EC1B90-F540-4191-A10A-B4A36753A1E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2F0-4E5D-8917-47F5F770CC4C}"/>
                </c:ext>
              </c:extLst>
            </c:dLbl>
            <c:dLbl>
              <c:idx val="4"/>
              <c:tx>
                <c:rich>
                  <a:bodyPr/>
                  <a:lstStyle/>
                  <a:p>
                    <a:fld id="{136680C6-8DBC-4019-B103-62E9869134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2F0-4E5D-8917-47F5F770CC4C}"/>
                </c:ext>
              </c:extLst>
            </c:dLbl>
            <c:dLbl>
              <c:idx val="5"/>
              <c:tx>
                <c:rich>
                  <a:bodyPr/>
                  <a:lstStyle/>
                  <a:p>
                    <a:fld id="{CDA3BC09-1B15-4260-97F3-A9A4125362F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2F0-4E5D-8917-47F5F770CC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Tables'!$E$30:$E$35</c:f>
              <c:strCache>
                <c:ptCount val="6"/>
                <c:pt idx="0">
                  <c:v>2017</c:v>
                </c:pt>
                <c:pt idx="1">
                  <c:v>2018</c:v>
                </c:pt>
                <c:pt idx="2">
                  <c:v>2019</c:v>
                </c:pt>
                <c:pt idx="3">
                  <c:v>2020</c:v>
                </c:pt>
                <c:pt idx="4">
                  <c:v>2021</c:v>
                </c:pt>
                <c:pt idx="5">
                  <c:v>2022</c:v>
                </c:pt>
              </c:strCache>
            </c:strRef>
          </c:cat>
          <c:val>
            <c:numRef>
              <c:f>'Pivot Tables'!$E$30:$E$35</c:f>
              <c:numCache>
                <c:formatCode>0</c:formatCode>
                <c:ptCount val="6"/>
                <c:pt idx="0">
                  <c:v>140746374</c:v>
                </c:pt>
                <c:pt idx="1">
                  <c:v>150169093</c:v>
                </c:pt>
                <c:pt idx="2">
                  <c:v>128139927</c:v>
                </c:pt>
                <c:pt idx="3">
                  <c:v>133139885.69</c:v>
                </c:pt>
                <c:pt idx="4">
                  <c:v>142248115.42000002</c:v>
                </c:pt>
                <c:pt idx="5">
                  <c:v>159104486.56000003</c:v>
                </c:pt>
              </c:numCache>
            </c:numRef>
          </c:val>
          <c:smooth val="0"/>
          <c:extLst>
            <c:ext xmlns:c15="http://schemas.microsoft.com/office/drawing/2012/chart" uri="{02D57815-91ED-43cb-92C2-25804820EDAC}">
              <c15:datalabelsRange>
                <c15:f>'Pivot Tables'!$E$30:$E$35</c15:f>
                <c15:dlblRangeCache>
                  <c:ptCount val="6"/>
                  <c:pt idx="1">
                    <c:v>6.69%</c:v>
                  </c:pt>
                  <c:pt idx="2">
                    <c:v>-14.67%</c:v>
                  </c:pt>
                  <c:pt idx="3">
                    <c:v>3.90%</c:v>
                  </c:pt>
                  <c:pt idx="4">
                    <c:v>6.84%</c:v>
                  </c:pt>
                  <c:pt idx="5">
                    <c:v>11.85%</c:v>
                  </c:pt>
                </c15:dlblRangeCache>
              </c15:datalabelsRange>
            </c:ext>
            <c:ext xmlns:c16="http://schemas.microsoft.com/office/drawing/2014/chart" uri="{C3380CC4-5D6E-409C-BE32-E72D297353CC}">
              <c16:uniqueId val="{00000000-F2F0-4E5D-8917-47F5F770CC4C}"/>
            </c:ext>
          </c:extLst>
        </c:ser>
        <c:dLbls>
          <c:showLegendKey val="0"/>
          <c:showVal val="0"/>
          <c:showCatName val="0"/>
          <c:showSerName val="0"/>
          <c:showPercent val="0"/>
          <c:showBubbleSize val="0"/>
        </c:dLbls>
        <c:smooth val="0"/>
        <c:axId val="22774783"/>
        <c:axId val="22770207"/>
      </c:lineChart>
      <c:catAx>
        <c:axId val="2277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70207"/>
        <c:crosses val="autoZero"/>
        <c:auto val="1"/>
        <c:lblAlgn val="ctr"/>
        <c:lblOffset val="100"/>
        <c:noMultiLvlLbl val="0"/>
      </c:catAx>
      <c:valAx>
        <c:axId val="22770207"/>
        <c:scaling>
          <c:orientation val="minMax"/>
          <c:min val="12000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7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Tables!PivotTable7</c:name>
    <c:fmtId val="3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B3B3B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Tables'!$L$3</c:f>
              <c:strCache>
                <c:ptCount val="1"/>
                <c:pt idx="0">
                  <c:v>Валовaя прибыль</c:v>
                </c:pt>
              </c:strCache>
            </c:strRef>
          </c:tx>
          <c:spPr>
            <a:solidFill>
              <a:schemeClr val="accent1"/>
            </a:solidFill>
            <a:ln>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Tables'!$L$4:$L$76</c:f>
              <c:numCache>
                <c:formatCode>#,##0.00\ [$₽-419]</c:formatCode>
                <c:ptCount val="72"/>
                <c:pt idx="0">
                  <c:v>3638663</c:v>
                </c:pt>
                <c:pt idx="1">
                  <c:v>3409234</c:v>
                </c:pt>
                <c:pt idx="2">
                  <c:v>4516140</c:v>
                </c:pt>
                <c:pt idx="3">
                  <c:v>4954030</c:v>
                </c:pt>
                <c:pt idx="4">
                  <c:v>6963004</c:v>
                </c:pt>
                <c:pt idx="5">
                  <c:v>6842361</c:v>
                </c:pt>
                <c:pt idx="6">
                  <c:v>7300856</c:v>
                </c:pt>
                <c:pt idx="7">
                  <c:v>7099490</c:v>
                </c:pt>
                <c:pt idx="8">
                  <c:v>7641576</c:v>
                </c:pt>
                <c:pt idx="9">
                  <c:v>7378813</c:v>
                </c:pt>
                <c:pt idx="10">
                  <c:v>5693830</c:v>
                </c:pt>
                <c:pt idx="11">
                  <c:v>7550028</c:v>
                </c:pt>
                <c:pt idx="12">
                  <c:v>4909955</c:v>
                </c:pt>
                <c:pt idx="13">
                  <c:v>5342250</c:v>
                </c:pt>
                <c:pt idx="14">
                  <c:v>7035981</c:v>
                </c:pt>
                <c:pt idx="15">
                  <c:v>7896982</c:v>
                </c:pt>
                <c:pt idx="16">
                  <c:v>7503605</c:v>
                </c:pt>
                <c:pt idx="17">
                  <c:v>6986734</c:v>
                </c:pt>
                <c:pt idx="18">
                  <c:v>8563322</c:v>
                </c:pt>
                <c:pt idx="19">
                  <c:v>6720294</c:v>
                </c:pt>
                <c:pt idx="20">
                  <c:v>8346241</c:v>
                </c:pt>
                <c:pt idx="21">
                  <c:v>8852750</c:v>
                </c:pt>
                <c:pt idx="22">
                  <c:v>6894395</c:v>
                </c:pt>
                <c:pt idx="23">
                  <c:v>7357749</c:v>
                </c:pt>
                <c:pt idx="24">
                  <c:v>3843345</c:v>
                </c:pt>
                <c:pt idx="25">
                  <c:v>5081036</c:v>
                </c:pt>
                <c:pt idx="26">
                  <c:v>4442683.3499999996</c:v>
                </c:pt>
                <c:pt idx="27">
                  <c:v>6567055.5800000001</c:v>
                </c:pt>
                <c:pt idx="28">
                  <c:v>7536732.4299999997</c:v>
                </c:pt>
                <c:pt idx="29">
                  <c:v>6214235.6500000004</c:v>
                </c:pt>
                <c:pt idx="30">
                  <c:v>8695709.3200000003</c:v>
                </c:pt>
                <c:pt idx="31">
                  <c:v>7000822.9699999997</c:v>
                </c:pt>
                <c:pt idx="32">
                  <c:v>7033157</c:v>
                </c:pt>
                <c:pt idx="33">
                  <c:v>5671438.25</c:v>
                </c:pt>
                <c:pt idx="34">
                  <c:v>6244272.7300000004</c:v>
                </c:pt>
                <c:pt idx="35">
                  <c:v>5980191</c:v>
                </c:pt>
                <c:pt idx="36">
                  <c:v>3440972.89</c:v>
                </c:pt>
                <c:pt idx="37">
                  <c:v>4214107.07</c:v>
                </c:pt>
                <c:pt idx="38">
                  <c:v>6345481.04</c:v>
                </c:pt>
                <c:pt idx="39">
                  <c:v>6744885.0899999999</c:v>
                </c:pt>
                <c:pt idx="40">
                  <c:v>7604677.0700000003</c:v>
                </c:pt>
                <c:pt idx="41">
                  <c:v>6778882.9699999997</c:v>
                </c:pt>
                <c:pt idx="42">
                  <c:v>6610790.4000000004</c:v>
                </c:pt>
                <c:pt idx="43">
                  <c:v>6820788.79</c:v>
                </c:pt>
                <c:pt idx="44">
                  <c:v>6007051.6600000001</c:v>
                </c:pt>
                <c:pt idx="45">
                  <c:v>7317146.4100000001</c:v>
                </c:pt>
                <c:pt idx="46">
                  <c:v>7446244.5999999996</c:v>
                </c:pt>
                <c:pt idx="47">
                  <c:v>7206628.8099999996</c:v>
                </c:pt>
                <c:pt idx="48">
                  <c:v>4002062.39</c:v>
                </c:pt>
                <c:pt idx="49">
                  <c:v>4815798.22</c:v>
                </c:pt>
                <c:pt idx="50">
                  <c:v>6549100.1299999999</c:v>
                </c:pt>
                <c:pt idx="51">
                  <c:v>7869854.8399999999</c:v>
                </c:pt>
                <c:pt idx="52">
                  <c:v>6606790.9900000002</c:v>
                </c:pt>
                <c:pt idx="53">
                  <c:v>6440078.2400000002</c:v>
                </c:pt>
                <c:pt idx="54">
                  <c:v>5917021.3700000001</c:v>
                </c:pt>
                <c:pt idx="55">
                  <c:v>6422778.0599999996</c:v>
                </c:pt>
                <c:pt idx="56">
                  <c:v>6878744.2199999997</c:v>
                </c:pt>
                <c:pt idx="57">
                  <c:v>6707314.29</c:v>
                </c:pt>
                <c:pt idx="58">
                  <c:v>5487120.4400000004</c:v>
                </c:pt>
                <c:pt idx="59">
                  <c:v>11567499.09</c:v>
                </c:pt>
                <c:pt idx="60">
                  <c:v>3573196.79</c:v>
                </c:pt>
                <c:pt idx="61">
                  <c:v>4792558</c:v>
                </c:pt>
                <c:pt idx="62">
                  <c:v>8899624.6899999995</c:v>
                </c:pt>
                <c:pt idx="63">
                  <c:v>9238973.9700000007</c:v>
                </c:pt>
                <c:pt idx="64">
                  <c:v>8522537.9800000004</c:v>
                </c:pt>
                <c:pt idx="65">
                  <c:v>8457617.5800000001</c:v>
                </c:pt>
                <c:pt idx="66">
                  <c:v>7584969.2199999997</c:v>
                </c:pt>
                <c:pt idx="67">
                  <c:v>7959879.0700000003</c:v>
                </c:pt>
                <c:pt idx="68">
                  <c:v>7681890.9699999997</c:v>
                </c:pt>
                <c:pt idx="69">
                  <c:v>9604908.9800000004</c:v>
                </c:pt>
                <c:pt idx="70">
                  <c:v>6577299.6600000001</c:v>
                </c:pt>
                <c:pt idx="71">
                  <c:v>8316355.4699999997</c:v>
                </c:pt>
              </c:numCache>
            </c:numRef>
          </c:val>
          <c:extLst>
            <c:ext xmlns:c16="http://schemas.microsoft.com/office/drawing/2014/chart" uri="{C3380CC4-5D6E-409C-BE32-E72D297353CC}">
              <c16:uniqueId val="{00000000-EB86-4EE8-947D-68DF71A0C4B6}"/>
            </c:ext>
          </c:extLst>
        </c:ser>
        <c:ser>
          <c:idx val="1"/>
          <c:order val="1"/>
          <c:tx>
            <c:strRef>
              <c:f>'Pivot Tables'!$M$3</c:f>
              <c:strCache>
                <c:ptCount val="1"/>
                <c:pt idx="0">
                  <c:v>Расходы суммарнo</c:v>
                </c:pt>
              </c:strCache>
            </c:strRef>
          </c:tx>
          <c:spPr>
            <a:solidFill>
              <a:srgbClr val="B3B3B3"/>
            </a:solidFill>
            <a:ln w="25400">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Tables'!$M$4:$M$76</c:f>
              <c:numCache>
                <c:formatCode>General</c:formatCode>
                <c:ptCount val="72"/>
                <c:pt idx="0">
                  <c:v>2440127</c:v>
                </c:pt>
                <c:pt idx="1">
                  <c:v>3074358</c:v>
                </c:pt>
                <c:pt idx="2">
                  <c:v>3423016</c:v>
                </c:pt>
                <c:pt idx="3">
                  <c:v>4356975</c:v>
                </c:pt>
                <c:pt idx="4">
                  <c:v>4780952</c:v>
                </c:pt>
                <c:pt idx="5">
                  <c:v>5154070</c:v>
                </c:pt>
                <c:pt idx="6">
                  <c:v>4549423</c:v>
                </c:pt>
                <c:pt idx="7">
                  <c:v>5663979</c:v>
                </c:pt>
                <c:pt idx="8">
                  <c:v>5837142</c:v>
                </c:pt>
                <c:pt idx="9">
                  <c:v>6752826</c:v>
                </c:pt>
                <c:pt idx="10">
                  <c:v>5464864</c:v>
                </c:pt>
                <c:pt idx="11">
                  <c:v>6030316</c:v>
                </c:pt>
                <c:pt idx="12">
                  <c:v>4706978</c:v>
                </c:pt>
                <c:pt idx="13">
                  <c:v>5414096</c:v>
                </c:pt>
                <c:pt idx="14">
                  <c:v>5015918</c:v>
                </c:pt>
                <c:pt idx="15">
                  <c:v>5200058</c:v>
                </c:pt>
                <c:pt idx="16">
                  <c:v>5792034</c:v>
                </c:pt>
                <c:pt idx="17">
                  <c:v>5501146</c:v>
                </c:pt>
                <c:pt idx="18">
                  <c:v>5977910</c:v>
                </c:pt>
                <c:pt idx="19">
                  <c:v>6015274</c:v>
                </c:pt>
                <c:pt idx="20">
                  <c:v>5797201</c:v>
                </c:pt>
                <c:pt idx="21">
                  <c:v>5848257</c:v>
                </c:pt>
                <c:pt idx="22">
                  <c:v>5491906</c:v>
                </c:pt>
                <c:pt idx="23">
                  <c:v>5557663</c:v>
                </c:pt>
                <c:pt idx="24">
                  <c:v>4333388</c:v>
                </c:pt>
                <c:pt idx="25">
                  <c:v>4455002</c:v>
                </c:pt>
                <c:pt idx="26">
                  <c:v>4065839</c:v>
                </c:pt>
                <c:pt idx="27">
                  <c:v>2852762</c:v>
                </c:pt>
                <c:pt idx="28">
                  <c:v>5026397.63</c:v>
                </c:pt>
                <c:pt idx="29">
                  <c:v>5378859.3200000003</c:v>
                </c:pt>
                <c:pt idx="30">
                  <c:v>5718625</c:v>
                </c:pt>
                <c:pt idx="31">
                  <c:v>5853930</c:v>
                </c:pt>
                <c:pt idx="32">
                  <c:v>5713072</c:v>
                </c:pt>
                <c:pt idx="33">
                  <c:v>5866469</c:v>
                </c:pt>
                <c:pt idx="34">
                  <c:v>5600507</c:v>
                </c:pt>
                <c:pt idx="35">
                  <c:v>6123695</c:v>
                </c:pt>
                <c:pt idx="36">
                  <c:v>4783739</c:v>
                </c:pt>
                <c:pt idx="37">
                  <c:v>4714552</c:v>
                </c:pt>
                <c:pt idx="38">
                  <c:v>4295637</c:v>
                </c:pt>
                <c:pt idx="39">
                  <c:v>4179731.69</c:v>
                </c:pt>
                <c:pt idx="40">
                  <c:v>4511100.72</c:v>
                </c:pt>
                <c:pt idx="41">
                  <c:v>4291480.7</c:v>
                </c:pt>
                <c:pt idx="42">
                  <c:v>4388811</c:v>
                </c:pt>
                <c:pt idx="43">
                  <c:v>4701126</c:v>
                </c:pt>
                <c:pt idx="44">
                  <c:v>4273476</c:v>
                </c:pt>
                <c:pt idx="45">
                  <c:v>4615869</c:v>
                </c:pt>
                <c:pt idx="46">
                  <c:v>4838977</c:v>
                </c:pt>
                <c:pt idx="47">
                  <c:v>4724136</c:v>
                </c:pt>
                <c:pt idx="48">
                  <c:v>4268079</c:v>
                </c:pt>
                <c:pt idx="49">
                  <c:v>4129333</c:v>
                </c:pt>
                <c:pt idx="50">
                  <c:v>4603275</c:v>
                </c:pt>
                <c:pt idx="51">
                  <c:v>5300007.0999999996</c:v>
                </c:pt>
                <c:pt idx="52">
                  <c:v>5224551</c:v>
                </c:pt>
                <c:pt idx="53">
                  <c:v>5578424.0499999998</c:v>
                </c:pt>
                <c:pt idx="54">
                  <c:v>5125862</c:v>
                </c:pt>
                <c:pt idx="55">
                  <c:v>5058719</c:v>
                </c:pt>
                <c:pt idx="56">
                  <c:v>5426905</c:v>
                </c:pt>
                <c:pt idx="57">
                  <c:v>5585503</c:v>
                </c:pt>
                <c:pt idx="58">
                  <c:v>5310032</c:v>
                </c:pt>
                <c:pt idx="59">
                  <c:v>4822542</c:v>
                </c:pt>
                <c:pt idx="60">
                  <c:v>4426734</c:v>
                </c:pt>
                <c:pt idx="61">
                  <c:v>3998447</c:v>
                </c:pt>
                <c:pt idx="62">
                  <c:v>4316014</c:v>
                </c:pt>
                <c:pt idx="63">
                  <c:v>5696313</c:v>
                </c:pt>
                <c:pt idx="64">
                  <c:v>5782425</c:v>
                </c:pt>
                <c:pt idx="65">
                  <c:v>5868170</c:v>
                </c:pt>
                <c:pt idx="66">
                  <c:v>5754502</c:v>
                </c:pt>
                <c:pt idx="67">
                  <c:v>5793847</c:v>
                </c:pt>
                <c:pt idx="68">
                  <c:v>5941806</c:v>
                </c:pt>
                <c:pt idx="69">
                  <c:v>5617857</c:v>
                </c:pt>
                <c:pt idx="70">
                  <c:v>5515873</c:v>
                </c:pt>
                <c:pt idx="71">
                  <c:v>5500235</c:v>
                </c:pt>
              </c:numCache>
            </c:numRef>
          </c:val>
          <c:extLst>
            <c:ext xmlns:c16="http://schemas.microsoft.com/office/drawing/2014/chart" uri="{C3380CC4-5D6E-409C-BE32-E72D297353CC}">
              <c16:uniqueId val="{00000001-EB86-4EE8-947D-68DF71A0C4B6}"/>
            </c:ext>
          </c:extLst>
        </c:ser>
        <c:ser>
          <c:idx val="2"/>
          <c:order val="2"/>
          <c:tx>
            <c:strRef>
              <c:f>'Pivot Tables'!$N$3</c:f>
              <c:strCache>
                <c:ptCount val="1"/>
                <c:pt idx="0">
                  <c:v>Чистaя прибыль</c:v>
                </c:pt>
              </c:strCache>
            </c:strRef>
          </c:tx>
          <c:spPr>
            <a:solidFill>
              <a:srgbClr val="CCFFFF"/>
            </a:solidFill>
            <a:ln>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Tables'!$N$4:$N$76</c:f>
              <c:numCache>
                <c:formatCode>General</c:formatCode>
                <c:ptCount val="72"/>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pt idx="12">
                  <c:v>-281804</c:v>
                </c:pt>
                <c:pt idx="13">
                  <c:v>-434662</c:v>
                </c:pt>
                <c:pt idx="14">
                  <c:v>1499031</c:v>
                </c:pt>
                <c:pt idx="15">
                  <c:v>1859716</c:v>
                </c:pt>
                <c:pt idx="16">
                  <c:v>1253751</c:v>
                </c:pt>
                <c:pt idx="17">
                  <c:v>1337050</c:v>
                </c:pt>
                <c:pt idx="18">
                  <c:v>1975874</c:v>
                </c:pt>
                <c:pt idx="19">
                  <c:v>390946</c:v>
                </c:pt>
                <c:pt idx="20">
                  <c:v>1726764</c:v>
                </c:pt>
                <c:pt idx="21">
                  <c:v>2259440</c:v>
                </c:pt>
                <c:pt idx="22">
                  <c:v>637235</c:v>
                </c:pt>
                <c:pt idx="23">
                  <c:v>1199087</c:v>
                </c:pt>
                <c:pt idx="24">
                  <c:v>-1218320</c:v>
                </c:pt>
                <c:pt idx="25">
                  <c:v>-128852</c:v>
                </c:pt>
                <c:pt idx="26">
                  <c:v>-347373.65000000037</c:v>
                </c:pt>
                <c:pt idx="27">
                  <c:v>3126704.58</c:v>
                </c:pt>
                <c:pt idx="28">
                  <c:v>1922942.7999999998</c:v>
                </c:pt>
                <c:pt idx="29">
                  <c:v>245926.33000000007</c:v>
                </c:pt>
                <c:pt idx="30">
                  <c:v>2146786.3200000003</c:v>
                </c:pt>
                <c:pt idx="31">
                  <c:v>738264.96999999974</c:v>
                </c:pt>
                <c:pt idx="32">
                  <c:v>911457</c:v>
                </c:pt>
                <c:pt idx="33">
                  <c:v>-736886.75</c:v>
                </c:pt>
                <c:pt idx="34">
                  <c:v>99089.730000000447</c:v>
                </c:pt>
                <c:pt idx="35">
                  <c:v>-701431</c:v>
                </c:pt>
                <c:pt idx="36">
                  <c:v>-1650328.1099999999</c:v>
                </c:pt>
                <c:pt idx="37">
                  <c:v>-822213.9299999997</c:v>
                </c:pt>
                <c:pt idx="38">
                  <c:v>1719340.04</c:v>
                </c:pt>
                <c:pt idx="39">
                  <c:v>2234452.66</c:v>
                </c:pt>
                <c:pt idx="40">
                  <c:v>2797861.6900000004</c:v>
                </c:pt>
                <c:pt idx="41">
                  <c:v>2186096.6099999994</c:v>
                </c:pt>
                <c:pt idx="42">
                  <c:v>1906860.4000000004</c:v>
                </c:pt>
                <c:pt idx="43">
                  <c:v>1811411.79</c:v>
                </c:pt>
                <c:pt idx="44">
                  <c:v>1425791.6600000001</c:v>
                </c:pt>
                <c:pt idx="45">
                  <c:v>2442178.41</c:v>
                </c:pt>
                <c:pt idx="46">
                  <c:v>2343681.5999999996</c:v>
                </c:pt>
                <c:pt idx="47">
                  <c:v>2210709.8099999996</c:v>
                </c:pt>
                <c:pt idx="48">
                  <c:v>-576984.60999999987</c:v>
                </c:pt>
                <c:pt idx="49">
                  <c:v>337840.21999999974</c:v>
                </c:pt>
                <c:pt idx="50">
                  <c:v>1461862.13</c:v>
                </c:pt>
                <c:pt idx="51">
                  <c:v>2161583.7400000002</c:v>
                </c:pt>
                <c:pt idx="52">
                  <c:v>980925.99000000022</c:v>
                </c:pt>
                <c:pt idx="53">
                  <c:v>460364.19000000041</c:v>
                </c:pt>
                <c:pt idx="54">
                  <c:v>350152.37000000011</c:v>
                </c:pt>
                <c:pt idx="55">
                  <c:v>857090.05999999959</c:v>
                </c:pt>
                <c:pt idx="56">
                  <c:v>884190.21999999974</c:v>
                </c:pt>
                <c:pt idx="57">
                  <c:v>556173.29</c:v>
                </c:pt>
                <c:pt idx="58">
                  <c:v>-472362.55999999959</c:v>
                </c:pt>
                <c:pt idx="59">
                  <c:v>6085063.0899999999</c:v>
                </c:pt>
                <c:pt idx="60">
                  <c:v>-1095686.21</c:v>
                </c:pt>
                <c:pt idx="61">
                  <c:v>390140.31</c:v>
                </c:pt>
                <c:pt idx="62">
                  <c:v>4171072.7099999995</c:v>
                </c:pt>
                <c:pt idx="63">
                  <c:v>3143212.4800000004</c:v>
                </c:pt>
                <c:pt idx="64">
                  <c:v>2311797.1100000003</c:v>
                </c:pt>
                <c:pt idx="65">
                  <c:v>2201789.79</c:v>
                </c:pt>
                <c:pt idx="66">
                  <c:v>1217007.9999999998</c:v>
                </c:pt>
                <c:pt idx="67">
                  <c:v>1579434.5400000003</c:v>
                </c:pt>
                <c:pt idx="68">
                  <c:v>1165574.2599999998</c:v>
                </c:pt>
                <c:pt idx="69">
                  <c:v>3408355.5100000007</c:v>
                </c:pt>
                <c:pt idx="70">
                  <c:v>463572.81000000017</c:v>
                </c:pt>
                <c:pt idx="71">
                  <c:v>2236010.2799999998</c:v>
                </c:pt>
              </c:numCache>
            </c:numRef>
          </c:val>
          <c:extLst>
            <c:ext xmlns:c16="http://schemas.microsoft.com/office/drawing/2014/chart" uri="{C3380CC4-5D6E-409C-BE32-E72D297353CC}">
              <c16:uniqueId val="{00000004-EB86-4EE8-947D-68DF71A0C4B6}"/>
            </c:ext>
          </c:extLst>
        </c:ser>
        <c:ser>
          <c:idx val="3"/>
          <c:order val="3"/>
          <c:tx>
            <c:strRef>
              <c:f>'Pivot Tables'!$O$3</c:f>
              <c:strCache>
                <c:ptCount val="1"/>
                <c:pt idx="0">
                  <c:v>Маржинaльность</c:v>
                </c:pt>
              </c:strCache>
            </c:strRef>
          </c:tx>
          <c:spPr>
            <a:solidFill>
              <a:schemeClr val="accent4"/>
            </a:solidFill>
            <a:ln w="25400">
              <a:noFill/>
            </a:ln>
            <a:effectLst/>
          </c:spPr>
          <c:cat>
            <c:strRef>
              <c:f>'Pivot Tables'!$K$4:$K$76</c:f>
              <c:strCache>
                <c:ptCount val="72"/>
                <c:pt idx="0">
                  <c:v>1/1/2017</c:v>
                </c:pt>
                <c:pt idx="1">
                  <c:v>2/1/2017</c:v>
                </c:pt>
                <c:pt idx="2">
                  <c:v>3/1/2017</c:v>
                </c:pt>
                <c:pt idx="3">
                  <c:v>4/1/2017</c:v>
                </c:pt>
                <c:pt idx="4">
                  <c:v>5/1/2017</c:v>
                </c:pt>
                <c:pt idx="5">
                  <c:v>6/1/2017</c:v>
                </c:pt>
                <c:pt idx="6">
                  <c:v>7/1/2017</c:v>
                </c:pt>
                <c:pt idx="7">
                  <c:v>8/1/2017</c:v>
                </c:pt>
                <c:pt idx="8">
                  <c:v>9/1/2017</c:v>
                </c:pt>
                <c:pt idx="9">
                  <c:v>10/1/2017</c:v>
                </c:pt>
                <c:pt idx="10">
                  <c:v>11/1/2017</c:v>
                </c:pt>
                <c:pt idx="11">
                  <c:v>12/1/2017</c:v>
                </c:pt>
                <c:pt idx="12">
                  <c:v>1/1/2018</c:v>
                </c:pt>
                <c:pt idx="13">
                  <c:v>2/1/2018</c:v>
                </c:pt>
                <c:pt idx="14">
                  <c:v>3/1/2018</c:v>
                </c:pt>
                <c:pt idx="15">
                  <c:v>4/1/2018</c:v>
                </c:pt>
                <c:pt idx="16">
                  <c:v>5/1/2018</c:v>
                </c:pt>
                <c:pt idx="17">
                  <c:v>6/1/2018</c:v>
                </c:pt>
                <c:pt idx="18">
                  <c:v>7/1/2018</c:v>
                </c:pt>
                <c:pt idx="19">
                  <c:v>8/1/2018</c:v>
                </c:pt>
                <c:pt idx="20">
                  <c:v>9/1/2018</c:v>
                </c:pt>
                <c:pt idx="21">
                  <c:v>10/1/2018</c:v>
                </c:pt>
                <c:pt idx="22">
                  <c:v>11/1/2018</c:v>
                </c:pt>
                <c:pt idx="23">
                  <c:v>12/1/2018</c:v>
                </c:pt>
                <c:pt idx="24">
                  <c:v>1/1/2019</c:v>
                </c:pt>
                <c:pt idx="25">
                  <c:v>2/1/2019</c:v>
                </c:pt>
                <c:pt idx="26">
                  <c:v>3/1/2019</c:v>
                </c:pt>
                <c:pt idx="27">
                  <c:v>4/1/2019</c:v>
                </c:pt>
                <c:pt idx="28">
                  <c:v>5/1/2019</c:v>
                </c:pt>
                <c:pt idx="29">
                  <c:v>6/1/2019</c:v>
                </c:pt>
                <c:pt idx="30">
                  <c:v>7/1/2019</c:v>
                </c:pt>
                <c:pt idx="31">
                  <c:v>8/1/2019</c:v>
                </c:pt>
                <c:pt idx="32">
                  <c:v>9/1/2019</c:v>
                </c:pt>
                <c:pt idx="33">
                  <c:v>10/1/2019</c:v>
                </c:pt>
                <c:pt idx="34">
                  <c:v>11/1/2019</c:v>
                </c:pt>
                <c:pt idx="35">
                  <c:v>12/1/2019</c:v>
                </c:pt>
                <c:pt idx="36">
                  <c:v>1/1/2020</c:v>
                </c:pt>
                <c:pt idx="37">
                  <c:v>2/1/2020</c:v>
                </c:pt>
                <c:pt idx="38">
                  <c:v>3/1/2020</c:v>
                </c:pt>
                <c:pt idx="39">
                  <c:v>4/1/2020</c:v>
                </c:pt>
                <c:pt idx="40">
                  <c:v>5/1/2020</c:v>
                </c:pt>
                <c:pt idx="41">
                  <c:v>6/1/2020</c:v>
                </c:pt>
                <c:pt idx="42">
                  <c:v>7/1/2020</c:v>
                </c:pt>
                <c:pt idx="43">
                  <c:v>8/1/2020</c:v>
                </c:pt>
                <c:pt idx="44">
                  <c:v>9/1/2020</c:v>
                </c:pt>
                <c:pt idx="45">
                  <c:v>10/1/2020</c:v>
                </c:pt>
                <c:pt idx="46">
                  <c:v>11/1/2020</c:v>
                </c:pt>
                <c:pt idx="47">
                  <c:v>12/1/2020</c:v>
                </c:pt>
                <c:pt idx="48">
                  <c:v>1/1/2021</c:v>
                </c:pt>
                <c:pt idx="49">
                  <c:v>2/1/2021</c:v>
                </c:pt>
                <c:pt idx="50">
                  <c:v>3/1/2021</c:v>
                </c:pt>
                <c:pt idx="51">
                  <c:v>4/1/2021</c:v>
                </c:pt>
                <c:pt idx="52">
                  <c:v>5/1/2021</c:v>
                </c:pt>
                <c:pt idx="53">
                  <c:v>6/1/2021</c:v>
                </c:pt>
                <c:pt idx="54">
                  <c:v>7/1/2021</c:v>
                </c:pt>
                <c:pt idx="55">
                  <c:v>8/1/2021</c:v>
                </c:pt>
                <c:pt idx="56">
                  <c:v>9/1/2021</c:v>
                </c:pt>
                <c:pt idx="57">
                  <c:v>10/1/2021</c:v>
                </c:pt>
                <c:pt idx="58">
                  <c:v>11/1/2021</c:v>
                </c:pt>
                <c:pt idx="59">
                  <c:v>12/1/2021</c:v>
                </c:pt>
                <c:pt idx="60">
                  <c:v>1/1/2022</c:v>
                </c:pt>
                <c:pt idx="61">
                  <c:v>2/1/2022</c:v>
                </c:pt>
                <c:pt idx="62">
                  <c:v>3/1/2022</c:v>
                </c:pt>
                <c:pt idx="63">
                  <c:v>4/1/2022</c:v>
                </c:pt>
                <c:pt idx="64">
                  <c:v>5/1/2022</c:v>
                </c:pt>
                <c:pt idx="65">
                  <c:v>6/1/2022</c:v>
                </c:pt>
                <c:pt idx="66">
                  <c:v>7/1/2022</c:v>
                </c:pt>
                <c:pt idx="67">
                  <c:v>8/1/2022</c:v>
                </c:pt>
                <c:pt idx="68">
                  <c:v>9/1/2022</c:v>
                </c:pt>
                <c:pt idx="69">
                  <c:v>10/1/2022</c:v>
                </c:pt>
                <c:pt idx="70">
                  <c:v>11/1/2022</c:v>
                </c:pt>
                <c:pt idx="71">
                  <c:v>12/1/2022</c:v>
                </c:pt>
              </c:strCache>
            </c:strRef>
          </c:cat>
          <c:val>
            <c:numRef>
              <c:f>'Pivot Tables'!$O$4:$O$76</c:f>
              <c:numCache>
                <c:formatCode>0%</c:formatCode>
                <c:ptCount val="72"/>
                <c:pt idx="0">
                  <c:v>0.43263455806371032</c:v>
                </c:pt>
                <c:pt idx="1">
                  <c:v>0.38825087051509349</c:v>
                </c:pt>
                <c:pt idx="2">
                  <c:v>0.45185212607043912</c:v>
                </c:pt>
                <c:pt idx="3">
                  <c:v>0.47258909237782515</c:v>
                </c:pt>
                <c:pt idx="4">
                  <c:v>0.52259083922726846</c:v>
                </c:pt>
                <c:pt idx="5">
                  <c:v>0.5402158507169128</c:v>
                </c:pt>
                <c:pt idx="6">
                  <c:v>0.54638345170128721</c:v>
                </c:pt>
                <c:pt idx="7">
                  <c:v>0.57914097597648551</c:v>
                </c:pt>
                <c:pt idx="8">
                  <c:v>0.55410900571361443</c:v>
                </c:pt>
                <c:pt idx="9">
                  <c:v>0.5630887532476293</c:v>
                </c:pt>
                <c:pt idx="10">
                  <c:v>0.54694260139584994</c:v>
                </c:pt>
                <c:pt idx="11">
                  <c:v>0.53314049018943932</c:v>
                </c:pt>
                <c:pt idx="12">
                  <c:v>0.5665421377942339</c:v>
                </c:pt>
                <c:pt idx="13">
                  <c:v>0.5640235485176387</c:v>
                </c:pt>
                <c:pt idx="14">
                  <c:v>0.63530566357205642</c:v>
                </c:pt>
                <c:pt idx="15">
                  <c:v>0.60369573940588772</c:v>
                </c:pt>
                <c:pt idx="16">
                  <c:v>0.5455535769957377</c:v>
                </c:pt>
                <c:pt idx="17">
                  <c:v>0.55826241857564074</c:v>
                </c:pt>
                <c:pt idx="18">
                  <c:v>0.61455289495344234</c:v>
                </c:pt>
                <c:pt idx="19">
                  <c:v>0.52026969539154888</c:v>
                </c:pt>
                <c:pt idx="20">
                  <c:v>0.55372488987190394</c:v>
                </c:pt>
                <c:pt idx="21">
                  <c:v>0.60674508769677704</c:v>
                </c:pt>
                <c:pt idx="22">
                  <c:v>0.56558990337941528</c:v>
                </c:pt>
                <c:pt idx="23">
                  <c:v>0.57031358395638743</c:v>
                </c:pt>
                <c:pt idx="24">
                  <c:v>0.58669113766800596</c:v>
                </c:pt>
                <c:pt idx="25">
                  <c:v>0.60754084251363971</c:v>
                </c:pt>
                <c:pt idx="26">
                  <c:v>0.55983622205722905</c:v>
                </c:pt>
                <c:pt idx="27">
                  <c:v>0.5953119314748917</c:v>
                </c:pt>
                <c:pt idx="28">
                  <c:v>0.61814328737104918</c:v>
                </c:pt>
                <c:pt idx="29">
                  <c:v>0.61917410547481</c:v>
                </c:pt>
                <c:pt idx="30">
                  <c:v>0.62159108475916514</c:v>
                </c:pt>
                <c:pt idx="31">
                  <c:v>0.5928691953178663</c:v>
                </c:pt>
                <c:pt idx="32">
                  <c:v>0.51859998090226123</c:v>
                </c:pt>
                <c:pt idx="33">
                  <c:v>0.57496169414766463</c:v>
                </c:pt>
                <c:pt idx="34">
                  <c:v>0.57783499293237994</c:v>
                </c:pt>
                <c:pt idx="35">
                  <c:v>0.49835145105224216</c:v>
                </c:pt>
                <c:pt idx="36">
                  <c:v>0.5755129422858497</c:v>
                </c:pt>
                <c:pt idx="37">
                  <c:v>0.55566666306252899</c:v>
                </c:pt>
                <c:pt idx="38">
                  <c:v>0.50664015889969138</c:v>
                </c:pt>
                <c:pt idx="39">
                  <c:v>0.58259305584441934</c:v>
                </c:pt>
                <c:pt idx="40">
                  <c:v>0.58732775340653698</c:v>
                </c:pt>
                <c:pt idx="41">
                  <c:v>0.5695317014261474</c:v>
                </c:pt>
                <c:pt idx="42">
                  <c:v>0.57923148763996823</c:v>
                </c:pt>
                <c:pt idx="43">
                  <c:v>0.59357598704100212</c:v>
                </c:pt>
                <c:pt idx="44">
                  <c:v>0.58188130575870589</c:v>
                </c:pt>
                <c:pt idx="45">
                  <c:v>0.57185721705786952</c:v>
                </c:pt>
                <c:pt idx="46">
                  <c:v>0.61020346986713303</c:v>
                </c:pt>
                <c:pt idx="47">
                  <c:v>0.58123922601433964</c:v>
                </c:pt>
                <c:pt idx="48">
                  <c:v>0.60021398449786334</c:v>
                </c:pt>
                <c:pt idx="49">
                  <c:v>0.63265905814979406</c:v>
                </c:pt>
                <c:pt idx="50">
                  <c:v>0.54241170912235748</c:v>
                </c:pt>
                <c:pt idx="51">
                  <c:v>0.5823986296876924</c:v>
                </c:pt>
                <c:pt idx="52">
                  <c:v>0.57891568618143219</c:v>
                </c:pt>
                <c:pt idx="53">
                  <c:v>0.55070868591301736</c:v>
                </c:pt>
                <c:pt idx="54">
                  <c:v>0.54281910529203137</c:v>
                </c:pt>
                <c:pt idx="55">
                  <c:v>0.56829057808377081</c:v>
                </c:pt>
                <c:pt idx="56">
                  <c:v>0.54162082219350016</c:v>
                </c:pt>
                <c:pt idx="57">
                  <c:v>0.56335746745433912</c:v>
                </c:pt>
                <c:pt idx="58">
                  <c:v>0.56293447081833103</c:v>
                </c:pt>
                <c:pt idx="59">
                  <c:v>0.50915697331629906</c:v>
                </c:pt>
                <c:pt idx="60">
                  <c:v>0.57825256094326571</c:v>
                </c:pt>
                <c:pt idx="61">
                  <c:v>0.58128597621635569</c:v>
                </c:pt>
                <c:pt idx="62">
                  <c:v>0.50448568532244753</c:v>
                </c:pt>
                <c:pt idx="63">
                  <c:v>0.55841429768116901</c:v>
                </c:pt>
                <c:pt idx="64">
                  <c:v>0.58494799354034155</c:v>
                </c:pt>
                <c:pt idx="65">
                  <c:v>0.59653941206689953</c:v>
                </c:pt>
                <c:pt idx="66">
                  <c:v>0.59619341215616539</c:v>
                </c:pt>
                <c:pt idx="67">
                  <c:v>0.56591855284942583</c:v>
                </c:pt>
                <c:pt idx="68">
                  <c:v>0.57048323279455904</c:v>
                </c:pt>
                <c:pt idx="69">
                  <c:v>0.59348410316293632</c:v>
                </c:pt>
                <c:pt idx="70">
                  <c:v>0.59948030569922517</c:v>
                </c:pt>
                <c:pt idx="71">
                  <c:v>0.58002370061340158</c:v>
                </c:pt>
              </c:numCache>
            </c:numRef>
          </c:val>
          <c:extLst>
            <c:ext xmlns:c16="http://schemas.microsoft.com/office/drawing/2014/chart" uri="{C3380CC4-5D6E-409C-BE32-E72D297353CC}">
              <c16:uniqueId val="{00000001-0A1D-4907-8A33-299A90859E4A}"/>
            </c:ext>
          </c:extLst>
        </c:ser>
        <c:dLbls>
          <c:showLegendKey val="0"/>
          <c:showVal val="0"/>
          <c:showCatName val="0"/>
          <c:showSerName val="0"/>
          <c:showPercent val="0"/>
          <c:showBubbleSize val="0"/>
        </c:dLbls>
        <c:axId val="37006367"/>
        <c:axId val="37018847"/>
      </c:areaChart>
      <c:catAx>
        <c:axId val="370063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18847"/>
        <c:crosses val="autoZero"/>
        <c:auto val="1"/>
        <c:lblAlgn val="ctr"/>
        <c:lblOffset val="100"/>
        <c:noMultiLvlLbl val="0"/>
      </c:catAx>
      <c:valAx>
        <c:axId val="37018847"/>
        <c:scaling>
          <c:orientation val="minMax"/>
        </c:scaling>
        <c:delete val="0"/>
        <c:axPos val="l"/>
        <c:majorGridlines>
          <c:spPr>
            <a:ln w="9525" cap="flat" cmpd="sng" algn="ctr">
              <a:solidFill>
                <a:schemeClr val="tx1">
                  <a:lumMod val="15000"/>
                  <a:lumOff val="85000"/>
                </a:schemeClr>
              </a:solidFill>
              <a:round/>
            </a:ln>
            <a:effectLst/>
          </c:spPr>
        </c:majorGridlines>
        <c:numFmt formatCode="#,##0.00\ [$₽-419]"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63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Tables!PivotTable8</c:name>
    <c:fmtId val="5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CBA6FA7-32C3-497F-AD52-170B4318C968}" type="CELLRANGE">
                  <a:rPr lang="en-US"/>
                  <a:pPr>
                    <a:defRPr/>
                  </a:pPr>
                  <a:t>[CELLRANGE]</a:t>
                </a:fld>
                <a:endParaRPr lang="en-US"/>
              </a:p>
            </c:rich>
          </c:tx>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3313F53-3997-4D28-8327-843D9C3973F5}" type="CELLRANGE">
                  <a:rPr lang="en-US"/>
                  <a:pPr>
                    <a:defRPr/>
                  </a:pPr>
                  <a:t>[CELLRANGE]</a:t>
                </a:fld>
                <a:endParaRPr lang="en-US"/>
              </a:p>
            </c:rich>
          </c:tx>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4C9A922-281E-4BBE-8121-F4E67CB7DD8B}" type="CELLRANGE">
                  <a:rPr lang="en-US"/>
                  <a:pPr>
                    <a:defRPr/>
                  </a:pPr>
                  <a:t>[CELLRANGE]</a:t>
                </a:fld>
                <a:endParaRPr lang="en-US"/>
              </a:p>
            </c:rich>
          </c:tx>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CD3D113-EA4E-43A6-9248-9CFA59421150}" type="CELLRANGE">
                  <a:rPr lang="en-US"/>
                  <a:pPr>
                    <a:defRPr/>
                  </a:pPr>
                  <a:t>[CELLRANGE]</a:t>
                </a:fld>
                <a:endParaRPr lang="en-US"/>
              </a:p>
            </c:rich>
          </c:tx>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358B29E-B46B-49B6-AE35-58A226A1D34B}" type="CELLRANGE">
                  <a:rPr lang="en-US"/>
                  <a:pPr>
                    <a:defRPr/>
                  </a:pPr>
                  <a:t>[CELLRANGE]</a:t>
                </a:fld>
                <a:endParaRPr lang="en-US"/>
              </a:p>
            </c:rich>
          </c:tx>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Tables'!$Q$3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39B8-4E2E-8047-2CF50CB53B22}"/>
              </c:ext>
            </c:extLst>
          </c:dPt>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39B8-4E2E-8047-2CF50CB53B22}"/>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39B8-4E2E-8047-2CF50CB53B22}"/>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39B8-4E2E-8047-2CF50CB53B22}"/>
              </c:ext>
            </c:extLst>
          </c:dPt>
          <c:dPt>
            <c:idx val="4"/>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7-39B8-4E2E-8047-2CF50CB53B22}"/>
              </c:ext>
            </c:extLst>
          </c:dPt>
          <c:dPt>
            <c:idx val="5"/>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39B8-4E2E-8047-2CF50CB53B22}"/>
              </c:ext>
            </c:extLst>
          </c:dPt>
          <c:dLbls>
            <c:dLbl>
              <c:idx val="0"/>
              <c:delete val="1"/>
              <c:extLst>
                <c:ext xmlns:c15="http://schemas.microsoft.com/office/drawing/2012/chart" uri="{CE6537A1-D6FC-4f65-9D91-7224C49458BB}"/>
                <c:ext xmlns:c16="http://schemas.microsoft.com/office/drawing/2014/chart" uri="{C3380CC4-5D6E-409C-BE32-E72D297353CC}">
                  <c16:uniqueId val="{00000003-39B8-4E2E-8047-2CF50CB53B22}"/>
                </c:ext>
              </c:extLst>
            </c:dLbl>
            <c:dLbl>
              <c:idx val="1"/>
              <c:tx>
                <c:rich>
                  <a:bodyPr/>
                  <a:lstStyle/>
                  <a:p>
                    <a:fld id="{ACBA6FA7-32C3-497F-AD52-170B4318C96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9B8-4E2E-8047-2CF50CB53B22}"/>
                </c:ext>
              </c:extLst>
            </c:dLbl>
            <c:dLbl>
              <c:idx val="2"/>
              <c:tx>
                <c:rich>
                  <a:bodyPr/>
                  <a:lstStyle/>
                  <a:p>
                    <a:fld id="{C3313F53-3997-4D28-8327-843D9C3973F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9B8-4E2E-8047-2CF50CB53B22}"/>
                </c:ext>
              </c:extLst>
            </c:dLbl>
            <c:dLbl>
              <c:idx val="3"/>
              <c:tx>
                <c:rich>
                  <a:bodyPr/>
                  <a:lstStyle/>
                  <a:p>
                    <a:fld id="{94C9A922-281E-4BBE-8121-F4E67CB7DD8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9B8-4E2E-8047-2CF50CB53B22}"/>
                </c:ext>
              </c:extLst>
            </c:dLbl>
            <c:dLbl>
              <c:idx val="4"/>
              <c:tx>
                <c:rich>
                  <a:bodyPr/>
                  <a:lstStyle/>
                  <a:p>
                    <a:fld id="{9CD3D113-EA4E-43A6-9248-9CFA5942115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39B8-4E2E-8047-2CF50CB53B22}"/>
                </c:ext>
              </c:extLst>
            </c:dLbl>
            <c:dLbl>
              <c:idx val="5"/>
              <c:tx>
                <c:rich>
                  <a:bodyPr/>
                  <a:lstStyle/>
                  <a:p>
                    <a:fld id="{6358B29E-B46B-49B6-AE35-58A226A1D34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9B8-4E2E-8047-2CF50CB53B22}"/>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Tables'!$P$4:$P$10</c:f>
              <c:strCache>
                <c:ptCount val="6"/>
                <c:pt idx="0">
                  <c:v>2017</c:v>
                </c:pt>
                <c:pt idx="1">
                  <c:v>2018</c:v>
                </c:pt>
                <c:pt idx="2">
                  <c:v>2019</c:v>
                </c:pt>
                <c:pt idx="3">
                  <c:v>2020</c:v>
                </c:pt>
                <c:pt idx="4">
                  <c:v>2021</c:v>
                </c:pt>
                <c:pt idx="5">
                  <c:v>2022</c:v>
                </c:pt>
              </c:strCache>
            </c:strRef>
          </c:cat>
          <c:val>
            <c:numRef>
              <c:f>'Pivot Tables'!$Q$4:$Q$10</c:f>
              <c:numCache>
                <c:formatCode>General</c:formatCode>
                <c:ptCount val="6"/>
                <c:pt idx="0">
                  <c:v>14261441</c:v>
                </c:pt>
                <c:pt idx="1">
                  <c:v>20091817</c:v>
                </c:pt>
                <c:pt idx="2">
                  <c:v>13322133.329999998</c:v>
                </c:pt>
                <c:pt idx="3">
                  <c:v>22219020.690000001</c:v>
                </c:pt>
                <c:pt idx="4">
                  <c:v>18830930.129999999</c:v>
                </c:pt>
                <c:pt idx="5">
                  <c:v>26997589.379999999</c:v>
                </c:pt>
              </c:numCache>
            </c:numRef>
          </c:val>
          <c:smooth val="1"/>
          <c:extLst>
            <c:ext xmlns:c16="http://schemas.microsoft.com/office/drawing/2014/chart" uri="{C3380CC4-5D6E-409C-BE32-E72D297353CC}">
              <c16:uniqueId val="{00000000-39B8-4E2E-8047-2CF50CB53B22}"/>
            </c:ext>
          </c:extLst>
        </c:ser>
        <c:dLbls>
          <c:showLegendKey val="0"/>
          <c:showVal val="0"/>
          <c:showCatName val="0"/>
          <c:showSerName val="0"/>
          <c:showPercent val="0"/>
          <c:showBubbleSize val="0"/>
        </c:dLbls>
        <c:marker val="1"/>
        <c:smooth val="0"/>
        <c:axId val="32384303"/>
        <c:axId val="32363503"/>
      </c:lineChart>
      <c:catAx>
        <c:axId val="32384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3503"/>
        <c:crosses val="autoZero"/>
        <c:auto val="1"/>
        <c:lblAlgn val="ctr"/>
        <c:lblOffset val="100"/>
        <c:noMultiLvlLbl val="0"/>
      </c:catAx>
      <c:valAx>
        <c:axId val="32363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84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Tables!PivotTable9</c:name>
    <c:fmtId val="3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Tables'!$T$3</c:f>
              <c:strCache>
                <c:ptCount val="1"/>
                <c:pt idx="0">
                  <c:v>Total</c:v>
                </c:pt>
              </c:strCache>
            </c:strRef>
          </c:tx>
          <c:spPr>
            <a:ln w="28575" cap="rnd">
              <a:solidFill>
                <a:schemeClr val="accent1"/>
              </a:solidFill>
              <a:round/>
            </a:ln>
            <a:effectLst/>
          </c:spPr>
          <c:marker>
            <c:symbol val="none"/>
          </c:marker>
          <c:cat>
            <c:strRef>
              <c:f>'Pivot Tables'!$S$4:$S$10</c:f>
              <c:strCache>
                <c:ptCount val="6"/>
                <c:pt idx="0">
                  <c:v>2017</c:v>
                </c:pt>
                <c:pt idx="1">
                  <c:v>2018</c:v>
                </c:pt>
                <c:pt idx="2">
                  <c:v>2019</c:v>
                </c:pt>
                <c:pt idx="3">
                  <c:v>2020</c:v>
                </c:pt>
                <c:pt idx="4">
                  <c:v>2021</c:v>
                </c:pt>
                <c:pt idx="5">
                  <c:v>2022</c:v>
                </c:pt>
              </c:strCache>
            </c:strRef>
          </c:cat>
          <c:val>
            <c:numRef>
              <c:f>'Pivot Tables'!$T$4:$T$10</c:f>
              <c:numCache>
                <c:formatCode>0.00%</c:formatCode>
                <c:ptCount val="6"/>
                <c:pt idx="0">
                  <c:v>0.51091155126629628</c:v>
                </c:pt>
                <c:pt idx="1">
                  <c:v>0.57538159500922248</c:v>
                </c:pt>
                <c:pt idx="2">
                  <c:v>0.58090882713926717</c:v>
                </c:pt>
                <c:pt idx="3">
                  <c:v>0.57460508069201599</c:v>
                </c:pt>
                <c:pt idx="4">
                  <c:v>0.56462393089253571</c:v>
                </c:pt>
                <c:pt idx="5">
                  <c:v>0.57579243608718267</c:v>
                </c:pt>
              </c:numCache>
            </c:numRef>
          </c:val>
          <c:smooth val="0"/>
          <c:extLst>
            <c:ext xmlns:c16="http://schemas.microsoft.com/office/drawing/2014/chart" uri="{C3380CC4-5D6E-409C-BE32-E72D297353CC}">
              <c16:uniqueId val="{00000001-D637-4F36-9144-E589BA1801E3}"/>
            </c:ext>
          </c:extLst>
        </c:ser>
        <c:dLbls>
          <c:showLegendKey val="0"/>
          <c:showVal val="0"/>
          <c:showCatName val="0"/>
          <c:showSerName val="0"/>
          <c:showPercent val="0"/>
          <c:showBubbleSize val="0"/>
        </c:dLbls>
        <c:smooth val="0"/>
        <c:axId val="1861926047"/>
        <c:axId val="1861924799"/>
      </c:lineChart>
      <c:catAx>
        <c:axId val="1861926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924799"/>
        <c:crosses val="autoZero"/>
        <c:auto val="1"/>
        <c:lblAlgn val="ctr"/>
        <c:lblOffset val="100"/>
        <c:noMultiLvlLbl val="0"/>
      </c:catAx>
      <c:valAx>
        <c:axId val="1861924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926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Tables!PivotTable10</c:name>
    <c:fmtId val="3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D5F63E2-4AB8-4A8E-B264-C64D518D293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D021372-D52F-40EA-9BFB-4F3489501827}"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9CE3B6-3CA1-42B9-AA2A-48ED36781786}"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D93592C-0F5B-419B-BF94-855EE2774E48}"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4A2EB34-932C-43D7-AB4E-ED2D6AEE953B}"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01C4588-77BC-4A7C-A6C9-63512540922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'Pivot Tables'!$W$30:$W$35</c:f>
              <c:strCache>
                <c:ptCount val="1"/>
                <c:pt idx="0">
                  <c:v>Total</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2-B657-437D-A434-68675047D23F}"/>
              </c:ext>
            </c:extLst>
          </c:dPt>
          <c:dLbls>
            <c:dLbl>
              <c:idx val="0"/>
              <c:tx>
                <c:rich>
                  <a:bodyPr/>
                  <a:lstStyle/>
                  <a:p>
                    <a:fld id="{9D5F63E2-4AB8-4A8E-B264-C64D518D293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657-437D-A434-68675047D23F}"/>
                </c:ext>
              </c:extLst>
            </c:dLbl>
            <c:dLbl>
              <c:idx val="1"/>
              <c:tx>
                <c:rich>
                  <a:bodyPr/>
                  <a:lstStyle/>
                  <a:p>
                    <a:fld id="{7D021372-D52F-40EA-9BFB-4F348950182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657-437D-A434-68675047D23F}"/>
                </c:ext>
              </c:extLst>
            </c:dLbl>
            <c:dLbl>
              <c:idx val="2"/>
              <c:tx>
                <c:rich>
                  <a:bodyPr/>
                  <a:lstStyle/>
                  <a:p>
                    <a:fld id="{E59CE3B6-3CA1-42B9-AA2A-48ED3678178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657-437D-A434-68675047D23F}"/>
                </c:ext>
              </c:extLst>
            </c:dLbl>
            <c:dLbl>
              <c:idx val="3"/>
              <c:tx>
                <c:rich>
                  <a:bodyPr/>
                  <a:lstStyle/>
                  <a:p>
                    <a:fld id="{AD93592C-0F5B-419B-BF94-855EE2774E4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657-437D-A434-68675047D23F}"/>
                </c:ext>
              </c:extLst>
            </c:dLbl>
            <c:dLbl>
              <c:idx val="4"/>
              <c:tx>
                <c:rich>
                  <a:bodyPr/>
                  <a:lstStyle/>
                  <a:p>
                    <a:fld id="{44A2EB34-932C-43D7-AB4E-ED2D6AEE953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657-437D-A434-68675047D23F}"/>
                </c:ext>
              </c:extLst>
            </c:dLbl>
            <c:dLbl>
              <c:idx val="5"/>
              <c:tx>
                <c:rich>
                  <a:bodyPr/>
                  <a:lstStyle/>
                  <a:p>
                    <a:fld id="{C01C4588-77BC-4A7C-A6C9-63512540922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657-437D-A434-68675047D23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Tables'!$W$30:$W$35</c:f>
              <c:strCache>
                <c:ptCount val="6"/>
                <c:pt idx="0">
                  <c:v>ИТОГ 2017</c:v>
                </c:pt>
                <c:pt idx="1">
                  <c:v>ИТОГ 2018</c:v>
                </c:pt>
                <c:pt idx="2">
                  <c:v>ИТОГ 2019</c:v>
                </c:pt>
                <c:pt idx="3">
                  <c:v>ИТОГ 2020</c:v>
                </c:pt>
                <c:pt idx="4">
                  <c:v>ИТОГ 2021</c:v>
                </c:pt>
                <c:pt idx="5">
                  <c:v>ИТОГ 2022</c:v>
                </c:pt>
              </c:strCache>
            </c:strRef>
          </c:cat>
          <c:val>
            <c:numRef>
              <c:f>'Pivot Tables'!$W$30:$W$35</c:f>
              <c:numCache>
                <c:formatCode>General</c:formatCode>
                <c:ptCount val="6"/>
                <c:pt idx="0">
                  <c:v>5092962</c:v>
                </c:pt>
                <c:pt idx="1">
                  <c:v>6669389</c:v>
                </c:pt>
                <c:pt idx="2">
                  <c:v>7263825</c:v>
                </c:pt>
                <c:pt idx="3">
                  <c:v>3613178.0599999996</c:v>
                </c:pt>
                <c:pt idx="4">
                  <c:v>5745032</c:v>
                </c:pt>
                <c:pt idx="5">
                  <c:v>5805307.7899999991</c:v>
                </c:pt>
              </c:numCache>
            </c:numRef>
          </c:val>
          <c:smooth val="0"/>
          <c:extLst>
            <c:ext xmlns:c15="http://schemas.microsoft.com/office/drawing/2012/chart" uri="{02D57815-91ED-43cb-92C2-25804820EDAC}">
              <c15:datalabelsRange>
                <c15:f>'Pivot Tables'!$W$30:$W$35</c15:f>
                <c15:dlblRangeCache>
                  <c:ptCount val="6"/>
                  <c:pt idx="1">
                    <c:v>30.95%</c:v>
                  </c:pt>
                  <c:pt idx="2">
                    <c:v>8.91%</c:v>
                  </c:pt>
                  <c:pt idx="3">
                    <c:v>-50.26%</c:v>
                  </c:pt>
                  <c:pt idx="4">
                    <c:v>59.00%</c:v>
                  </c:pt>
                  <c:pt idx="5">
                    <c:v>1.05%</c:v>
                  </c:pt>
                </c15:dlblRangeCache>
              </c15:datalabelsRange>
            </c:ext>
            <c:ext xmlns:c16="http://schemas.microsoft.com/office/drawing/2014/chart" uri="{C3380CC4-5D6E-409C-BE32-E72D297353CC}">
              <c16:uniqueId val="{00000000-B657-437D-A434-68675047D23F}"/>
            </c:ext>
          </c:extLst>
        </c:ser>
        <c:dLbls>
          <c:showLegendKey val="0"/>
          <c:showVal val="0"/>
          <c:showCatName val="0"/>
          <c:showSerName val="0"/>
          <c:showPercent val="0"/>
          <c:showBubbleSize val="0"/>
        </c:dLbls>
        <c:smooth val="0"/>
        <c:axId val="342565855"/>
        <c:axId val="342577503"/>
      </c:lineChart>
      <c:catAx>
        <c:axId val="342565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577503"/>
        <c:crosses val="autoZero"/>
        <c:auto val="1"/>
        <c:lblAlgn val="ctr"/>
        <c:lblOffset val="100"/>
        <c:noMultiLvlLbl val="0"/>
      </c:catAx>
      <c:valAx>
        <c:axId val="342577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565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Tables!PivotTable12</c:name>
    <c:fmtId val="3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Tables'!$AA$3</c:f>
              <c:strCache>
                <c:ptCount val="1"/>
                <c:pt idx="0">
                  <c:v>Sum of Расходы на ФОТ</c:v>
                </c:pt>
              </c:strCache>
            </c:strRef>
          </c:tx>
          <c:spPr>
            <a:solidFill>
              <a:schemeClr val="accent1"/>
            </a:solidFill>
            <a:ln>
              <a:noFill/>
            </a:ln>
            <a:effectLst/>
          </c:spPr>
          <c:invertIfNegative val="0"/>
          <c:cat>
            <c:strRef>
              <c:f>'Pivot Tables'!$AA$4</c:f>
              <c:strCache>
                <c:ptCount val="1"/>
                <c:pt idx="0">
                  <c:v>Total</c:v>
                </c:pt>
              </c:strCache>
            </c:strRef>
          </c:cat>
          <c:val>
            <c:numRef>
              <c:f>'Pivot Tables'!$AA$4</c:f>
              <c:numCache>
                <c:formatCode>General</c:formatCode>
                <c:ptCount val="1"/>
                <c:pt idx="0">
                  <c:v>30562705</c:v>
                </c:pt>
              </c:numCache>
            </c:numRef>
          </c:val>
          <c:extLst>
            <c:ext xmlns:c16="http://schemas.microsoft.com/office/drawing/2014/chart" uri="{C3380CC4-5D6E-409C-BE32-E72D297353CC}">
              <c16:uniqueId val="{00000000-ECEF-4233-9F47-253EE6F2C843}"/>
            </c:ext>
          </c:extLst>
        </c:ser>
        <c:ser>
          <c:idx val="1"/>
          <c:order val="1"/>
          <c:tx>
            <c:strRef>
              <c:f>'Pivot Tables'!$AB$3</c:f>
              <c:strCache>
                <c:ptCount val="1"/>
                <c:pt idx="0">
                  <c:v>Sum of Маркетинговые расходы</c:v>
                </c:pt>
              </c:strCache>
            </c:strRef>
          </c:tx>
          <c:spPr>
            <a:solidFill>
              <a:schemeClr val="accent2"/>
            </a:solidFill>
            <a:ln>
              <a:noFill/>
            </a:ln>
            <a:effectLst/>
          </c:spPr>
          <c:invertIfNegative val="0"/>
          <c:cat>
            <c:strRef>
              <c:f>'Pivot Tables'!$AA$4</c:f>
              <c:strCache>
                <c:ptCount val="1"/>
                <c:pt idx="0">
                  <c:v>Total</c:v>
                </c:pt>
              </c:strCache>
            </c:strRef>
          </c:cat>
          <c:val>
            <c:numRef>
              <c:f>'Pivot Tables'!$AB$4</c:f>
              <c:numCache>
                <c:formatCode>General</c:formatCode>
                <c:ptCount val="1"/>
                <c:pt idx="0">
                  <c:v>8619489</c:v>
                </c:pt>
              </c:numCache>
            </c:numRef>
          </c:val>
          <c:extLst>
            <c:ext xmlns:c16="http://schemas.microsoft.com/office/drawing/2014/chart" uri="{C3380CC4-5D6E-409C-BE32-E72D297353CC}">
              <c16:uniqueId val="{00000001-ECEF-4233-9F47-253EE6F2C843}"/>
            </c:ext>
          </c:extLst>
        </c:ser>
        <c:ser>
          <c:idx val="2"/>
          <c:order val="2"/>
          <c:tx>
            <c:strRef>
              <c:f>'Pivot Tables'!$AC$3</c:f>
              <c:strCache>
                <c:ptCount val="1"/>
                <c:pt idx="0">
                  <c:v>Sum of Расходы на аренду</c:v>
                </c:pt>
              </c:strCache>
            </c:strRef>
          </c:tx>
          <c:spPr>
            <a:solidFill>
              <a:schemeClr val="accent3"/>
            </a:solidFill>
            <a:ln>
              <a:noFill/>
            </a:ln>
            <a:effectLst/>
          </c:spPr>
          <c:invertIfNegative val="0"/>
          <c:cat>
            <c:strRef>
              <c:f>'Pivot Tables'!$AA$4</c:f>
              <c:strCache>
                <c:ptCount val="1"/>
                <c:pt idx="0">
                  <c:v>Total</c:v>
                </c:pt>
              </c:strCache>
            </c:strRef>
          </c:cat>
          <c:val>
            <c:numRef>
              <c:f>'Pivot Tables'!$AC$4</c:f>
              <c:numCache>
                <c:formatCode>General</c:formatCode>
                <c:ptCount val="1"/>
                <c:pt idx="0">
                  <c:v>6268715</c:v>
                </c:pt>
              </c:numCache>
            </c:numRef>
          </c:val>
          <c:extLst>
            <c:ext xmlns:c16="http://schemas.microsoft.com/office/drawing/2014/chart" uri="{C3380CC4-5D6E-409C-BE32-E72D297353CC}">
              <c16:uniqueId val="{00000002-ECEF-4233-9F47-253EE6F2C843}"/>
            </c:ext>
          </c:extLst>
        </c:ser>
        <c:ser>
          <c:idx val="3"/>
          <c:order val="3"/>
          <c:tx>
            <c:strRef>
              <c:f>'Pivot Tables'!$AD$3</c:f>
              <c:strCache>
                <c:ptCount val="1"/>
                <c:pt idx="0">
                  <c:v>Sum of Транспортные расходы</c:v>
                </c:pt>
              </c:strCache>
            </c:strRef>
          </c:tx>
          <c:spPr>
            <a:solidFill>
              <a:schemeClr val="accent4"/>
            </a:solidFill>
            <a:ln>
              <a:noFill/>
            </a:ln>
            <a:effectLst/>
          </c:spPr>
          <c:invertIfNegative val="0"/>
          <c:cat>
            <c:strRef>
              <c:f>'Pivot Tables'!$AA$4</c:f>
              <c:strCache>
                <c:ptCount val="1"/>
                <c:pt idx="0">
                  <c:v>Total</c:v>
                </c:pt>
              </c:strCache>
            </c:strRef>
          </c:cat>
          <c:val>
            <c:numRef>
              <c:f>'Pivot Tables'!$AD$4</c:f>
              <c:numCache>
                <c:formatCode>General</c:formatCode>
                <c:ptCount val="1"/>
                <c:pt idx="0">
                  <c:v>4464712</c:v>
                </c:pt>
              </c:numCache>
            </c:numRef>
          </c:val>
          <c:extLst>
            <c:ext xmlns:c16="http://schemas.microsoft.com/office/drawing/2014/chart" uri="{C3380CC4-5D6E-409C-BE32-E72D297353CC}">
              <c16:uniqueId val="{00000003-ECEF-4233-9F47-253EE6F2C843}"/>
            </c:ext>
          </c:extLst>
        </c:ser>
        <c:ser>
          <c:idx val="4"/>
          <c:order val="4"/>
          <c:tx>
            <c:strRef>
              <c:f>'Pivot Tables'!$AE$3</c:f>
              <c:strCache>
                <c:ptCount val="1"/>
                <c:pt idx="0">
                  <c:v>Sum of Расходы на интернет и телефонию</c:v>
                </c:pt>
              </c:strCache>
            </c:strRef>
          </c:tx>
          <c:spPr>
            <a:solidFill>
              <a:schemeClr val="accent5"/>
            </a:solidFill>
            <a:ln>
              <a:noFill/>
            </a:ln>
            <a:effectLst/>
          </c:spPr>
          <c:invertIfNegative val="0"/>
          <c:cat>
            <c:strRef>
              <c:f>'Pivot Tables'!$AA$4</c:f>
              <c:strCache>
                <c:ptCount val="1"/>
                <c:pt idx="0">
                  <c:v>Total</c:v>
                </c:pt>
              </c:strCache>
            </c:strRef>
          </c:cat>
          <c:val>
            <c:numRef>
              <c:f>'Pivot Tables'!$AE$4</c:f>
              <c:numCache>
                <c:formatCode>General</c:formatCode>
                <c:ptCount val="1"/>
                <c:pt idx="0">
                  <c:v>2308141</c:v>
                </c:pt>
              </c:numCache>
            </c:numRef>
          </c:val>
          <c:extLst>
            <c:ext xmlns:c16="http://schemas.microsoft.com/office/drawing/2014/chart" uri="{C3380CC4-5D6E-409C-BE32-E72D297353CC}">
              <c16:uniqueId val="{00000004-ECEF-4233-9F47-253EE6F2C843}"/>
            </c:ext>
          </c:extLst>
        </c:ser>
        <c:ser>
          <c:idx val="5"/>
          <c:order val="5"/>
          <c:tx>
            <c:strRef>
              <c:f>'Pivot Tables'!$AF$3</c:f>
              <c:strCache>
                <c:ptCount val="1"/>
                <c:pt idx="0">
                  <c:v>Sum of Офисные расходы</c:v>
                </c:pt>
              </c:strCache>
            </c:strRef>
          </c:tx>
          <c:spPr>
            <a:solidFill>
              <a:schemeClr val="accent6"/>
            </a:solidFill>
            <a:ln>
              <a:noFill/>
            </a:ln>
            <a:effectLst/>
          </c:spPr>
          <c:invertIfNegative val="0"/>
          <c:cat>
            <c:strRef>
              <c:f>'Pivot Tables'!$AA$4</c:f>
              <c:strCache>
                <c:ptCount val="1"/>
                <c:pt idx="0">
                  <c:v>Total</c:v>
                </c:pt>
              </c:strCache>
            </c:strRef>
          </c:cat>
          <c:val>
            <c:numRef>
              <c:f>'Pivot Tables'!$AF$4</c:f>
              <c:numCache>
                <c:formatCode>General</c:formatCode>
                <c:ptCount val="1"/>
                <c:pt idx="0">
                  <c:v>4410485</c:v>
                </c:pt>
              </c:numCache>
            </c:numRef>
          </c:val>
          <c:extLst>
            <c:ext xmlns:c16="http://schemas.microsoft.com/office/drawing/2014/chart" uri="{C3380CC4-5D6E-409C-BE32-E72D297353CC}">
              <c16:uniqueId val="{00000005-ECEF-4233-9F47-253EE6F2C843}"/>
            </c:ext>
          </c:extLst>
        </c:ser>
        <c:ser>
          <c:idx val="6"/>
          <c:order val="6"/>
          <c:tx>
            <c:strRef>
              <c:f>'Pivot Tables'!$AG$3</c:f>
              <c:strCache>
                <c:ptCount val="1"/>
                <c:pt idx="0">
                  <c:v>Sum of Финансовые расходы</c:v>
                </c:pt>
              </c:strCache>
            </c:strRef>
          </c:tx>
          <c:spPr>
            <a:solidFill>
              <a:schemeClr val="accent1">
                <a:lumMod val="60000"/>
              </a:schemeClr>
            </a:solidFill>
            <a:ln>
              <a:noFill/>
            </a:ln>
            <a:effectLst/>
          </c:spPr>
          <c:invertIfNegative val="0"/>
          <c:cat>
            <c:strRef>
              <c:f>'Pivot Tables'!$AA$4</c:f>
              <c:strCache>
                <c:ptCount val="1"/>
                <c:pt idx="0">
                  <c:v>Total</c:v>
                </c:pt>
              </c:strCache>
            </c:strRef>
          </c:cat>
          <c:val>
            <c:numRef>
              <c:f>'Pivot Tables'!$AG$4</c:f>
              <c:numCache>
                <c:formatCode>General</c:formatCode>
                <c:ptCount val="1"/>
                <c:pt idx="0">
                  <c:v>893801</c:v>
                </c:pt>
              </c:numCache>
            </c:numRef>
          </c:val>
          <c:extLst>
            <c:ext xmlns:c16="http://schemas.microsoft.com/office/drawing/2014/chart" uri="{C3380CC4-5D6E-409C-BE32-E72D297353CC}">
              <c16:uniqueId val="{00000006-ECEF-4233-9F47-253EE6F2C843}"/>
            </c:ext>
          </c:extLst>
        </c:ser>
        <c:ser>
          <c:idx val="7"/>
          <c:order val="7"/>
          <c:tx>
            <c:strRef>
              <c:f>'Pivot Tables'!$AH$3</c:f>
              <c:strCache>
                <c:ptCount val="1"/>
                <c:pt idx="0">
                  <c:v>Sum of Налоги</c:v>
                </c:pt>
              </c:strCache>
            </c:strRef>
          </c:tx>
          <c:spPr>
            <a:solidFill>
              <a:schemeClr val="accent2">
                <a:lumMod val="60000"/>
              </a:schemeClr>
            </a:solidFill>
            <a:ln>
              <a:noFill/>
            </a:ln>
            <a:effectLst/>
          </c:spPr>
          <c:invertIfNegative val="0"/>
          <c:cat>
            <c:strRef>
              <c:f>'Pivot Tables'!$AA$4</c:f>
              <c:strCache>
                <c:ptCount val="1"/>
                <c:pt idx="0">
                  <c:v>Total</c:v>
                </c:pt>
              </c:strCache>
            </c:strRef>
          </c:cat>
          <c:val>
            <c:numRef>
              <c:f>'Pivot Tables'!$AH$4</c:f>
              <c:numCache>
                <c:formatCode>General</c:formatCode>
                <c:ptCount val="1"/>
                <c:pt idx="0">
                  <c:v>5092962</c:v>
                </c:pt>
              </c:numCache>
            </c:numRef>
          </c:val>
          <c:extLst>
            <c:ext xmlns:c16="http://schemas.microsoft.com/office/drawing/2014/chart" uri="{C3380CC4-5D6E-409C-BE32-E72D297353CC}">
              <c16:uniqueId val="{0000000A-ECEF-4233-9F47-253EE6F2C843}"/>
            </c:ext>
          </c:extLst>
        </c:ser>
        <c:dLbls>
          <c:showLegendKey val="0"/>
          <c:showVal val="0"/>
          <c:showCatName val="0"/>
          <c:showSerName val="0"/>
          <c:showPercent val="0"/>
          <c:showBubbleSize val="0"/>
        </c:dLbls>
        <c:gapWidth val="219"/>
        <c:overlap val="-27"/>
        <c:axId val="2067321567"/>
        <c:axId val="2067323231"/>
      </c:barChart>
      <c:catAx>
        <c:axId val="206732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323231"/>
        <c:crosses val="autoZero"/>
        <c:auto val="1"/>
        <c:lblAlgn val="ctr"/>
        <c:lblOffset val="100"/>
        <c:noMultiLvlLbl val="0"/>
      </c:catAx>
      <c:valAx>
        <c:axId val="2067323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321567"/>
        <c:crosses val="autoZero"/>
        <c:crossBetween val="between"/>
      </c:valAx>
      <c:spPr>
        <a:noFill/>
        <a:ln>
          <a:noFill/>
        </a:ln>
        <a:effectLst/>
      </c:spPr>
    </c:plotArea>
    <c:legend>
      <c:legendPos val="b"/>
      <c:layout>
        <c:manualLayout>
          <c:xMode val="edge"/>
          <c:yMode val="edge"/>
          <c:x val="6.5114636405743401E-2"/>
          <c:y val="0.83180669921980577"/>
          <c:w val="0.93022811486799428"/>
          <c:h val="0.149886664624587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Tables!PivotTable13</c:name>
    <c:fmtId val="44"/>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Tables'!$AJ$3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1C4-4D52-9B51-F7997372C30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1C4-4D52-9B51-F7997372C30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1C4-4D52-9B51-F7997372C30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1C4-4D52-9B51-F7997372C30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1C4-4D52-9B51-F7997372C30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1C4-4D52-9B51-F7997372C30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1C4-4D52-9B51-F7997372C30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'Pivot Tables'!$AI$4:$AI$18</c:f>
              <c:multiLvlStrCache>
                <c:ptCount val="7"/>
                <c:lvl>
                  <c:pt idx="0">
                    <c:v>Sum of Офисные расходы</c:v>
                  </c:pt>
                  <c:pt idx="1">
                    <c:v>Sum of Расходы на интернет и телефонию</c:v>
                  </c:pt>
                  <c:pt idx="2">
                    <c:v>Sum of Финансовые расходы</c:v>
                  </c:pt>
                  <c:pt idx="3">
                    <c:v>Sum of Транспортные расходы</c:v>
                  </c:pt>
                  <c:pt idx="4">
                    <c:v>Sum of Расходы на аренду</c:v>
                  </c:pt>
                  <c:pt idx="5">
                    <c:v>Sum of Расходы на ФОТ</c:v>
                  </c:pt>
                  <c:pt idx="6">
                    <c:v>Sum of Маркетинговые расходы</c:v>
                  </c:pt>
                </c:lvl>
                <c:lvl>
                  <c:pt idx="0">
                    <c:v>ИТОГ 2017</c:v>
                  </c:pt>
                </c:lvl>
              </c:multiLvlStrCache>
            </c:multiLvlStrRef>
          </c:cat>
          <c:val>
            <c:numRef>
              <c:f>'Pivot Tables'!$AJ$4:$AJ$18</c:f>
              <c:numCache>
                <c:formatCode>General</c:formatCode>
                <c:ptCount val="7"/>
                <c:pt idx="0">
                  <c:v>4410485</c:v>
                </c:pt>
                <c:pt idx="1">
                  <c:v>2308141</c:v>
                </c:pt>
                <c:pt idx="2">
                  <c:v>893801</c:v>
                </c:pt>
                <c:pt idx="3">
                  <c:v>4464712</c:v>
                </c:pt>
                <c:pt idx="4">
                  <c:v>6268715</c:v>
                </c:pt>
                <c:pt idx="5">
                  <c:v>30562705</c:v>
                </c:pt>
                <c:pt idx="6">
                  <c:v>8619489</c:v>
                </c:pt>
              </c:numCache>
            </c:numRef>
          </c:val>
          <c:extLst>
            <c:ext xmlns:c16="http://schemas.microsoft.com/office/drawing/2014/chart" uri="{C3380CC4-5D6E-409C-BE32-E72D297353CC}">
              <c16:uniqueId val="{00000000-EC8C-4ED6-9521-0B350816AA5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Tables!PivotTable19</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Tables'!$AN$4</c:f>
              <c:strCache>
                <c:ptCount val="1"/>
                <c:pt idx="0">
                  <c:v>Sum of Расходы на аренду</c:v>
                </c:pt>
              </c:strCache>
            </c:strRef>
          </c:tx>
          <c:spPr>
            <a:ln w="28575" cap="rnd">
              <a:solidFill>
                <a:schemeClr val="accent1"/>
              </a:solidFill>
              <a:round/>
            </a:ln>
            <a:effectLst/>
          </c:spPr>
          <c:marker>
            <c:symbol val="none"/>
          </c:marker>
          <c:cat>
            <c:strRef>
              <c:f>'Pivot Tables'!$AN$5</c:f>
              <c:strCache>
                <c:ptCount val="1"/>
                <c:pt idx="0">
                  <c:v>Total</c:v>
                </c:pt>
              </c:strCache>
            </c:strRef>
          </c:cat>
          <c:val>
            <c:numRef>
              <c:f>'Pivot Tables'!$AN$5</c:f>
              <c:numCache>
                <c:formatCode>General</c:formatCode>
                <c:ptCount val="1"/>
                <c:pt idx="0">
                  <c:v>26903288.059999999</c:v>
                </c:pt>
              </c:numCache>
            </c:numRef>
          </c:val>
          <c:smooth val="0"/>
          <c:extLst>
            <c:ext xmlns:c16="http://schemas.microsoft.com/office/drawing/2014/chart" uri="{C3380CC4-5D6E-409C-BE32-E72D297353CC}">
              <c16:uniqueId val="{00000051-5751-4131-A9BF-587CF1978337}"/>
            </c:ext>
          </c:extLst>
        </c:ser>
        <c:ser>
          <c:idx val="1"/>
          <c:order val="1"/>
          <c:tx>
            <c:strRef>
              <c:f>'Pivot Tables'!$AO$4</c:f>
              <c:strCache>
                <c:ptCount val="1"/>
                <c:pt idx="0">
                  <c:v>Sum of Финансовые расходы</c:v>
                </c:pt>
              </c:strCache>
            </c:strRef>
          </c:tx>
          <c:spPr>
            <a:ln w="28575" cap="rnd">
              <a:solidFill>
                <a:schemeClr val="accent2"/>
              </a:solidFill>
              <a:round/>
            </a:ln>
            <a:effectLst/>
          </c:spPr>
          <c:marker>
            <c:symbol val="none"/>
          </c:marker>
          <c:cat>
            <c:strRef>
              <c:f>'Pivot Tables'!$AN$5</c:f>
              <c:strCache>
                <c:ptCount val="1"/>
                <c:pt idx="0">
                  <c:v>Total</c:v>
                </c:pt>
              </c:strCache>
            </c:strRef>
          </c:cat>
          <c:val>
            <c:numRef>
              <c:f>'Pivot Tables'!$AO$5</c:f>
              <c:numCache>
                <c:formatCode>General</c:formatCode>
                <c:ptCount val="1"/>
                <c:pt idx="0">
                  <c:v>10979730.98</c:v>
                </c:pt>
              </c:numCache>
            </c:numRef>
          </c:val>
          <c:smooth val="0"/>
          <c:extLst>
            <c:ext xmlns:c16="http://schemas.microsoft.com/office/drawing/2014/chart" uri="{C3380CC4-5D6E-409C-BE32-E72D297353CC}">
              <c16:uniqueId val="{00000052-5751-4131-A9BF-587CF1978337}"/>
            </c:ext>
          </c:extLst>
        </c:ser>
        <c:ser>
          <c:idx val="2"/>
          <c:order val="2"/>
          <c:tx>
            <c:strRef>
              <c:f>'Pivot Tables'!$AP$4</c:f>
              <c:strCache>
                <c:ptCount val="1"/>
                <c:pt idx="0">
                  <c:v>Sum of Офисные расходы</c:v>
                </c:pt>
              </c:strCache>
            </c:strRef>
          </c:tx>
          <c:spPr>
            <a:ln w="28575" cap="rnd">
              <a:solidFill>
                <a:schemeClr val="accent3"/>
              </a:solidFill>
              <a:round/>
            </a:ln>
            <a:effectLst/>
          </c:spPr>
          <c:marker>
            <c:symbol val="none"/>
          </c:marker>
          <c:cat>
            <c:strRef>
              <c:f>'Pivot Tables'!$AN$5</c:f>
              <c:strCache>
                <c:ptCount val="1"/>
                <c:pt idx="0">
                  <c:v>Total</c:v>
                </c:pt>
              </c:strCache>
            </c:strRef>
          </c:cat>
          <c:val>
            <c:numRef>
              <c:f>'Pivot Tables'!$AP$5</c:f>
              <c:numCache>
                <c:formatCode>General</c:formatCode>
                <c:ptCount val="1"/>
                <c:pt idx="0">
                  <c:v>10861249</c:v>
                </c:pt>
              </c:numCache>
            </c:numRef>
          </c:val>
          <c:smooth val="0"/>
          <c:extLst>
            <c:ext xmlns:c16="http://schemas.microsoft.com/office/drawing/2014/chart" uri="{C3380CC4-5D6E-409C-BE32-E72D297353CC}">
              <c16:uniqueId val="{00000053-5751-4131-A9BF-587CF1978337}"/>
            </c:ext>
          </c:extLst>
        </c:ser>
        <c:ser>
          <c:idx val="3"/>
          <c:order val="3"/>
          <c:tx>
            <c:strRef>
              <c:f>'Pivot Tables'!$AQ$4</c:f>
              <c:strCache>
                <c:ptCount val="1"/>
                <c:pt idx="0">
                  <c:v>Sum of Транспортные расходы</c:v>
                </c:pt>
              </c:strCache>
            </c:strRef>
          </c:tx>
          <c:spPr>
            <a:ln w="28575" cap="rnd">
              <a:solidFill>
                <a:schemeClr val="accent4"/>
              </a:solidFill>
              <a:round/>
            </a:ln>
            <a:effectLst/>
          </c:spPr>
          <c:marker>
            <c:symbol val="none"/>
          </c:marker>
          <c:cat>
            <c:strRef>
              <c:f>'Pivot Tables'!$AN$5</c:f>
              <c:strCache>
                <c:ptCount val="1"/>
                <c:pt idx="0">
                  <c:v>Total</c:v>
                </c:pt>
              </c:strCache>
            </c:strRef>
          </c:cat>
          <c:val>
            <c:numRef>
              <c:f>'Pivot Tables'!$AQ$5</c:f>
              <c:numCache>
                <c:formatCode>General</c:formatCode>
                <c:ptCount val="1"/>
                <c:pt idx="0">
                  <c:v>26224811.710000001</c:v>
                </c:pt>
              </c:numCache>
            </c:numRef>
          </c:val>
          <c:smooth val="0"/>
          <c:extLst>
            <c:ext xmlns:c16="http://schemas.microsoft.com/office/drawing/2014/chart" uri="{C3380CC4-5D6E-409C-BE32-E72D297353CC}">
              <c16:uniqueId val="{00000054-5751-4131-A9BF-587CF1978337}"/>
            </c:ext>
          </c:extLst>
        </c:ser>
        <c:ser>
          <c:idx val="4"/>
          <c:order val="4"/>
          <c:tx>
            <c:strRef>
              <c:f>'Pivot Tables'!$AR$4</c:f>
              <c:strCache>
                <c:ptCount val="1"/>
                <c:pt idx="0">
                  <c:v>Sum of Расходы на ФОТ</c:v>
                </c:pt>
              </c:strCache>
            </c:strRef>
          </c:tx>
          <c:spPr>
            <a:ln w="28575" cap="rnd">
              <a:solidFill>
                <a:schemeClr val="accent5"/>
              </a:solidFill>
              <a:round/>
            </a:ln>
            <a:effectLst/>
          </c:spPr>
          <c:marker>
            <c:symbol val="none"/>
          </c:marker>
          <c:cat>
            <c:strRef>
              <c:f>'Pivot Tables'!$AN$5</c:f>
              <c:strCache>
                <c:ptCount val="1"/>
                <c:pt idx="0">
                  <c:v>Total</c:v>
                </c:pt>
              </c:strCache>
            </c:strRef>
          </c:cat>
          <c:val>
            <c:numRef>
              <c:f>'Pivot Tables'!$AR$5</c:f>
              <c:numCache>
                <c:formatCode>General</c:formatCode>
                <c:ptCount val="1"/>
                <c:pt idx="0">
                  <c:v>226135511.26999998</c:v>
                </c:pt>
              </c:numCache>
            </c:numRef>
          </c:val>
          <c:smooth val="0"/>
          <c:extLst>
            <c:ext xmlns:c16="http://schemas.microsoft.com/office/drawing/2014/chart" uri="{C3380CC4-5D6E-409C-BE32-E72D297353CC}">
              <c16:uniqueId val="{00000055-5751-4131-A9BF-587CF1978337}"/>
            </c:ext>
          </c:extLst>
        </c:ser>
        <c:ser>
          <c:idx val="5"/>
          <c:order val="5"/>
          <c:tx>
            <c:strRef>
              <c:f>'Pivot Tables'!$AS$4</c:f>
              <c:strCache>
                <c:ptCount val="1"/>
                <c:pt idx="0">
                  <c:v>Sum of Маркетинговые расходы</c:v>
                </c:pt>
              </c:strCache>
            </c:strRef>
          </c:tx>
          <c:spPr>
            <a:ln w="28575" cap="rnd">
              <a:solidFill>
                <a:schemeClr val="accent6"/>
              </a:solidFill>
              <a:round/>
            </a:ln>
            <a:effectLst/>
          </c:spPr>
          <c:marker>
            <c:symbol val="none"/>
          </c:marker>
          <c:cat>
            <c:strRef>
              <c:f>'Pivot Tables'!$AN$5</c:f>
              <c:strCache>
                <c:ptCount val="1"/>
                <c:pt idx="0">
                  <c:v>Total</c:v>
                </c:pt>
              </c:strCache>
            </c:strRef>
          </c:cat>
          <c:val>
            <c:numRef>
              <c:f>'Pivot Tables'!$AS$5</c:f>
              <c:numCache>
                <c:formatCode>General</c:formatCode>
                <c:ptCount val="1"/>
                <c:pt idx="0">
                  <c:v>44528134.600000001</c:v>
                </c:pt>
              </c:numCache>
            </c:numRef>
          </c:val>
          <c:smooth val="0"/>
          <c:extLst>
            <c:ext xmlns:c16="http://schemas.microsoft.com/office/drawing/2014/chart" uri="{C3380CC4-5D6E-409C-BE32-E72D297353CC}">
              <c16:uniqueId val="{00000056-5751-4131-A9BF-587CF1978337}"/>
            </c:ext>
          </c:extLst>
        </c:ser>
        <c:ser>
          <c:idx val="6"/>
          <c:order val="6"/>
          <c:tx>
            <c:strRef>
              <c:f>'Pivot Tables'!$AT$4</c:f>
              <c:strCache>
                <c:ptCount val="1"/>
                <c:pt idx="0">
                  <c:v>Sum of Расходы на интернет и телефонию</c:v>
                </c:pt>
              </c:strCache>
            </c:strRef>
          </c:tx>
          <c:spPr>
            <a:ln w="28575" cap="rnd">
              <a:solidFill>
                <a:schemeClr val="accent1">
                  <a:lumMod val="60000"/>
                </a:schemeClr>
              </a:solidFill>
              <a:round/>
            </a:ln>
            <a:effectLst/>
          </c:spPr>
          <c:marker>
            <c:symbol val="none"/>
          </c:marker>
          <c:cat>
            <c:strRef>
              <c:f>'Pivot Tables'!$AN$5</c:f>
              <c:strCache>
                <c:ptCount val="1"/>
                <c:pt idx="0">
                  <c:v>Total</c:v>
                </c:pt>
              </c:strCache>
            </c:strRef>
          </c:cat>
          <c:val>
            <c:numRef>
              <c:f>'Pivot Tables'!$AT$5</c:f>
              <c:numCache>
                <c:formatCode>General</c:formatCode>
                <c:ptCount val="1"/>
                <c:pt idx="0">
                  <c:v>18166400.590000004</c:v>
                </c:pt>
              </c:numCache>
            </c:numRef>
          </c:val>
          <c:smooth val="0"/>
          <c:extLst>
            <c:ext xmlns:c16="http://schemas.microsoft.com/office/drawing/2014/chart" uri="{C3380CC4-5D6E-409C-BE32-E72D297353CC}">
              <c16:uniqueId val="{00000057-5751-4131-A9BF-587CF1978337}"/>
            </c:ext>
          </c:extLst>
        </c:ser>
        <c:dLbls>
          <c:showLegendKey val="0"/>
          <c:showVal val="0"/>
          <c:showCatName val="0"/>
          <c:showSerName val="0"/>
          <c:showPercent val="0"/>
          <c:showBubbleSize val="0"/>
        </c:dLbls>
        <c:smooth val="0"/>
        <c:axId val="264329535"/>
        <c:axId val="264321215"/>
      </c:lineChart>
      <c:catAx>
        <c:axId val="26432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21215"/>
        <c:crosses val="autoZero"/>
        <c:auto val="1"/>
        <c:lblAlgn val="ctr"/>
        <c:lblOffset val="100"/>
        <c:noMultiLvlLbl val="0"/>
      </c:catAx>
      <c:valAx>
        <c:axId val="264321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29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Tables!3yearlysums</c:name>
    <c:fmtId val="0"/>
  </c:pivotSource>
  <c:chart>
    <c:autoTitleDeleted val="0"/>
    <c:pivotFmts>
      <c:pivotFmt>
        <c:idx val="0"/>
        <c:spPr>
          <a:solidFill>
            <a:schemeClr val="accent1"/>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1"/>
          <c:showPercent val="0"/>
          <c:showBubbleSize val="0"/>
          <c:extLst>
            <c:ext xmlns:c15="http://schemas.microsoft.com/office/drawing/2012/chart" uri="{CE6537A1-D6FC-4f65-9D91-7224C49458BB}"/>
          </c:extLst>
        </c:dLbl>
      </c:pivotFmt>
      <c:pivotFmt>
        <c:idx val="1"/>
        <c:spPr>
          <a:solidFill>
            <a:srgbClr val="B3B3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1"/>
          <c:showPercent val="0"/>
          <c:showBubbleSize val="0"/>
          <c:extLst>
            <c:ext xmlns:c15="http://schemas.microsoft.com/office/drawing/2012/chart" uri="{CE6537A1-D6FC-4f65-9D91-7224C49458BB}"/>
          </c:extLst>
        </c:dLbl>
      </c:pivotFmt>
      <c:pivotFmt>
        <c:idx val="2"/>
        <c:spPr>
          <a:solidFill>
            <a:srgbClr val="CC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3"/>
        <c:spPr>
          <a:solidFill>
            <a:schemeClr val="accent1"/>
          </a:solidFill>
          <a:ln>
            <a:solidFill>
              <a:schemeClr val="accent1">
                <a:shade val="50000"/>
              </a:schemeClr>
            </a:solidFill>
          </a:ln>
          <a:effectLst/>
        </c:spPr>
        <c:dLbl>
          <c:idx val="0"/>
          <c:layout>
            <c:manualLayout>
              <c:x val="3.0555555555555454E-2"/>
              <c:y val="-0.342592592592592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1"/>
          <c:showPercent val="0"/>
          <c:showBubbleSize val="0"/>
          <c:extLst>
            <c:ext xmlns:c15="http://schemas.microsoft.com/office/drawing/2012/chart" uri="{CE6537A1-D6FC-4f65-9D91-7224C49458BB}"/>
          </c:extLst>
        </c:dLbl>
      </c:pivotFmt>
      <c:pivotFmt>
        <c:idx val="4"/>
        <c:spPr>
          <a:solidFill>
            <a:srgbClr val="B3B3B3"/>
          </a:solidFill>
          <a:ln>
            <a:noFill/>
          </a:ln>
          <a:effectLst/>
        </c:spPr>
        <c:dLbl>
          <c:idx val="0"/>
          <c:layout>
            <c:manualLayout>
              <c:x val="-4.4444444444444446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1"/>
          <c:showPercent val="0"/>
          <c:showBubbleSize val="0"/>
          <c:extLst>
            <c:ext xmlns:c15="http://schemas.microsoft.com/office/drawing/2012/chart" uri="{CE6537A1-D6FC-4f65-9D91-7224C49458BB}"/>
          </c:extLst>
        </c:dLbl>
      </c:pivotFmt>
      <c:pivotFmt>
        <c:idx val="5"/>
        <c:spPr>
          <a:solidFill>
            <a:srgbClr val="CCFFFF"/>
          </a:solidFill>
          <a:ln>
            <a:noFill/>
          </a:ln>
          <a:effectLst/>
        </c:spPr>
        <c:dLbl>
          <c:idx val="0"/>
          <c:layout>
            <c:manualLayout>
              <c:x val="0.1388888888888889"/>
              <c:y val="-1.38888888888889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Tables'!$L$101</c:f>
              <c:strCache>
                <c:ptCount val="1"/>
                <c:pt idx="0">
                  <c:v>Вaловая прибыль</c:v>
                </c:pt>
              </c:strCache>
            </c:strRef>
          </c:tx>
          <c:spPr>
            <a:solidFill>
              <a:schemeClr val="accent1"/>
            </a:solidFill>
            <a:ln>
              <a:solidFill>
                <a:schemeClr val="accent1">
                  <a:shade val="50000"/>
                </a:schemeClr>
              </a:solidFill>
            </a:ln>
            <a:effectLst/>
          </c:spPr>
          <c:dPt>
            <c:idx val="0"/>
            <c:bubble3D val="0"/>
            <c:extLst>
              <c:ext xmlns:c16="http://schemas.microsoft.com/office/drawing/2014/chart" uri="{C3380CC4-5D6E-409C-BE32-E72D297353CC}">
                <c16:uniqueId val="{00000001-033E-40DD-803E-255CD2459570}"/>
              </c:ext>
            </c:extLst>
          </c:dPt>
          <c:dLbls>
            <c:dLbl>
              <c:idx val="0"/>
              <c:layout>
                <c:manualLayout>
                  <c:x val="3.0555555555555454E-2"/>
                  <c:y val="-0.34259259259259262"/>
                </c:manualLayout>
              </c:layout>
              <c:showLegendKey val="1"/>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033E-40DD-803E-255CD2459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1"/>
            <c:showPercent val="0"/>
            <c:showBubbleSize val="0"/>
            <c:showLeaderLines val="0"/>
            <c:extLst>
              <c:ext xmlns:c15="http://schemas.microsoft.com/office/drawing/2012/chart" uri="{CE6537A1-D6FC-4f65-9D91-7224C49458BB}">
                <c15:showLeaderLines val="0"/>
              </c:ext>
            </c:extLst>
          </c:dLbls>
          <c:cat>
            <c:strRef>
              <c:f>'Pivot Tables'!$K$102:$K$108</c:f>
              <c:strCache>
                <c:ptCount val="6"/>
                <c:pt idx="0">
                  <c:v>2017</c:v>
                </c:pt>
                <c:pt idx="1">
                  <c:v>2018</c:v>
                </c:pt>
                <c:pt idx="2">
                  <c:v>2019</c:v>
                </c:pt>
                <c:pt idx="3">
                  <c:v>2020</c:v>
                </c:pt>
                <c:pt idx="4">
                  <c:v>2021</c:v>
                </c:pt>
                <c:pt idx="5">
                  <c:v>2022</c:v>
                </c:pt>
              </c:strCache>
            </c:strRef>
          </c:cat>
          <c:val>
            <c:numRef>
              <c:f>'Pivot Tables'!$L$102:$L$108</c:f>
              <c:numCache>
                <c:formatCode>General</c:formatCode>
                <c:ptCount val="6"/>
                <c:pt idx="0">
                  <c:v>72988025</c:v>
                </c:pt>
                <c:pt idx="1">
                  <c:v>86410258</c:v>
                </c:pt>
                <c:pt idx="2">
                  <c:v>74310679.280000001</c:v>
                </c:pt>
                <c:pt idx="3">
                  <c:v>76537656.799999997</c:v>
                </c:pt>
                <c:pt idx="4">
                  <c:v>79264162.280000001</c:v>
                </c:pt>
                <c:pt idx="5">
                  <c:v>91209812.379999995</c:v>
                </c:pt>
              </c:numCache>
            </c:numRef>
          </c:val>
          <c:extLst>
            <c:ext xmlns:c16="http://schemas.microsoft.com/office/drawing/2014/chart" uri="{C3380CC4-5D6E-409C-BE32-E72D297353CC}">
              <c16:uniqueId val="{00000000-288D-4444-B611-6010536CEB5B}"/>
            </c:ext>
          </c:extLst>
        </c:ser>
        <c:ser>
          <c:idx val="1"/>
          <c:order val="1"/>
          <c:tx>
            <c:strRef>
              <c:f>'Pivot Tables'!$M$101</c:f>
              <c:strCache>
                <c:ptCount val="1"/>
                <c:pt idx="0">
                  <c:v>Расходы</c:v>
                </c:pt>
              </c:strCache>
            </c:strRef>
          </c:tx>
          <c:spPr>
            <a:solidFill>
              <a:srgbClr val="B3B3B3"/>
            </a:solidFill>
            <a:ln>
              <a:noFill/>
            </a:ln>
            <a:effectLst/>
          </c:spPr>
          <c:dPt>
            <c:idx val="0"/>
            <c:bubble3D val="0"/>
            <c:extLst>
              <c:ext xmlns:c16="http://schemas.microsoft.com/office/drawing/2014/chart" uri="{C3380CC4-5D6E-409C-BE32-E72D297353CC}">
                <c16:uniqueId val="{00000002-033E-40DD-803E-255CD2459570}"/>
              </c:ext>
            </c:extLst>
          </c:dPt>
          <c:dLbls>
            <c:dLbl>
              <c:idx val="0"/>
              <c:layout>
                <c:manualLayout>
                  <c:x val="-4.4444444444444446E-2"/>
                  <c:y val="-9.2592592592592587E-2"/>
                </c:manualLayout>
              </c:layout>
              <c:showLegendKey val="1"/>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033E-40DD-803E-255CD2459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0"/>
            <c:showSerName val="1"/>
            <c:showPercent val="0"/>
            <c:showBubbleSize val="0"/>
            <c:showLeaderLines val="0"/>
            <c:extLst>
              <c:ext xmlns:c15="http://schemas.microsoft.com/office/drawing/2012/chart" uri="{CE6537A1-D6FC-4f65-9D91-7224C49458BB}">
                <c15:showLeaderLines val="0"/>
              </c:ext>
            </c:extLst>
          </c:dLbls>
          <c:cat>
            <c:strRef>
              <c:f>'Pivot Tables'!$K$102:$K$108</c:f>
              <c:strCache>
                <c:ptCount val="6"/>
                <c:pt idx="0">
                  <c:v>2017</c:v>
                </c:pt>
                <c:pt idx="1">
                  <c:v>2018</c:v>
                </c:pt>
                <c:pt idx="2">
                  <c:v>2019</c:v>
                </c:pt>
                <c:pt idx="3">
                  <c:v>2020</c:v>
                </c:pt>
                <c:pt idx="4">
                  <c:v>2021</c:v>
                </c:pt>
                <c:pt idx="5">
                  <c:v>2022</c:v>
                </c:pt>
              </c:strCache>
            </c:strRef>
          </c:cat>
          <c:val>
            <c:numRef>
              <c:f>'Pivot Tables'!$M$102:$M$108</c:f>
              <c:numCache>
                <c:formatCode>General</c:formatCode>
                <c:ptCount val="6"/>
                <c:pt idx="0">
                  <c:v>57528048</c:v>
                </c:pt>
                <c:pt idx="1">
                  <c:v>66318441</c:v>
                </c:pt>
                <c:pt idx="2">
                  <c:v>60988545.950000003</c:v>
                </c:pt>
                <c:pt idx="3">
                  <c:v>54318636.109999999</c:v>
                </c:pt>
                <c:pt idx="4">
                  <c:v>60433232.150000006</c:v>
                </c:pt>
                <c:pt idx="5">
                  <c:v>64212223</c:v>
                </c:pt>
              </c:numCache>
            </c:numRef>
          </c:val>
          <c:extLst>
            <c:ext xmlns:c16="http://schemas.microsoft.com/office/drawing/2014/chart" uri="{C3380CC4-5D6E-409C-BE32-E72D297353CC}">
              <c16:uniqueId val="{00000001-288D-4444-B611-6010536CEB5B}"/>
            </c:ext>
          </c:extLst>
        </c:ser>
        <c:ser>
          <c:idx val="2"/>
          <c:order val="2"/>
          <c:tx>
            <c:strRef>
              <c:f>'Pivot Tables'!$N$101</c:f>
              <c:strCache>
                <c:ptCount val="1"/>
                <c:pt idx="0">
                  <c:v>Чистaя прибыль</c:v>
                </c:pt>
              </c:strCache>
            </c:strRef>
          </c:tx>
          <c:spPr>
            <a:solidFill>
              <a:srgbClr val="CCFFFF"/>
            </a:solidFill>
            <a:ln>
              <a:noFill/>
            </a:ln>
            <a:effectLst/>
          </c:spPr>
          <c:dPt>
            <c:idx val="0"/>
            <c:bubble3D val="0"/>
            <c:extLst>
              <c:ext xmlns:c16="http://schemas.microsoft.com/office/drawing/2014/chart" uri="{C3380CC4-5D6E-409C-BE32-E72D297353CC}">
                <c16:uniqueId val="{00000003-033E-40DD-803E-255CD2459570}"/>
              </c:ext>
            </c:extLst>
          </c:dPt>
          <c:dLbls>
            <c:dLbl>
              <c:idx val="0"/>
              <c:layout>
                <c:manualLayout>
                  <c:x val="0.1388888888888889"/>
                  <c:y val="-1.388888888888897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033E-40DD-803E-255CD2459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'Pivot Tables'!$K$102:$K$108</c:f>
              <c:strCache>
                <c:ptCount val="6"/>
                <c:pt idx="0">
                  <c:v>2017</c:v>
                </c:pt>
                <c:pt idx="1">
                  <c:v>2018</c:v>
                </c:pt>
                <c:pt idx="2">
                  <c:v>2019</c:v>
                </c:pt>
                <c:pt idx="3">
                  <c:v>2020</c:v>
                </c:pt>
                <c:pt idx="4">
                  <c:v>2021</c:v>
                </c:pt>
                <c:pt idx="5">
                  <c:v>2022</c:v>
                </c:pt>
              </c:strCache>
            </c:strRef>
          </c:cat>
          <c:val>
            <c:numRef>
              <c:f>'Pivot Tables'!$N$102:$N$108</c:f>
              <c:numCache>
                <c:formatCode>General</c:formatCode>
                <c:ptCount val="6"/>
                <c:pt idx="0">
                  <c:v>10367015</c:v>
                </c:pt>
                <c:pt idx="1">
                  <c:v>13422428</c:v>
                </c:pt>
                <c:pt idx="2">
                  <c:v>6058308.3300000001</c:v>
                </c:pt>
                <c:pt idx="3">
                  <c:v>18605842.630000003</c:v>
                </c:pt>
                <c:pt idx="4">
                  <c:v>13085898.130000001</c:v>
                </c:pt>
                <c:pt idx="5">
                  <c:v>21192281.590000004</c:v>
                </c:pt>
              </c:numCache>
            </c:numRef>
          </c:val>
          <c:extLst>
            <c:ext xmlns:c16="http://schemas.microsoft.com/office/drawing/2014/chart" uri="{C3380CC4-5D6E-409C-BE32-E72D297353CC}">
              <c16:uniqueId val="{00000002-288D-4444-B611-6010536CEB5B}"/>
            </c:ext>
          </c:extLst>
        </c:ser>
        <c:dLbls>
          <c:showLegendKey val="0"/>
          <c:showVal val="0"/>
          <c:showCatName val="0"/>
          <c:showSerName val="0"/>
          <c:showPercent val="0"/>
          <c:showBubbleSize val="0"/>
        </c:dLbls>
        <c:axId val="1185233327"/>
        <c:axId val="1185246639"/>
      </c:areaChart>
      <c:catAx>
        <c:axId val="11852333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246639"/>
        <c:crosses val="autoZero"/>
        <c:auto val="1"/>
        <c:lblAlgn val="ctr"/>
        <c:lblOffset val="100"/>
        <c:noMultiLvlLbl val="0"/>
      </c:catAx>
      <c:valAx>
        <c:axId val="1185246639"/>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419]"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233327"/>
        <c:crosses val="autoZero"/>
        <c:crossBetween val="midCat"/>
        <c:dispUnits>
          <c:builtInUnit val="millions"/>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Tables!PivotTable26</c:name>
    <c:fmtId val="5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Tables'!$T$31</c:f>
              <c:strCache>
                <c:ptCount val="1"/>
                <c:pt idx="0">
                  <c:v>Total</c:v>
                </c:pt>
              </c:strCache>
            </c:strRef>
          </c:tx>
          <c:spPr>
            <a:ln w="28575" cap="rnd">
              <a:solidFill>
                <a:schemeClr val="accent1"/>
              </a:solidFill>
              <a:round/>
            </a:ln>
            <a:effectLst/>
          </c:spPr>
          <c:marker>
            <c:symbol val="none"/>
          </c:marker>
          <c:cat>
            <c:strRef>
              <c:f>'Pivot Tables'!$S$32:$S$38</c:f>
              <c:strCache>
                <c:ptCount val="6"/>
                <c:pt idx="0">
                  <c:v>2017</c:v>
                </c:pt>
                <c:pt idx="1">
                  <c:v>2018</c:v>
                </c:pt>
                <c:pt idx="2">
                  <c:v>2019</c:v>
                </c:pt>
                <c:pt idx="3">
                  <c:v>2020</c:v>
                </c:pt>
                <c:pt idx="4">
                  <c:v>2021</c:v>
                </c:pt>
                <c:pt idx="5">
                  <c:v>2022</c:v>
                </c:pt>
              </c:strCache>
            </c:strRef>
          </c:cat>
          <c:val>
            <c:numRef>
              <c:f>'Pivot Tables'!$T$32:$T$38</c:f>
              <c:numCache>
                <c:formatCode>General</c:formatCode>
                <c:ptCount val="6"/>
                <c:pt idx="0">
                  <c:v>67758349</c:v>
                </c:pt>
                <c:pt idx="1">
                  <c:v>63758835</c:v>
                </c:pt>
                <c:pt idx="2">
                  <c:v>53829247.719999999</c:v>
                </c:pt>
                <c:pt idx="3">
                  <c:v>56602228.890000008</c:v>
                </c:pt>
                <c:pt idx="4">
                  <c:v>62983953.140000001</c:v>
                </c:pt>
                <c:pt idx="5">
                  <c:v>67894674.179999992</c:v>
                </c:pt>
              </c:numCache>
            </c:numRef>
          </c:val>
          <c:smooth val="0"/>
          <c:extLst>
            <c:ext xmlns:c16="http://schemas.microsoft.com/office/drawing/2014/chart" uri="{C3380CC4-5D6E-409C-BE32-E72D297353CC}">
              <c16:uniqueId val="{00000000-86D3-4AA3-B0EA-8347B46D649D}"/>
            </c:ext>
          </c:extLst>
        </c:ser>
        <c:dLbls>
          <c:showLegendKey val="0"/>
          <c:showVal val="0"/>
          <c:showCatName val="0"/>
          <c:showSerName val="0"/>
          <c:showPercent val="0"/>
          <c:showBubbleSize val="0"/>
        </c:dLbls>
        <c:smooth val="0"/>
        <c:axId val="1545082351"/>
        <c:axId val="1545079023"/>
      </c:lineChart>
      <c:catAx>
        <c:axId val="1545082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079023"/>
        <c:crosses val="autoZero"/>
        <c:auto val="1"/>
        <c:lblAlgn val="ctr"/>
        <c:lblOffset val="100"/>
        <c:noMultiLvlLbl val="0"/>
      </c:catAx>
      <c:valAx>
        <c:axId val="1545079023"/>
        <c:scaling>
          <c:orientation val="minMax"/>
          <c:min val="500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082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2735042735042739E-3"/>
          <c:y val="0.18072189694236937"/>
          <c:w val="0.79700854700854706"/>
          <c:h val="0.68252596630549389"/>
        </c:manualLayout>
      </c:layout>
      <c:ofPieChart>
        <c:ofPieType val="bar"/>
        <c:varyColors val="1"/>
        <c:ser>
          <c:idx val="0"/>
          <c:order val="0"/>
          <c:dPt>
            <c:idx val="0"/>
            <c:bubble3D val="0"/>
            <c:spPr>
              <a:solidFill>
                <a:srgbClr val="CCFFFF"/>
              </a:solidFill>
              <a:ln w="19050">
                <a:solidFill>
                  <a:schemeClr val="lt1"/>
                </a:solidFill>
              </a:ln>
              <a:effectLst/>
            </c:spPr>
            <c:extLst>
              <c:ext xmlns:c16="http://schemas.microsoft.com/office/drawing/2014/chart" uri="{C3380CC4-5D6E-409C-BE32-E72D297353CC}">
                <c16:uniqueId val="{00000002-A8D7-4026-861C-A504D28AEB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3A-44E0-B89B-332FF0CBE98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3A-44E0-B89B-332FF0CBE98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03A-44E0-B89B-332FF0CBE98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03A-44E0-B89B-332FF0CBE98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03A-44E0-B89B-332FF0CBE98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03A-44E0-B89B-332FF0CBE98D}"/>
              </c:ext>
            </c:extLst>
          </c:dPt>
          <c:dPt>
            <c:idx val="7"/>
            <c:bubble3D val="0"/>
            <c:spPr>
              <a:solidFill>
                <a:schemeClr val="tx1"/>
              </a:solidFill>
              <a:ln w="19050">
                <a:solidFill>
                  <a:schemeClr val="lt1"/>
                </a:solidFill>
              </a:ln>
              <a:effectLst/>
            </c:spPr>
            <c:extLst>
              <c:ext xmlns:c16="http://schemas.microsoft.com/office/drawing/2014/chart" uri="{C3380CC4-5D6E-409C-BE32-E72D297353CC}">
                <c16:uniqueId val="{00000003-A8D7-4026-861C-A504D28AEBE9}"/>
              </c:ext>
            </c:extLst>
          </c:dPt>
          <c:cat>
            <c:strRef>
              <c:f>'Pivot Tables'!$AN$9:$AN$15</c:f>
              <c:strCache>
                <c:ptCount val="7"/>
                <c:pt idx="0">
                  <c:v>ФОТ</c:v>
                </c:pt>
                <c:pt idx="1">
                  <c:v>Маркетинг</c:v>
                </c:pt>
                <c:pt idx="2">
                  <c:v>Aрендa</c:v>
                </c:pt>
                <c:pt idx="3">
                  <c:v>Транспорт</c:v>
                </c:pt>
                <c:pt idx="4">
                  <c:v>Интернет и Телефонию</c:v>
                </c:pt>
                <c:pt idx="5">
                  <c:v>Финансовые расходы</c:v>
                </c:pt>
                <c:pt idx="6">
                  <c:v>Офисные расходы</c:v>
                </c:pt>
              </c:strCache>
            </c:strRef>
          </c:cat>
          <c:val>
            <c:numRef>
              <c:f>'Pivot Tables'!$AO$9:$AO$15</c:f>
              <c:numCache>
                <c:formatCode>0</c:formatCode>
                <c:ptCount val="7"/>
                <c:pt idx="0">
                  <c:v>226135511.26999998</c:v>
                </c:pt>
                <c:pt idx="1">
                  <c:v>44528134.600000001</c:v>
                </c:pt>
                <c:pt idx="2">
                  <c:v>26903288.059999999</c:v>
                </c:pt>
                <c:pt idx="3">
                  <c:v>26224811.710000001</c:v>
                </c:pt>
                <c:pt idx="4">
                  <c:v>18166400.590000004</c:v>
                </c:pt>
                <c:pt idx="5">
                  <c:v>10979730.98</c:v>
                </c:pt>
                <c:pt idx="6">
                  <c:v>10861249</c:v>
                </c:pt>
              </c:numCache>
            </c:numRef>
          </c:val>
          <c:extLst>
            <c:ext xmlns:c16="http://schemas.microsoft.com/office/drawing/2014/chart" uri="{C3380CC4-5D6E-409C-BE32-E72D297353CC}">
              <c16:uniqueId val="{00000000-A8D7-4026-861C-A504D28AEBE9}"/>
            </c:ext>
          </c:extLst>
        </c:ser>
        <c:dLbls>
          <c:showLegendKey val="0"/>
          <c:showVal val="0"/>
          <c:showCatName val="0"/>
          <c:showSerName val="0"/>
          <c:showPercent val="0"/>
          <c:showBubbleSize val="0"/>
          <c:showLeaderLines val="1"/>
        </c:dLbls>
        <c:gapWidth val="131"/>
        <c:splitType val="percent"/>
        <c:splitPos val="20"/>
        <c:secondPieSize val="81"/>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 2'!$I$4</c:f>
              <c:strCache>
                <c:ptCount val="1"/>
                <c:pt idx="0">
                  <c:v>Total</c:v>
                </c:pt>
              </c:strCache>
            </c:strRef>
          </c:tx>
          <c:spPr>
            <a:ln w="28575" cap="rnd">
              <a:solidFill>
                <a:schemeClr val="accent1"/>
              </a:solidFill>
              <a:round/>
            </a:ln>
            <a:effectLst/>
          </c:spPr>
          <c:marker>
            <c:symbol val="none"/>
          </c:marker>
          <c:cat>
            <c:strRef>
              <c:f>'Pivot Tables 2'!$H$5:$H$17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 2'!$I$5:$I$17</c:f>
              <c:numCache>
                <c:formatCode>General</c:formatCode>
                <c:ptCount val="12"/>
                <c:pt idx="0">
                  <c:v>-4238609.93</c:v>
                </c:pt>
                <c:pt idx="1">
                  <c:v>-431087.39999999997</c:v>
                </c:pt>
                <c:pt idx="2">
                  <c:v>9294900.2299999986</c:v>
                </c:pt>
                <c:pt idx="3">
                  <c:v>11990855.460000001</c:v>
                </c:pt>
                <c:pt idx="4">
                  <c:v>11112761.59</c:v>
                </c:pt>
                <c:pt idx="5">
                  <c:v>8053333.9199999999</c:v>
                </c:pt>
                <c:pt idx="6">
                  <c:v>9697370.0899999999</c:v>
                </c:pt>
                <c:pt idx="7">
                  <c:v>6582944.3599999994</c:v>
                </c:pt>
                <c:pt idx="8">
                  <c:v>7770752.1399999997</c:v>
                </c:pt>
                <c:pt idx="9">
                  <c:v>7768519.4600000009</c:v>
                </c:pt>
                <c:pt idx="10">
                  <c:v>2997840.5800000005</c:v>
                </c:pt>
                <c:pt idx="11">
                  <c:v>12132193.179999998</c:v>
                </c:pt>
              </c:numCache>
            </c:numRef>
          </c:val>
          <c:smooth val="0"/>
          <c:extLst>
            <c:ext xmlns:c16="http://schemas.microsoft.com/office/drawing/2014/chart" uri="{C3380CC4-5D6E-409C-BE32-E72D297353CC}">
              <c16:uniqueId val="{00000000-A5B0-4A0B-9E55-485EE429D7C9}"/>
            </c:ext>
          </c:extLst>
        </c:ser>
        <c:dLbls>
          <c:showLegendKey val="0"/>
          <c:showVal val="0"/>
          <c:showCatName val="0"/>
          <c:showSerName val="0"/>
          <c:showPercent val="0"/>
          <c:showBubbleSize val="0"/>
        </c:dLbls>
        <c:smooth val="0"/>
        <c:axId val="783727407"/>
        <c:axId val="783730319"/>
      </c:lineChart>
      <c:catAx>
        <c:axId val="78372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730319"/>
        <c:crosses val="autoZero"/>
        <c:auto val="1"/>
        <c:lblAlgn val="ctr"/>
        <c:lblOffset val="100"/>
        <c:noMultiLvlLbl val="0"/>
      </c:catAx>
      <c:valAx>
        <c:axId val="78373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727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2'!$M$4</c:f>
              <c:strCache>
                <c:ptCount val="1"/>
                <c:pt idx="0">
                  <c:v>Total</c:v>
                </c:pt>
              </c:strCache>
            </c:strRef>
          </c:tx>
          <c:spPr>
            <a:solidFill>
              <a:schemeClr val="accent1"/>
            </a:solidFill>
            <a:ln>
              <a:noFill/>
            </a:ln>
            <a:effectLst/>
          </c:spPr>
          <c:cat>
            <c:multiLvlStrRef>
              <c:f>'Pivot Tables 2'!$L$5:$L$83</c:f>
              <c:multiLvlStrCache>
                <c:ptCount val="7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pt idx="48">
                    <c:v>Jan</c:v>
                  </c:pt>
                  <c:pt idx="49">
                    <c:v>Feb</c:v>
                  </c:pt>
                  <c:pt idx="50">
                    <c:v>Mar</c:v>
                  </c:pt>
                  <c:pt idx="51">
                    <c:v>Apr</c:v>
                  </c:pt>
                  <c:pt idx="52">
                    <c:v>May</c:v>
                  </c:pt>
                  <c:pt idx="53">
                    <c:v>Jun</c:v>
                  </c:pt>
                  <c:pt idx="54">
                    <c:v>Jul</c:v>
                  </c:pt>
                  <c:pt idx="55">
                    <c:v>Aug</c:v>
                  </c:pt>
                  <c:pt idx="56">
                    <c:v>Sep</c:v>
                  </c:pt>
                  <c:pt idx="57">
                    <c:v>Oct</c:v>
                  </c:pt>
                  <c:pt idx="58">
                    <c:v>Nov</c:v>
                  </c:pt>
                  <c:pt idx="59">
                    <c:v>Dec</c:v>
                  </c:pt>
                  <c:pt idx="60">
                    <c:v>Jan</c:v>
                  </c:pt>
                  <c:pt idx="61">
                    <c:v>Feb</c:v>
                  </c:pt>
                  <c:pt idx="62">
                    <c:v>Mar</c:v>
                  </c:pt>
                  <c:pt idx="63">
                    <c:v>Apr</c:v>
                  </c:pt>
                  <c:pt idx="64">
                    <c:v>May</c:v>
                  </c:pt>
                  <c:pt idx="65">
                    <c:v>Jun</c:v>
                  </c:pt>
                  <c:pt idx="66">
                    <c:v>Jul</c:v>
                  </c:pt>
                  <c:pt idx="67">
                    <c:v>Aug</c:v>
                  </c:pt>
                  <c:pt idx="68">
                    <c:v>Sep</c:v>
                  </c:pt>
                  <c:pt idx="69">
                    <c:v>Oct</c:v>
                  </c:pt>
                  <c:pt idx="70">
                    <c:v>Nov</c:v>
                  </c:pt>
                  <c:pt idx="71">
                    <c:v>Dec</c:v>
                  </c:pt>
                </c:lvl>
                <c:lvl>
                  <c:pt idx="0">
                    <c:v>2017</c:v>
                  </c:pt>
                  <c:pt idx="12">
                    <c:v>2018</c:v>
                  </c:pt>
                  <c:pt idx="24">
                    <c:v>2019</c:v>
                  </c:pt>
                  <c:pt idx="36">
                    <c:v>2020</c:v>
                  </c:pt>
                  <c:pt idx="48">
                    <c:v>2021</c:v>
                  </c:pt>
                  <c:pt idx="60">
                    <c:v>2022</c:v>
                  </c:pt>
                </c:lvl>
              </c:multiLvlStrCache>
            </c:multiLvlStrRef>
          </c:cat>
          <c:val>
            <c:numRef>
              <c:f>'Pivot Tables 2'!$M$5:$M$83</c:f>
              <c:numCache>
                <c:formatCode>General</c:formatCode>
                <c:ptCount val="72"/>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pt idx="12">
                  <c:v>-281804</c:v>
                </c:pt>
                <c:pt idx="13">
                  <c:v>-434662</c:v>
                </c:pt>
                <c:pt idx="14">
                  <c:v>1499031</c:v>
                </c:pt>
                <c:pt idx="15">
                  <c:v>1859716</c:v>
                </c:pt>
                <c:pt idx="16">
                  <c:v>1253751</c:v>
                </c:pt>
                <c:pt idx="17">
                  <c:v>1337050</c:v>
                </c:pt>
                <c:pt idx="18">
                  <c:v>1975874</c:v>
                </c:pt>
                <c:pt idx="19">
                  <c:v>390946</c:v>
                </c:pt>
                <c:pt idx="20">
                  <c:v>1726764</c:v>
                </c:pt>
                <c:pt idx="21">
                  <c:v>2259440</c:v>
                </c:pt>
                <c:pt idx="22">
                  <c:v>637235</c:v>
                </c:pt>
                <c:pt idx="23">
                  <c:v>1199087</c:v>
                </c:pt>
                <c:pt idx="24">
                  <c:v>-1218320</c:v>
                </c:pt>
                <c:pt idx="25">
                  <c:v>-128852</c:v>
                </c:pt>
                <c:pt idx="26">
                  <c:v>-347373.65000000037</c:v>
                </c:pt>
                <c:pt idx="27">
                  <c:v>3126704.58</c:v>
                </c:pt>
                <c:pt idx="28">
                  <c:v>1922942.7999999998</c:v>
                </c:pt>
                <c:pt idx="29">
                  <c:v>245926.33000000007</c:v>
                </c:pt>
                <c:pt idx="30">
                  <c:v>2146786.3200000003</c:v>
                </c:pt>
                <c:pt idx="31">
                  <c:v>738264.96999999974</c:v>
                </c:pt>
                <c:pt idx="32">
                  <c:v>911457</c:v>
                </c:pt>
                <c:pt idx="33">
                  <c:v>-736886.75</c:v>
                </c:pt>
                <c:pt idx="34">
                  <c:v>99089.730000000447</c:v>
                </c:pt>
                <c:pt idx="35">
                  <c:v>-701431</c:v>
                </c:pt>
                <c:pt idx="36">
                  <c:v>-1650328.1099999999</c:v>
                </c:pt>
                <c:pt idx="37">
                  <c:v>-822213.9299999997</c:v>
                </c:pt>
                <c:pt idx="38">
                  <c:v>1719340.04</c:v>
                </c:pt>
                <c:pt idx="39">
                  <c:v>2234452.66</c:v>
                </c:pt>
                <c:pt idx="40">
                  <c:v>2797861.6900000004</c:v>
                </c:pt>
                <c:pt idx="41">
                  <c:v>2186096.6099999994</c:v>
                </c:pt>
                <c:pt idx="42">
                  <c:v>1906860.4000000004</c:v>
                </c:pt>
                <c:pt idx="43">
                  <c:v>1811411.79</c:v>
                </c:pt>
                <c:pt idx="44">
                  <c:v>1425791.6600000001</c:v>
                </c:pt>
                <c:pt idx="45">
                  <c:v>2442178.41</c:v>
                </c:pt>
                <c:pt idx="46">
                  <c:v>2343681.5999999996</c:v>
                </c:pt>
                <c:pt idx="47">
                  <c:v>2210709.8099999996</c:v>
                </c:pt>
                <c:pt idx="48">
                  <c:v>-576984.60999999987</c:v>
                </c:pt>
                <c:pt idx="49">
                  <c:v>337840.21999999974</c:v>
                </c:pt>
                <c:pt idx="50">
                  <c:v>1461862.13</c:v>
                </c:pt>
                <c:pt idx="51">
                  <c:v>2161583.7400000002</c:v>
                </c:pt>
                <c:pt idx="52">
                  <c:v>980925.99000000022</c:v>
                </c:pt>
                <c:pt idx="53">
                  <c:v>460364.19000000041</c:v>
                </c:pt>
                <c:pt idx="54">
                  <c:v>350152.37000000011</c:v>
                </c:pt>
                <c:pt idx="55">
                  <c:v>857090.05999999959</c:v>
                </c:pt>
                <c:pt idx="56">
                  <c:v>884190.21999999974</c:v>
                </c:pt>
                <c:pt idx="57">
                  <c:v>556173.29</c:v>
                </c:pt>
                <c:pt idx="58">
                  <c:v>-472362.55999999959</c:v>
                </c:pt>
                <c:pt idx="59">
                  <c:v>6085063.0899999999</c:v>
                </c:pt>
                <c:pt idx="60">
                  <c:v>-1095686.21</c:v>
                </c:pt>
                <c:pt idx="61">
                  <c:v>390140.31</c:v>
                </c:pt>
                <c:pt idx="62">
                  <c:v>4171072.7099999995</c:v>
                </c:pt>
                <c:pt idx="63">
                  <c:v>3143212.4800000004</c:v>
                </c:pt>
                <c:pt idx="64">
                  <c:v>2311797.1100000003</c:v>
                </c:pt>
                <c:pt idx="65">
                  <c:v>2201789.79</c:v>
                </c:pt>
                <c:pt idx="66">
                  <c:v>1217007.9999999998</c:v>
                </c:pt>
                <c:pt idx="67">
                  <c:v>1579434.5400000003</c:v>
                </c:pt>
                <c:pt idx="68">
                  <c:v>1165574.2599999998</c:v>
                </c:pt>
                <c:pt idx="69">
                  <c:v>3408355.5100000007</c:v>
                </c:pt>
                <c:pt idx="70">
                  <c:v>463572.81000000017</c:v>
                </c:pt>
                <c:pt idx="71">
                  <c:v>2236010.2799999998</c:v>
                </c:pt>
              </c:numCache>
            </c:numRef>
          </c:val>
          <c:extLst>
            <c:ext xmlns:c16="http://schemas.microsoft.com/office/drawing/2014/chart" uri="{C3380CC4-5D6E-409C-BE32-E72D297353CC}">
              <c16:uniqueId val="{00000000-9D16-4513-B881-24F20D887B0D}"/>
            </c:ext>
          </c:extLst>
        </c:ser>
        <c:dLbls>
          <c:showLegendKey val="0"/>
          <c:showVal val="0"/>
          <c:showCatName val="0"/>
          <c:showSerName val="0"/>
          <c:showPercent val="0"/>
          <c:showBubbleSize val="0"/>
        </c:dLbls>
        <c:axId val="773036591"/>
        <c:axId val="773035343"/>
      </c:areaChart>
      <c:catAx>
        <c:axId val="77303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035343"/>
        <c:crosses val="autoZero"/>
        <c:auto val="1"/>
        <c:lblAlgn val="ctr"/>
        <c:lblOffset val="100"/>
        <c:noMultiLvlLbl val="0"/>
      </c:catAx>
      <c:valAx>
        <c:axId val="773035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03659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 2'!$D$4</c:f>
              <c:strCache>
                <c:ptCount val="1"/>
                <c:pt idx="0">
                  <c:v>Sum of Чистая прибыль</c:v>
                </c:pt>
              </c:strCache>
            </c:strRef>
          </c:tx>
          <c:spPr>
            <a:ln w="28575" cap="rnd">
              <a:solidFill>
                <a:schemeClr val="accent1"/>
              </a:solidFill>
              <a:round/>
            </a:ln>
            <a:effectLst/>
          </c:spPr>
          <c:marker>
            <c:symbol val="none"/>
          </c:marker>
          <c:cat>
            <c:strRef>
              <c:f>'Pivot Tables 2'!$C$5:$C$11</c:f>
              <c:strCache>
                <c:ptCount val="6"/>
                <c:pt idx="0">
                  <c:v>2017</c:v>
                </c:pt>
                <c:pt idx="1">
                  <c:v>2018</c:v>
                </c:pt>
                <c:pt idx="2">
                  <c:v>2019</c:v>
                </c:pt>
                <c:pt idx="3">
                  <c:v>2020</c:v>
                </c:pt>
                <c:pt idx="4">
                  <c:v>2021</c:v>
                </c:pt>
                <c:pt idx="5">
                  <c:v>2022</c:v>
                </c:pt>
              </c:strCache>
            </c:strRef>
          </c:cat>
          <c:val>
            <c:numRef>
              <c:f>'Pivot Tables 2'!$D$5:$D$11</c:f>
              <c:numCache>
                <c:formatCode>0</c:formatCode>
                <c:ptCount val="6"/>
                <c:pt idx="0">
                  <c:v>10367015</c:v>
                </c:pt>
                <c:pt idx="1">
                  <c:v>13422428</c:v>
                </c:pt>
                <c:pt idx="2">
                  <c:v>6058308.3300000001</c:v>
                </c:pt>
                <c:pt idx="3">
                  <c:v>18605842.630000003</c:v>
                </c:pt>
                <c:pt idx="4">
                  <c:v>13085898.130000001</c:v>
                </c:pt>
                <c:pt idx="5">
                  <c:v>21192281.590000004</c:v>
                </c:pt>
              </c:numCache>
            </c:numRef>
          </c:val>
          <c:smooth val="0"/>
          <c:extLst>
            <c:ext xmlns:c16="http://schemas.microsoft.com/office/drawing/2014/chart" uri="{C3380CC4-5D6E-409C-BE32-E72D297353CC}">
              <c16:uniqueId val="{00000000-40F5-461B-AB3E-4F08D194313D}"/>
            </c:ext>
          </c:extLst>
        </c:ser>
        <c:ser>
          <c:idx val="1"/>
          <c:order val="1"/>
          <c:tx>
            <c:strRef>
              <c:f>'Pivot Tables 2'!$E$4</c:f>
              <c:strCache>
                <c:ptCount val="1"/>
                <c:pt idx="0">
                  <c:v>Sum of Field1</c:v>
                </c:pt>
              </c:strCache>
            </c:strRef>
          </c:tx>
          <c:spPr>
            <a:ln w="28575" cap="rnd">
              <a:solidFill>
                <a:schemeClr val="accent2"/>
              </a:solidFill>
              <a:round/>
            </a:ln>
            <a:effectLst/>
          </c:spPr>
          <c:marker>
            <c:symbol val="none"/>
          </c:marker>
          <c:cat>
            <c:strRef>
              <c:f>'Pivot Tables 2'!$C$5:$C$11</c:f>
              <c:strCache>
                <c:ptCount val="6"/>
                <c:pt idx="0">
                  <c:v>2017</c:v>
                </c:pt>
                <c:pt idx="1">
                  <c:v>2018</c:v>
                </c:pt>
                <c:pt idx="2">
                  <c:v>2019</c:v>
                </c:pt>
                <c:pt idx="3">
                  <c:v>2020</c:v>
                </c:pt>
                <c:pt idx="4">
                  <c:v>2021</c:v>
                </c:pt>
                <c:pt idx="5">
                  <c:v>2022</c:v>
                </c:pt>
              </c:strCache>
            </c:strRef>
          </c:cat>
          <c:val>
            <c:numRef>
              <c:f>'Pivot Tables 2'!$E$5:$E$11</c:f>
              <c:numCache>
                <c:formatCode>0%</c:formatCode>
                <c:ptCount val="6"/>
                <c:pt idx="0">
                  <c:v>0</c:v>
                </c:pt>
                <c:pt idx="1">
                  <c:v>0.29472446986909917</c:v>
                </c:pt>
                <c:pt idx="2">
                  <c:v>-0.54864288860405885</c:v>
                </c:pt>
                <c:pt idx="3">
                  <c:v>2.0711283771851212</c:v>
                </c:pt>
                <c:pt idx="4">
                  <c:v>-0.29667801721055409</c:v>
                </c:pt>
                <c:pt idx="5">
                  <c:v>0.61947474903657995</c:v>
                </c:pt>
              </c:numCache>
            </c:numRef>
          </c:val>
          <c:smooth val="0"/>
          <c:extLst>
            <c:ext xmlns:c16="http://schemas.microsoft.com/office/drawing/2014/chart" uri="{C3380CC4-5D6E-409C-BE32-E72D297353CC}">
              <c16:uniqueId val="{00000002-40F5-461B-AB3E-4F08D194313D}"/>
            </c:ext>
          </c:extLst>
        </c:ser>
        <c:dLbls>
          <c:showLegendKey val="0"/>
          <c:showVal val="0"/>
          <c:showCatName val="0"/>
          <c:showSerName val="0"/>
          <c:showPercent val="0"/>
          <c:showBubbleSize val="0"/>
        </c:dLbls>
        <c:smooth val="0"/>
        <c:axId val="1191484063"/>
        <c:axId val="1191472831"/>
      </c:lineChart>
      <c:catAx>
        <c:axId val="119148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472831"/>
        <c:crosses val="autoZero"/>
        <c:auto val="1"/>
        <c:lblAlgn val="ctr"/>
        <c:lblOffset val="100"/>
        <c:noMultiLvlLbl val="0"/>
      </c:catAx>
      <c:valAx>
        <c:axId val="11914728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484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2'!$T$4</c:f>
              <c:strCache>
                <c:ptCount val="1"/>
                <c:pt idx="0">
                  <c:v>Total</c:v>
                </c:pt>
              </c:strCache>
            </c:strRef>
          </c:tx>
          <c:spPr>
            <a:solidFill>
              <a:schemeClr val="accent1"/>
            </a:solidFill>
            <a:ln>
              <a:noFill/>
            </a:ln>
            <a:effectLst/>
          </c:spPr>
          <c:cat>
            <c:multiLvlStrRef>
              <c:f>'Pivot Tables 2'!$S$5:$S$83</c:f>
              <c:multiLvlStrCache>
                <c:ptCount val="7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pt idx="48">
                    <c:v>Jan</c:v>
                  </c:pt>
                  <c:pt idx="49">
                    <c:v>Feb</c:v>
                  </c:pt>
                  <c:pt idx="50">
                    <c:v>Mar</c:v>
                  </c:pt>
                  <c:pt idx="51">
                    <c:v>Apr</c:v>
                  </c:pt>
                  <c:pt idx="52">
                    <c:v>May</c:v>
                  </c:pt>
                  <c:pt idx="53">
                    <c:v>Jun</c:v>
                  </c:pt>
                  <c:pt idx="54">
                    <c:v>Jul</c:v>
                  </c:pt>
                  <c:pt idx="55">
                    <c:v>Aug</c:v>
                  </c:pt>
                  <c:pt idx="56">
                    <c:v>Sep</c:v>
                  </c:pt>
                  <c:pt idx="57">
                    <c:v>Oct</c:v>
                  </c:pt>
                  <c:pt idx="58">
                    <c:v>Nov</c:v>
                  </c:pt>
                  <c:pt idx="59">
                    <c:v>Dec</c:v>
                  </c:pt>
                  <c:pt idx="60">
                    <c:v>Jan</c:v>
                  </c:pt>
                  <c:pt idx="61">
                    <c:v>Feb</c:v>
                  </c:pt>
                  <c:pt idx="62">
                    <c:v>Mar</c:v>
                  </c:pt>
                  <c:pt idx="63">
                    <c:v>Apr</c:v>
                  </c:pt>
                  <c:pt idx="64">
                    <c:v>May</c:v>
                  </c:pt>
                  <c:pt idx="65">
                    <c:v>Jun</c:v>
                  </c:pt>
                  <c:pt idx="66">
                    <c:v>Jul</c:v>
                  </c:pt>
                  <c:pt idx="67">
                    <c:v>Aug</c:v>
                  </c:pt>
                  <c:pt idx="68">
                    <c:v>Sep</c:v>
                  </c:pt>
                  <c:pt idx="69">
                    <c:v>Oct</c:v>
                  </c:pt>
                  <c:pt idx="70">
                    <c:v>Nov</c:v>
                  </c:pt>
                  <c:pt idx="71">
                    <c:v>Dec</c:v>
                  </c:pt>
                </c:lvl>
                <c:lvl>
                  <c:pt idx="0">
                    <c:v>2017</c:v>
                  </c:pt>
                  <c:pt idx="12">
                    <c:v>2018</c:v>
                  </c:pt>
                  <c:pt idx="24">
                    <c:v>2019</c:v>
                  </c:pt>
                  <c:pt idx="36">
                    <c:v>2020</c:v>
                  </c:pt>
                  <c:pt idx="48">
                    <c:v>2021</c:v>
                  </c:pt>
                  <c:pt idx="60">
                    <c:v>2022</c:v>
                  </c:pt>
                </c:lvl>
              </c:multiLvlStrCache>
            </c:multiLvlStrRef>
          </c:cat>
          <c:val>
            <c:numRef>
              <c:f>'Pivot Tables 2'!$T$5:$T$83</c:f>
              <c:numCache>
                <c:formatCode>General</c:formatCode>
                <c:ptCount val="72"/>
                <c:pt idx="0">
                  <c:v>2440127</c:v>
                </c:pt>
                <c:pt idx="1">
                  <c:v>3074358</c:v>
                </c:pt>
                <c:pt idx="2">
                  <c:v>3423016</c:v>
                </c:pt>
                <c:pt idx="3">
                  <c:v>4356975</c:v>
                </c:pt>
                <c:pt idx="4">
                  <c:v>4780952</c:v>
                </c:pt>
                <c:pt idx="5">
                  <c:v>5154070</c:v>
                </c:pt>
                <c:pt idx="6">
                  <c:v>4549423</c:v>
                </c:pt>
                <c:pt idx="7">
                  <c:v>5663979</c:v>
                </c:pt>
                <c:pt idx="8">
                  <c:v>5837142</c:v>
                </c:pt>
                <c:pt idx="9">
                  <c:v>6752826</c:v>
                </c:pt>
                <c:pt idx="10">
                  <c:v>5464864</c:v>
                </c:pt>
                <c:pt idx="11">
                  <c:v>6030316</c:v>
                </c:pt>
                <c:pt idx="12">
                  <c:v>4706978</c:v>
                </c:pt>
                <c:pt idx="13">
                  <c:v>5414096</c:v>
                </c:pt>
                <c:pt idx="14">
                  <c:v>5015918</c:v>
                </c:pt>
                <c:pt idx="15">
                  <c:v>5200058</c:v>
                </c:pt>
                <c:pt idx="16">
                  <c:v>5792034</c:v>
                </c:pt>
                <c:pt idx="17">
                  <c:v>5501146</c:v>
                </c:pt>
                <c:pt idx="18">
                  <c:v>5977910</c:v>
                </c:pt>
                <c:pt idx="19">
                  <c:v>6015274</c:v>
                </c:pt>
                <c:pt idx="20">
                  <c:v>5797201</c:v>
                </c:pt>
                <c:pt idx="21">
                  <c:v>5848257</c:v>
                </c:pt>
                <c:pt idx="22">
                  <c:v>5491906</c:v>
                </c:pt>
                <c:pt idx="23">
                  <c:v>5557663</c:v>
                </c:pt>
                <c:pt idx="24">
                  <c:v>4333388</c:v>
                </c:pt>
                <c:pt idx="25">
                  <c:v>4455002</c:v>
                </c:pt>
                <c:pt idx="26">
                  <c:v>4065839</c:v>
                </c:pt>
                <c:pt idx="27">
                  <c:v>2852762</c:v>
                </c:pt>
                <c:pt idx="28">
                  <c:v>5026397.63</c:v>
                </c:pt>
                <c:pt idx="29">
                  <c:v>5378859.3200000003</c:v>
                </c:pt>
                <c:pt idx="30">
                  <c:v>5718625</c:v>
                </c:pt>
                <c:pt idx="31">
                  <c:v>5853930</c:v>
                </c:pt>
                <c:pt idx="32">
                  <c:v>5713072</c:v>
                </c:pt>
                <c:pt idx="33">
                  <c:v>5866469</c:v>
                </c:pt>
                <c:pt idx="34">
                  <c:v>5600507</c:v>
                </c:pt>
                <c:pt idx="35">
                  <c:v>6123695</c:v>
                </c:pt>
                <c:pt idx="36">
                  <c:v>4783739</c:v>
                </c:pt>
                <c:pt idx="37">
                  <c:v>4714552</c:v>
                </c:pt>
                <c:pt idx="38">
                  <c:v>4295637</c:v>
                </c:pt>
                <c:pt idx="39">
                  <c:v>4179731.69</c:v>
                </c:pt>
                <c:pt idx="40">
                  <c:v>4511100.72</c:v>
                </c:pt>
                <c:pt idx="41">
                  <c:v>4291480.7</c:v>
                </c:pt>
                <c:pt idx="42">
                  <c:v>4388811</c:v>
                </c:pt>
                <c:pt idx="43">
                  <c:v>4701126</c:v>
                </c:pt>
                <c:pt idx="44">
                  <c:v>4273476</c:v>
                </c:pt>
                <c:pt idx="45">
                  <c:v>4615869</c:v>
                </c:pt>
                <c:pt idx="46">
                  <c:v>4838977</c:v>
                </c:pt>
                <c:pt idx="47">
                  <c:v>4724136</c:v>
                </c:pt>
                <c:pt idx="48">
                  <c:v>4268079</c:v>
                </c:pt>
                <c:pt idx="49">
                  <c:v>4129333</c:v>
                </c:pt>
                <c:pt idx="50">
                  <c:v>4603275</c:v>
                </c:pt>
                <c:pt idx="51">
                  <c:v>5300007.0999999996</c:v>
                </c:pt>
                <c:pt idx="52">
                  <c:v>5224551</c:v>
                </c:pt>
                <c:pt idx="53">
                  <c:v>5578424.0499999998</c:v>
                </c:pt>
                <c:pt idx="54">
                  <c:v>5125862</c:v>
                </c:pt>
                <c:pt idx="55">
                  <c:v>5058719</c:v>
                </c:pt>
                <c:pt idx="56">
                  <c:v>5426905</c:v>
                </c:pt>
                <c:pt idx="57">
                  <c:v>5585503</c:v>
                </c:pt>
                <c:pt idx="58">
                  <c:v>5310032</c:v>
                </c:pt>
                <c:pt idx="59">
                  <c:v>4822542</c:v>
                </c:pt>
                <c:pt idx="60">
                  <c:v>4426734</c:v>
                </c:pt>
                <c:pt idx="61">
                  <c:v>3998447</c:v>
                </c:pt>
                <c:pt idx="62">
                  <c:v>4316014</c:v>
                </c:pt>
                <c:pt idx="63">
                  <c:v>5696313</c:v>
                </c:pt>
                <c:pt idx="64">
                  <c:v>5782425</c:v>
                </c:pt>
                <c:pt idx="65">
                  <c:v>5868170</c:v>
                </c:pt>
                <c:pt idx="66">
                  <c:v>5754502</c:v>
                </c:pt>
                <c:pt idx="67">
                  <c:v>5793847</c:v>
                </c:pt>
                <c:pt idx="68">
                  <c:v>5941806</c:v>
                </c:pt>
                <c:pt idx="69">
                  <c:v>5617857</c:v>
                </c:pt>
                <c:pt idx="70">
                  <c:v>5515873</c:v>
                </c:pt>
                <c:pt idx="71">
                  <c:v>5500235</c:v>
                </c:pt>
              </c:numCache>
            </c:numRef>
          </c:val>
          <c:extLst>
            <c:ext xmlns:c16="http://schemas.microsoft.com/office/drawing/2014/chart" uri="{C3380CC4-5D6E-409C-BE32-E72D297353CC}">
              <c16:uniqueId val="{00000000-5335-4E3B-83A0-F225C0A71B88}"/>
            </c:ext>
          </c:extLst>
        </c:ser>
        <c:dLbls>
          <c:showLegendKey val="0"/>
          <c:showVal val="0"/>
          <c:showCatName val="0"/>
          <c:showSerName val="0"/>
          <c:showPercent val="0"/>
          <c:showBubbleSize val="0"/>
        </c:dLbls>
        <c:axId val="1618374367"/>
        <c:axId val="1618388095"/>
      </c:areaChart>
      <c:catAx>
        <c:axId val="16183743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388095"/>
        <c:crosses val="autoZero"/>
        <c:auto val="1"/>
        <c:lblAlgn val="ctr"/>
        <c:lblOffset val="100"/>
        <c:noMultiLvlLbl val="0"/>
      </c:catAx>
      <c:valAx>
        <c:axId val="1618388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3743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2!PivotTable27</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2'!$I$40</c:f>
              <c:strCache>
                <c:ptCount val="1"/>
                <c:pt idx="0">
                  <c:v>Total</c:v>
                </c:pt>
              </c:strCache>
            </c:strRef>
          </c:tx>
          <c:spPr>
            <a:solidFill>
              <a:schemeClr val="accent1"/>
            </a:solidFill>
            <a:ln>
              <a:noFill/>
            </a:ln>
            <a:effectLst/>
          </c:spPr>
          <c:invertIfNegative val="0"/>
          <c:cat>
            <c:strRef>
              <c:f>'Pivot Tables 2'!$H$41:$H$53</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2'!$I$41:$I$53</c:f>
              <c:numCache>
                <c:formatCode>General</c:formatCode>
                <c:ptCount val="12"/>
                <c:pt idx="0">
                  <c:v>24959045</c:v>
                </c:pt>
                <c:pt idx="1">
                  <c:v>25785788</c:v>
                </c:pt>
                <c:pt idx="2">
                  <c:v>25719699</c:v>
                </c:pt>
                <c:pt idx="3">
                  <c:v>27585846.789999999</c:v>
                </c:pt>
                <c:pt idx="4">
                  <c:v>31117460.349999998</c:v>
                </c:pt>
                <c:pt idx="5">
                  <c:v>31772150.07</c:v>
                </c:pt>
                <c:pt idx="6">
                  <c:v>31515133</c:v>
                </c:pt>
                <c:pt idx="7">
                  <c:v>33086875</c:v>
                </c:pt>
                <c:pt idx="8">
                  <c:v>32989602</c:v>
                </c:pt>
                <c:pt idx="9">
                  <c:v>34286781</c:v>
                </c:pt>
                <c:pt idx="10">
                  <c:v>32222159</c:v>
                </c:pt>
                <c:pt idx="11">
                  <c:v>32758587</c:v>
                </c:pt>
              </c:numCache>
            </c:numRef>
          </c:val>
          <c:extLst>
            <c:ext xmlns:c16="http://schemas.microsoft.com/office/drawing/2014/chart" uri="{C3380CC4-5D6E-409C-BE32-E72D297353CC}">
              <c16:uniqueId val="{00000000-8F80-49E1-8F9A-CF1C2CDA4DEE}"/>
            </c:ext>
          </c:extLst>
        </c:ser>
        <c:dLbls>
          <c:showLegendKey val="0"/>
          <c:showVal val="0"/>
          <c:showCatName val="0"/>
          <c:showSerName val="0"/>
          <c:showPercent val="0"/>
          <c:showBubbleSize val="0"/>
        </c:dLbls>
        <c:gapWidth val="219"/>
        <c:overlap val="-27"/>
        <c:axId val="1924392415"/>
        <c:axId val="1924394911"/>
      </c:barChart>
      <c:catAx>
        <c:axId val="192439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94911"/>
        <c:crosses val="autoZero"/>
        <c:auto val="1"/>
        <c:lblAlgn val="ctr"/>
        <c:lblOffset val="100"/>
        <c:noMultiLvlLbl val="0"/>
      </c:catAx>
      <c:valAx>
        <c:axId val="1924394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92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2!PivotTable28</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2'!$H$58</c:f>
              <c:strCache>
                <c:ptCount val="1"/>
                <c:pt idx="0">
                  <c:v>Вaловая прибыль</c:v>
                </c:pt>
              </c:strCache>
            </c:strRef>
          </c:tx>
          <c:spPr>
            <a:solidFill>
              <a:schemeClr val="accent1"/>
            </a:solidFill>
            <a:ln>
              <a:noFill/>
            </a:ln>
            <a:effectLst/>
          </c:spPr>
          <c:invertIfNegative val="0"/>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2'!$H$59:$H$71</c:f>
              <c:numCache>
                <c:formatCode>General</c:formatCode>
                <c:ptCount val="12"/>
                <c:pt idx="0">
                  <c:v>23408195.07</c:v>
                </c:pt>
                <c:pt idx="1">
                  <c:v>27654983.289999999</c:v>
                </c:pt>
                <c:pt idx="2">
                  <c:v>37789010.210000001</c:v>
                </c:pt>
                <c:pt idx="3">
                  <c:v>43271781.479999997</c:v>
                </c:pt>
                <c:pt idx="4">
                  <c:v>44737347.469999999</c:v>
                </c:pt>
                <c:pt idx="5">
                  <c:v>41719909.439999998</c:v>
                </c:pt>
                <c:pt idx="6">
                  <c:v>44672668.309999995</c:v>
                </c:pt>
                <c:pt idx="7">
                  <c:v>42024052.890000001</c:v>
                </c:pt>
                <c:pt idx="8">
                  <c:v>43588660.850000001</c:v>
                </c:pt>
                <c:pt idx="9">
                  <c:v>45532370.930000007</c:v>
                </c:pt>
                <c:pt idx="10">
                  <c:v>38343162.43</c:v>
                </c:pt>
                <c:pt idx="11">
                  <c:v>47978451.369999997</c:v>
                </c:pt>
              </c:numCache>
            </c:numRef>
          </c:val>
          <c:extLst>
            <c:ext xmlns:c16="http://schemas.microsoft.com/office/drawing/2014/chart" uri="{C3380CC4-5D6E-409C-BE32-E72D297353CC}">
              <c16:uniqueId val="{00000000-A76D-447A-8010-F2154D2294F0}"/>
            </c:ext>
          </c:extLst>
        </c:ser>
        <c:ser>
          <c:idx val="1"/>
          <c:order val="1"/>
          <c:tx>
            <c:strRef>
              <c:f>'Pivot Tables 2'!$I$58</c:f>
              <c:strCache>
                <c:ptCount val="1"/>
                <c:pt idx="0">
                  <c:v>Выручкa</c:v>
                </c:pt>
              </c:strCache>
            </c:strRef>
          </c:tx>
          <c:spPr>
            <a:solidFill>
              <a:schemeClr val="accent2"/>
            </a:solidFill>
            <a:ln>
              <a:noFill/>
            </a:ln>
            <a:effectLst/>
          </c:spPr>
          <c:invertIfNegative val="0"/>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2'!$I$59:$I$71</c:f>
              <c:numCache>
                <c:formatCode>General</c:formatCode>
                <c:ptCount val="12"/>
                <c:pt idx="0">
                  <c:v>42453885.280000001</c:v>
                </c:pt>
                <c:pt idx="1">
                  <c:v>50056592.769999996</c:v>
                </c:pt>
                <c:pt idx="2">
                  <c:v>71245023.560000002</c:v>
                </c:pt>
                <c:pt idx="3">
                  <c:v>76230292.219999999</c:v>
                </c:pt>
                <c:pt idx="4">
                  <c:v>78200669.989999995</c:v>
                </c:pt>
                <c:pt idx="5">
                  <c:v>72991971.849999994</c:v>
                </c:pt>
                <c:pt idx="6">
                  <c:v>76321721.810000002</c:v>
                </c:pt>
                <c:pt idx="7">
                  <c:v>73842328.590000004</c:v>
                </c:pt>
                <c:pt idx="8">
                  <c:v>78914842.890000001</c:v>
                </c:pt>
                <c:pt idx="9">
                  <c:v>78444070.400000006</c:v>
                </c:pt>
                <c:pt idx="10">
                  <c:v>66328264.289999999</c:v>
                </c:pt>
                <c:pt idx="11">
                  <c:v>88518218.019999996</c:v>
                </c:pt>
              </c:numCache>
            </c:numRef>
          </c:val>
          <c:extLst>
            <c:ext xmlns:c16="http://schemas.microsoft.com/office/drawing/2014/chart" uri="{C3380CC4-5D6E-409C-BE32-E72D297353CC}">
              <c16:uniqueId val="{00000001-A76D-447A-8010-F2154D2294F0}"/>
            </c:ext>
          </c:extLst>
        </c:ser>
        <c:ser>
          <c:idx val="2"/>
          <c:order val="2"/>
          <c:tx>
            <c:strRef>
              <c:f>'Pivot Tables 2'!$J$58</c:f>
              <c:strCache>
                <c:ptCount val="1"/>
                <c:pt idx="0">
                  <c:v>Чистaя прибыль</c:v>
                </c:pt>
              </c:strCache>
            </c:strRef>
          </c:tx>
          <c:spPr>
            <a:solidFill>
              <a:schemeClr val="accent3"/>
            </a:solidFill>
            <a:ln>
              <a:noFill/>
            </a:ln>
            <a:effectLst/>
          </c:spPr>
          <c:invertIfNegative val="0"/>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2'!$J$59:$J$71</c:f>
              <c:numCache>
                <c:formatCode>General</c:formatCode>
                <c:ptCount val="12"/>
                <c:pt idx="0">
                  <c:v>-4238609.93</c:v>
                </c:pt>
                <c:pt idx="1">
                  <c:v>-431087.39999999997</c:v>
                </c:pt>
                <c:pt idx="2">
                  <c:v>9294900.2299999986</c:v>
                </c:pt>
                <c:pt idx="3">
                  <c:v>11990855.460000001</c:v>
                </c:pt>
                <c:pt idx="4">
                  <c:v>11112761.59</c:v>
                </c:pt>
                <c:pt idx="5">
                  <c:v>8053333.9199999999</c:v>
                </c:pt>
                <c:pt idx="6">
                  <c:v>9697370.0899999999</c:v>
                </c:pt>
                <c:pt idx="7">
                  <c:v>6582944.3599999994</c:v>
                </c:pt>
                <c:pt idx="8">
                  <c:v>7770752.1399999997</c:v>
                </c:pt>
                <c:pt idx="9">
                  <c:v>7768519.4600000009</c:v>
                </c:pt>
                <c:pt idx="10">
                  <c:v>2997840.5800000005</c:v>
                </c:pt>
                <c:pt idx="11">
                  <c:v>12132193.179999998</c:v>
                </c:pt>
              </c:numCache>
            </c:numRef>
          </c:val>
          <c:extLst>
            <c:ext xmlns:c16="http://schemas.microsoft.com/office/drawing/2014/chart" uri="{C3380CC4-5D6E-409C-BE32-E72D297353CC}">
              <c16:uniqueId val="{00000004-A76D-447A-8010-F2154D2294F0}"/>
            </c:ext>
          </c:extLst>
        </c:ser>
        <c:ser>
          <c:idx val="3"/>
          <c:order val="3"/>
          <c:tx>
            <c:strRef>
              <c:f>'Pivot Tables 2'!$K$58</c:f>
              <c:strCache>
                <c:ptCount val="1"/>
                <c:pt idx="0">
                  <c:v>Average of Маржинальность</c:v>
                </c:pt>
              </c:strCache>
            </c:strRef>
          </c:tx>
          <c:spPr>
            <a:solidFill>
              <a:schemeClr val="accent4"/>
            </a:solidFill>
            <a:ln>
              <a:noFill/>
            </a:ln>
            <a:effectLst/>
          </c:spPr>
          <c:invertIfNegative val="0"/>
          <c:cat>
            <c:strRef>
              <c:f>'Pivot Tables 2'!$G$59:$G$71</c:f>
              <c:strCache>
                <c:ptCount val="12"/>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strCache>
            </c:strRef>
          </c:cat>
          <c:val>
            <c:numRef>
              <c:f>'Pivot Tables 2'!$K$59:$K$71</c:f>
              <c:numCache>
                <c:formatCode>0%</c:formatCode>
                <c:ptCount val="12"/>
                <c:pt idx="0">
                  <c:v>0.55664122020882145</c:v>
                </c:pt>
                <c:pt idx="1">
                  <c:v>0.55490449316250845</c:v>
                </c:pt>
                <c:pt idx="2">
                  <c:v>0.53342192750737016</c:v>
                </c:pt>
                <c:pt idx="3">
                  <c:v>0.56583379107864762</c:v>
                </c:pt>
                <c:pt idx="4">
                  <c:v>0.57291318945372771</c:v>
                </c:pt>
                <c:pt idx="5">
                  <c:v>0.57240536236223793</c:v>
                </c:pt>
                <c:pt idx="6">
                  <c:v>0.58346190608367665</c:v>
                </c:pt>
                <c:pt idx="7">
                  <c:v>0.57001083077668324</c:v>
                </c:pt>
                <c:pt idx="8">
                  <c:v>0.55340320620575756</c:v>
                </c:pt>
                <c:pt idx="9">
                  <c:v>0.57891572046120265</c:v>
                </c:pt>
                <c:pt idx="10">
                  <c:v>0.57716429068205577</c:v>
                </c:pt>
                <c:pt idx="11">
                  <c:v>0.5453709041903515</c:v>
                </c:pt>
              </c:numCache>
            </c:numRef>
          </c:val>
          <c:extLst>
            <c:ext xmlns:c16="http://schemas.microsoft.com/office/drawing/2014/chart" uri="{C3380CC4-5D6E-409C-BE32-E72D297353CC}">
              <c16:uniqueId val="{00000001-206F-42BA-8374-03B596BA152E}"/>
            </c:ext>
          </c:extLst>
        </c:ser>
        <c:dLbls>
          <c:showLegendKey val="0"/>
          <c:showVal val="0"/>
          <c:showCatName val="0"/>
          <c:showSerName val="0"/>
          <c:showPercent val="0"/>
          <c:showBubbleSize val="0"/>
        </c:dLbls>
        <c:gapWidth val="219"/>
        <c:overlap val="-27"/>
        <c:axId val="1545091503"/>
        <c:axId val="1545079855"/>
      </c:barChart>
      <c:catAx>
        <c:axId val="154509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079855"/>
        <c:crosses val="autoZero"/>
        <c:auto val="1"/>
        <c:lblAlgn val="ctr"/>
        <c:lblOffset val="100"/>
        <c:noMultiLvlLbl val="0"/>
      </c:catAx>
      <c:valAx>
        <c:axId val="1545079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09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[Ecvols.xlsm]Pivot Tables 3!PivotTable10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3'!$C$26</c:f>
              <c:strCache>
                <c:ptCount val="1"/>
                <c:pt idx="0">
                  <c:v>Total</c:v>
                </c:pt>
              </c:strCache>
            </c:strRef>
          </c:tx>
          <c:spPr>
            <a:solidFill>
              <a:schemeClr val="accent1"/>
            </a:solidFill>
            <a:ln>
              <a:noFill/>
            </a:ln>
            <a:effectLst/>
          </c:spPr>
          <c:cat>
            <c:multiLvlStrRef>
              <c:f>'Pivot Tables 3'!$B$27:$B$39</c:f>
              <c:multiLvlStrCache>
                <c:ptCount val="6"/>
                <c:lvl>
                  <c:pt idx="0">
                    <c:v>Jan</c:v>
                  </c:pt>
                  <c:pt idx="1">
                    <c:v>Jan</c:v>
                  </c:pt>
                  <c:pt idx="2">
                    <c:v>Jan</c:v>
                  </c:pt>
                  <c:pt idx="3">
                    <c:v>Jan</c:v>
                  </c:pt>
                  <c:pt idx="4">
                    <c:v>Jan</c:v>
                  </c:pt>
                  <c:pt idx="5">
                    <c:v>Jan</c:v>
                  </c:pt>
                </c:lvl>
                <c:lvl>
                  <c:pt idx="0">
                    <c:v>2017</c:v>
                  </c:pt>
                  <c:pt idx="1">
                    <c:v>2018</c:v>
                  </c:pt>
                  <c:pt idx="2">
                    <c:v>2019</c:v>
                  </c:pt>
                  <c:pt idx="3">
                    <c:v>2020</c:v>
                  </c:pt>
                  <c:pt idx="4">
                    <c:v>2021</c:v>
                  </c:pt>
                  <c:pt idx="5">
                    <c:v>2022</c:v>
                  </c:pt>
                </c:lvl>
              </c:multiLvlStrCache>
            </c:multiLvlStrRef>
          </c:cat>
          <c:val>
            <c:numRef>
              <c:f>'Pivot Tables 3'!$C$27:$C$39</c:f>
              <c:numCache>
                <c:formatCode>General</c:formatCode>
                <c:ptCount val="6"/>
                <c:pt idx="0">
                  <c:v>10367015</c:v>
                </c:pt>
                <c:pt idx="1">
                  <c:v>13422428</c:v>
                </c:pt>
                <c:pt idx="2">
                  <c:v>6058308.3300000001</c:v>
                </c:pt>
                <c:pt idx="3">
                  <c:v>18605842.630000003</c:v>
                </c:pt>
                <c:pt idx="4">
                  <c:v>13085898.130000001</c:v>
                </c:pt>
                <c:pt idx="5">
                  <c:v>21192281.590000004</c:v>
                </c:pt>
              </c:numCache>
            </c:numRef>
          </c:val>
          <c:extLst>
            <c:ext xmlns:c16="http://schemas.microsoft.com/office/drawing/2014/chart" uri="{C3380CC4-5D6E-409C-BE32-E72D297353CC}">
              <c16:uniqueId val="{00000000-FD8D-4E0E-AF40-3A5BD7A0B1F0}"/>
            </c:ext>
          </c:extLst>
        </c:ser>
        <c:dLbls>
          <c:showLegendKey val="0"/>
          <c:showVal val="0"/>
          <c:showCatName val="0"/>
          <c:showSerName val="0"/>
          <c:showPercent val="0"/>
          <c:showBubbleSize val="0"/>
        </c:dLbls>
        <c:axId val="1436557471"/>
        <c:axId val="1436558303"/>
      </c:areaChart>
      <c:catAx>
        <c:axId val="1436557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6558303"/>
        <c:crosses val="autoZero"/>
        <c:auto val="1"/>
        <c:lblAlgn val="ctr"/>
        <c:lblOffset val="100"/>
        <c:noMultiLvlLbl val="0"/>
      </c:catAx>
      <c:valAx>
        <c:axId val="143655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65574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[Ecvols.xlsm]Pivot Tables 4!net profit</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4'!$H$25</c:f>
              <c:strCache>
                <c:ptCount val="1"/>
                <c:pt idx="0">
                  <c:v>Sum of Чистая прибыль</c:v>
                </c:pt>
              </c:strCache>
            </c:strRef>
          </c:tx>
          <c:spPr>
            <a:solidFill>
              <a:schemeClr val="accent1"/>
            </a:solidFill>
            <a:ln>
              <a:noFill/>
            </a:ln>
            <a:effectLst/>
          </c:spPr>
          <c:invertIfNegative val="0"/>
          <c:cat>
            <c:multiLvlStrRef>
              <c:f>'Pivot Tables 4'!$G$26:$G$39</c:f>
              <c:multiLvlStrCache>
                <c:ptCount val="12"/>
                <c:lvl>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lvl>
                <c:lvl>
                  <c:pt idx="0">
                    <c:v>2017</c:v>
                  </c:pt>
                </c:lvl>
              </c:multiLvlStrCache>
            </c:multiLvlStrRef>
          </c:cat>
          <c:val>
            <c:numRef>
              <c:f>'Pivot Tables 4'!$H$26:$H$39</c:f>
              <c:numCache>
                <c:formatCode>#,##0\ [$₽-419]</c:formatCode>
                <c:ptCount val="12"/>
                <c:pt idx="0">
                  <c:v>584513</c:v>
                </c:pt>
                <c:pt idx="1">
                  <c:v>226660</c:v>
                </c:pt>
                <c:pt idx="2">
                  <c:v>790968</c:v>
                </c:pt>
                <c:pt idx="3">
                  <c:v>-534814</c:v>
                </c:pt>
                <c:pt idx="4">
                  <c:v>1845483</c:v>
                </c:pt>
                <c:pt idx="5">
                  <c:v>1622107</c:v>
                </c:pt>
                <c:pt idx="6">
                  <c:v>2100689</c:v>
                </c:pt>
                <c:pt idx="7">
                  <c:v>1205797</c:v>
                </c:pt>
                <c:pt idx="8">
                  <c:v>1656975</c:v>
                </c:pt>
                <c:pt idx="9">
                  <c:v>-160741</c:v>
                </c:pt>
                <c:pt idx="10">
                  <c:v>-73376</c:v>
                </c:pt>
                <c:pt idx="11">
                  <c:v>1102754</c:v>
                </c:pt>
              </c:numCache>
            </c:numRef>
          </c:val>
          <c:extLst>
            <c:ext xmlns:c16="http://schemas.microsoft.com/office/drawing/2014/chart" uri="{C3380CC4-5D6E-409C-BE32-E72D297353CC}">
              <c16:uniqueId val="{00000000-4CF8-4CC1-A69A-872FA322FC25}"/>
            </c:ext>
          </c:extLst>
        </c:ser>
        <c:ser>
          <c:idx val="1"/>
          <c:order val="1"/>
          <c:tx>
            <c:strRef>
              <c:f>'Pivot Tables 4'!$I$25</c:f>
              <c:strCache>
                <c:ptCount val="1"/>
                <c:pt idx="0">
                  <c:v>Sum of Маржинальность</c:v>
                </c:pt>
              </c:strCache>
            </c:strRef>
          </c:tx>
          <c:spPr>
            <a:solidFill>
              <a:schemeClr val="accent2"/>
            </a:solidFill>
            <a:ln>
              <a:noFill/>
            </a:ln>
            <a:effectLst/>
          </c:spPr>
          <c:invertIfNegative val="0"/>
          <c:cat>
            <c:multiLvlStrRef>
              <c:f>'Pivot Tables 4'!$G$26:$G$39</c:f>
              <c:multiLvlStrCache>
                <c:ptCount val="12"/>
                <c:lvl>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lvl>
                <c:lvl>
                  <c:pt idx="0">
                    <c:v>2017</c:v>
                  </c:pt>
                </c:lvl>
              </c:multiLvlStrCache>
            </c:multiLvlStrRef>
          </c:cat>
          <c:val>
            <c:numRef>
              <c:f>'Pivot Tables 4'!$I$26:$I$39</c:f>
              <c:numCache>
                <c:formatCode>0%</c:formatCode>
                <c:ptCount val="12"/>
                <c:pt idx="0">
                  <c:v>0.43263455806371032</c:v>
                </c:pt>
                <c:pt idx="1">
                  <c:v>0.38825087051509349</c:v>
                </c:pt>
                <c:pt idx="2">
                  <c:v>0.45185212607043912</c:v>
                </c:pt>
                <c:pt idx="3">
                  <c:v>0.47258909237782515</c:v>
                </c:pt>
                <c:pt idx="4">
                  <c:v>0.52259083922726846</c:v>
                </c:pt>
                <c:pt idx="5">
                  <c:v>0.5402158507169128</c:v>
                </c:pt>
                <c:pt idx="6">
                  <c:v>0.54638345170128721</c:v>
                </c:pt>
                <c:pt idx="7">
                  <c:v>0.57914097597648551</c:v>
                </c:pt>
                <c:pt idx="8">
                  <c:v>0.55410900571361443</c:v>
                </c:pt>
                <c:pt idx="9">
                  <c:v>0.5630887532476293</c:v>
                </c:pt>
                <c:pt idx="10">
                  <c:v>0.54694260139584994</c:v>
                </c:pt>
                <c:pt idx="11">
                  <c:v>0.53314049018943932</c:v>
                </c:pt>
              </c:numCache>
            </c:numRef>
          </c:val>
          <c:extLst>
            <c:ext xmlns:c16="http://schemas.microsoft.com/office/drawing/2014/chart" uri="{C3380CC4-5D6E-409C-BE32-E72D297353CC}">
              <c16:uniqueId val="{00000001-9D56-4335-BCD7-A1E8513A4193}"/>
            </c:ext>
          </c:extLst>
        </c:ser>
        <c:dLbls>
          <c:showLegendKey val="0"/>
          <c:showVal val="0"/>
          <c:showCatName val="0"/>
          <c:showSerName val="0"/>
          <c:showPercent val="0"/>
          <c:showBubbleSize val="0"/>
        </c:dLbls>
        <c:gapWidth val="219"/>
        <c:axId val="1620656911"/>
        <c:axId val="1620658575"/>
      </c:barChart>
      <c:catAx>
        <c:axId val="1620656911"/>
        <c:scaling>
          <c:orientation val="minMax"/>
        </c:scaling>
        <c:delete val="0"/>
        <c:axPos val="b"/>
        <c:numFmt formatCode="General" sourceLinked="1"/>
        <c:majorTickMark val="none"/>
        <c:minorTickMark val="none"/>
        <c:tickLblPos val="high"/>
        <c:spPr>
          <a:noFill/>
          <a:ln w="0" cap="flat" cmpd="sng" algn="ctr">
            <a:solidFill>
              <a:schemeClr val="tx1">
                <a:lumMod val="15000"/>
                <a:lumOff val="85000"/>
              </a:schemeClr>
            </a:solidFill>
            <a:round/>
          </a:ln>
          <a:effectLst/>
        </c:spPr>
        <c:txPr>
          <a:bodyPr rot="-60000000" spcFirstLastPara="1" vertOverflow="ellipsis" vert="horz" wrap="square" anchor="b"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658575"/>
        <c:crosses val="autoZero"/>
        <c:auto val="1"/>
        <c:lblAlgn val="ctr"/>
        <c:lblOffset val="100"/>
        <c:noMultiLvlLbl val="0"/>
      </c:catAx>
      <c:valAx>
        <c:axId val="1620658575"/>
        <c:scaling>
          <c:orientation val="minMax"/>
        </c:scaling>
        <c:delete val="0"/>
        <c:axPos val="l"/>
        <c:majorGridlines>
          <c:spPr>
            <a:ln w="9525" cap="flat" cmpd="sng" algn="ctr">
              <a:solidFill>
                <a:schemeClr val="tx1">
                  <a:lumMod val="15000"/>
                  <a:lumOff val="85000"/>
                </a:schemeClr>
              </a:solidFill>
              <a:round/>
            </a:ln>
            <a:effectLst/>
          </c:spPr>
        </c:majorGridlines>
        <c:numFmt formatCode="#,##0\ [$₽-419]"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656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nchor="b" anchorCtr="1"/>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[Ecvols.xlsm]Pivot Tables 4!expenses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4'!$L$24</c:f>
              <c:strCache>
                <c:ptCount val="1"/>
                <c:pt idx="0">
                  <c:v>Total</c:v>
                </c:pt>
              </c:strCache>
            </c:strRef>
          </c:tx>
          <c:spPr>
            <a:solidFill>
              <a:schemeClr val="accent1"/>
            </a:solidFill>
            <a:ln>
              <a:noFill/>
            </a:ln>
            <a:effectLst/>
          </c:spPr>
          <c:invertIfNegative val="0"/>
          <c:cat>
            <c:multiLvlStrRef>
              <c:f>'Pivot Tables 4'!$K$25:$K$38</c:f>
              <c:multiLvlStrCache>
                <c:ptCount val="12"/>
                <c:lvl>
                  <c:pt idx="0">
                    <c:v>Янв</c:v>
                  </c:pt>
                  <c:pt idx="1">
                    <c:v>Фев</c:v>
                  </c:pt>
                  <c:pt idx="2">
                    <c:v>Мар</c:v>
                  </c:pt>
                  <c:pt idx="3">
                    <c:v>Апр</c:v>
                  </c:pt>
                  <c:pt idx="4">
                    <c:v>Май</c:v>
                  </c:pt>
                  <c:pt idx="5">
                    <c:v>Июн</c:v>
                  </c:pt>
                  <c:pt idx="6">
                    <c:v>Июл</c:v>
                  </c:pt>
                  <c:pt idx="7">
                    <c:v>Авг</c:v>
                  </c:pt>
                  <c:pt idx="8">
                    <c:v>Сен</c:v>
                  </c:pt>
                  <c:pt idx="9">
                    <c:v>Окт</c:v>
                  </c:pt>
                  <c:pt idx="10">
                    <c:v>Ноя</c:v>
                  </c:pt>
                  <c:pt idx="11">
                    <c:v>Дек</c:v>
                  </c:pt>
                </c:lvl>
                <c:lvl>
                  <c:pt idx="0">
                    <c:v>2017</c:v>
                  </c:pt>
                </c:lvl>
              </c:multiLvlStrCache>
            </c:multiLvlStrRef>
          </c:cat>
          <c:val>
            <c:numRef>
              <c:f>'Pivot Tables 4'!$L$25:$L$38</c:f>
              <c:numCache>
                <c:formatCode>#,##0\ [$₽-419]</c:formatCode>
                <c:ptCount val="12"/>
                <c:pt idx="0">
                  <c:v>2440127</c:v>
                </c:pt>
                <c:pt idx="1">
                  <c:v>3074358</c:v>
                </c:pt>
                <c:pt idx="2">
                  <c:v>3423016</c:v>
                </c:pt>
                <c:pt idx="3">
                  <c:v>4356975</c:v>
                </c:pt>
                <c:pt idx="4">
                  <c:v>4780952</c:v>
                </c:pt>
                <c:pt idx="5">
                  <c:v>5154070</c:v>
                </c:pt>
                <c:pt idx="6">
                  <c:v>4549423</c:v>
                </c:pt>
                <c:pt idx="7">
                  <c:v>5663979</c:v>
                </c:pt>
                <c:pt idx="8">
                  <c:v>5837142</c:v>
                </c:pt>
                <c:pt idx="9">
                  <c:v>6752826</c:v>
                </c:pt>
                <c:pt idx="10">
                  <c:v>5464864</c:v>
                </c:pt>
                <c:pt idx="11">
                  <c:v>6030316</c:v>
                </c:pt>
              </c:numCache>
            </c:numRef>
          </c:val>
          <c:extLst>
            <c:ext xmlns:c16="http://schemas.microsoft.com/office/drawing/2014/chart" uri="{C3380CC4-5D6E-409C-BE32-E72D297353CC}">
              <c16:uniqueId val="{00000000-BDE2-4586-B1B4-8F1F8EC86F65}"/>
            </c:ext>
          </c:extLst>
        </c:ser>
        <c:dLbls>
          <c:showLegendKey val="0"/>
          <c:showVal val="0"/>
          <c:showCatName val="0"/>
          <c:showSerName val="0"/>
          <c:showPercent val="0"/>
          <c:showBubbleSize val="0"/>
        </c:dLbls>
        <c:gapWidth val="150"/>
        <c:axId val="1195191135"/>
        <c:axId val="1195192799"/>
      </c:barChart>
      <c:catAx>
        <c:axId val="1195191135"/>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195192799"/>
        <c:crosses val="autoZero"/>
        <c:auto val="0"/>
        <c:lblAlgn val="ctr"/>
        <c:lblOffset val="100"/>
        <c:noMultiLvlLbl val="0"/>
      </c:catAx>
      <c:valAx>
        <c:axId val="1195192799"/>
        <c:scaling>
          <c:orientation val="minMax"/>
        </c:scaling>
        <c:delete val="0"/>
        <c:axPos val="l"/>
        <c:majorGridlines>
          <c:spPr>
            <a:ln w="9525" cap="flat" cmpd="sng" algn="ctr">
              <a:solidFill>
                <a:schemeClr val="tx1">
                  <a:lumMod val="15000"/>
                  <a:lumOff val="85000"/>
                </a:schemeClr>
              </a:solidFill>
              <a:round/>
            </a:ln>
            <a:effectLst/>
          </c:spPr>
        </c:majorGridlines>
        <c:numFmt formatCode="#,##0\ [$₽-419]"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519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34621097958904E-2"/>
          <c:y val="4.8976443067348663E-2"/>
          <c:w val="0.93107034769954244"/>
          <c:h val="0.91159704301489952"/>
        </c:manualLayout>
      </c:layout>
      <c:bubbleChart>
        <c:varyColors val="0"/>
        <c:ser>
          <c:idx val="0"/>
          <c:order val="0"/>
          <c:spPr>
            <a:solidFill>
              <a:schemeClr val="accent1">
                <a:alpha val="75000"/>
              </a:schemeClr>
            </a:solidFill>
            <a:ln>
              <a:noFill/>
            </a:ln>
            <a:effectLst/>
          </c:spPr>
          <c:invertIfNegative val="0"/>
          <c:xVal>
            <c:numRef>
              <c:f>'Pivot Tables 5'!$I$4:$I$11</c:f>
              <c:numCache>
                <c:formatCode>General</c:formatCode>
                <c:ptCount val="8"/>
                <c:pt idx="0">
                  <c:v>50</c:v>
                </c:pt>
                <c:pt idx="1">
                  <c:v>66</c:v>
                </c:pt>
                <c:pt idx="2">
                  <c:v>34</c:v>
                </c:pt>
                <c:pt idx="3">
                  <c:v>72</c:v>
                </c:pt>
                <c:pt idx="4">
                  <c:v>33</c:v>
                </c:pt>
                <c:pt idx="5">
                  <c:v>60.5</c:v>
                </c:pt>
                <c:pt idx="6">
                  <c:v>49</c:v>
                </c:pt>
                <c:pt idx="7">
                  <c:v>69</c:v>
                </c:pt>
              </c:numCache>
            </c:numRef>
          </c:xVal>
          <c:yVal>
            <c:numRef>
              <c:f>'Pivot Tables 5'!$J$4:$J$11</c:f>
              <c:numCache>
                <c:formatCode>General</c:formatCode>
                <c:ptCount val="8"/>
                <c:pt idx="0">
                  <c:v>50</c:v>
                </c:pt>
                <c:pt idx="1">
                  <c:v>23</c:v>
                </c:pt>
                <c:pt idx="2">
                  <c:v>24</c:v>
                </c:pt>
                <c:pt idx="3">
                  <c:v>47</c:v>
                </c:pt>
                <c:pt idx="4">
                  <c:v>77</c:v>
                </c:pt>
                <c:pt idx="5">
                  <c:v>80</c:v>
                </c:pt>
                <c:pt idx="6">
                  <c:v>79</c:v>
                </c:pt>
                <c:pt idx="7">
                  <c:v>66.5</c:v>
                </c:pt>
              </c:numCache>
            </c:numRef>
          </c:yVal>
          <c:bubbleSize>
            <c:numRef>
              <c:f>'Pivot Tables 5'!$C$4:$C$11</c:f>
              <c:numCache>
                <c:formatCode>[&gt;999999]#,,"M"\ [$₽-419];#,"K"\ [$₽-419]</c:formatCode>
                <c:ptCount val="8"/>
                <c:pt idx="0">
                  <c:v>30562705</c:v>
                </c:pt>
                <c:pt idx="1">
                  <c:v>8619489</c:v>
                </c:pt>
                <c:pt idx="2">
                  <c:v>5092962</c:v>
                </c:pt>
                <c:pt idx="3">
                  <c:v>6268715</c:v>
                </c:pt>
                <c:pt idx="4">
                  <c:v>4464712</c:v>
                </c:pt>
                <c:pt idx="5">
                  <c:v>2308141</c:v>
                </c:pt>
                <c:pt idx="6">
                  <c:v>893801</c:v>
                </c:pt>
                <c:pt idx="7">
                  <c:v>4410485</c:v>
                </c:pt>
              </c:numCache>
            </c:numRef>
          </c:bubbleSize>
          <c:bubble3D val="1"/>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E7BD-4BDC-A056-BCDAB7DBB31B}"/>
            </c:ext>
          </c:extLst>
        </c:ser>
        <c:dLbls>
          <c:showLegendKey val="0"/>
          <c:showVal val="0"/>
          <c:showCatName val="0"/>
          <c:showSerName val="0"/>
          <c:showPercent val="0"/>
          <c:showBubbleSize val="0"/>
        </c:dLbls>
        <c:bubbleScale val="200"/>
        <c:showNegBubbles val="0"/>
        <c:axId val="1934273504"/>
        <c:axId val="1934278496"/>
      </c:bubbleChart>
      <c:valAx>
        <c:axId val="1934273504"/>
        <c:scaling>
          <c:orientation val="minMax"/>
          <c:max val="1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278496"/>
        <c:crosses val="autoZero"/>
        <c:crossBetween val="midCat"/>
        <c:majorUnit val="5"/>
      </c:valAx>
      <c:valAx>
        <c:axId val="193427849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273504"/>
        <c:crosses val="autoZero"/>
        <c:crossBetween val="midCat"/>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5.xml"/><Relationship Id="rId18" Type="http://schemas.openxmlformats.org/officeDocument/2006/relationships/chart" Target="../charts/chart8.xml"/><Relationship Id="rId26" Type="http://schemas.openxmlformats.org/officeDocument/2006/relationships/chart" Target="../charts/chart16.xml"/><Relationship Id="rId3" Type="http://schemas.openxmlformats.org/officeDocument/2006/relationships/image" Target="../media/image3.png"/><Relationship Id="rId21" Type="http://schemas.openxmlformats.org/officeDocument/2006/relationships/chart" Target="../charts/chart11.xml"/><Relationship Id="rId7" Type="http://schemas.openxmlformats.org/officeDocument/2006/relationships/image" Target="../media/image6.png"/><Relationship Id="rId12" Type="http://schemas.openxmlformats.org/officeDocument/2006/relationships/chart" Target="../charts/chart4.xml"/><Relationship Id="rId17" Type="http://schemas.openxmlformats.org/officeDocument/2006/relationships/chart" Target="../charts/chart7.xml"/><Relationship Id="rId25" Type="http://schemas.openxmlformats.org/officeDocument/2006/relationships/chart" Target="../charts/chart15.xml"/><Relationship Id="rId33" Type="http://schemas.openxmlformats.org/officeDocument/2006/relationships/image" Target="../media/image16.svg"/><Relationship Id="rId2" Type="http://schemas.openxmlformats.org/officeDocument/2006/relationships/image" Target="../media/image2.png"/><Relationship Id="rId16" Type="http://schemas.openxmlformats.org/officeDocument/2006/relationships/image" Target="../media/image10.svg"/><Relationship Id="rId20" Type="http://schemas.openxmlformats.org/officeDocument/2006/relationships/chart" Target="../charts/chart10.xml"/><Relationship Id="rId29" Type="http://schemas.openxmlformats.org/officeDocument/2006/relationships/image" Target="../media/image12.sv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3.xml"/><Relationship Id="rId24" Type="http://schemas.openxmlformats.org/officeDocument/2006/relationships/chart" Target="../charts/chart14.xml"/><Relationship Id="rId32" Type="http://schemas.openxmlformats.org/officeDocument/2006/relationships/image" Target="../media/image15.png"/><Relationship Id="rId5" Type="http://schemas.openxmlformats.org/officeDocument/2006/relationships/image" Target="../media/image5.png"/><Relationship Id="rId15" Type="http://schemas.openxmlformats.org/officeDocument/2006/relationships/image" Target="../media/image9.png"/><Relationship Id="rId23" Type="http://schemas.openxmlformats.org/officeDocument/2006/relationships/chart" Target="../charts/chart13.xml"/><Relationship Id="rId28" Type="http://schemas.openxmlformats.org/officeDocument/2006/relationships/image" Target="../media/image11.png"/><Relationship Id="rId10" Type="http://schemas.openxmlformats.org/officeDocument/2006/relationships/image" Target="../media/image8.png"/><Relationship Id="rId19" Type="http://schemas.openxmlformats.org/officeDocument/2006/relationships/chart" Target="../charts/chart9.xml"/><Relationship Id="rId31" Type="http://schemas.openxmlformats.org/officeDocument/2006/relationships/image" Target="../media/image14.png"/><Relationship Id="rId4" Type="http://schemas.openxmlformats.org/officeDocument/2006/relationships/image" Target="../media/image4.png"/><Relationship Id="rId9" Type="http://schemas.openxmlformats.org/officeDocument/2006/relationships/image" Target="../media/image7.png"/><Relationship Id="rId14" Type="http://schemas.openxmlformats.org/officeDocument/2006/relationships/chart" Target="../charts/chart6.xml"/><Relationship Id="rId22" Type="http://schemas.openxmlformats.org/officeDocument/2006/relationships/chart" Target="../charts/chart12.xml"/><Relationship Id="rId27" Type="http://schemas.openxmlformats.org/officeDocument/2006/relationships/chart" Target="../charts/chart17.xml"/><Relationship Id="rId30" Type="http://schemas.openxmlformats.org/officeDocument/2006/relationships/image" Target="../media/image13.png"/><Relationship Id="rId8"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12" Type="http://schemas.openxmlformats.org/officeDocument/2006/relationships/chart" Target="../charts/chart38.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chart" Target="../charts/chart39.xml"/><Relationship Id="rId6" Type="http://schemas.openxmlformats.org/officeDocument/2006/relationships/chart" Target="../charts/chart44.xml"/><Relationship Id="rId5" Type="http://schemas.openxmlformats.org/officeDocument/2006/relationships/chart" Target="../charts/chart43.xml"/><Relationship Id="rId4" Type="http://schemas.openxmlformats.org/officeDocument/2006/relationships/chart" Target="../charts/chart4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19050</xdr:rowOff>
    </xdr:from>
    <xdr:to>
      <xdr:col>29</xdr:col>
      <xdr:colOff>9524</xdr:colOff>
      <xdr:row>38</xdr:row>
      <xdr:rowOff>161925</xdr:rowOff>
    </xdr:to>
    <xdr:sp macro="" textlink="">
      <xdr:nvSpPr>
        <xdr:cNvPr id="2" name="Rectangle: Rounded Corners 1">
          <a:extLst>
            <a:ext uri="{FF2B5EF4-FFF2-40B4-BE49-F238E27FC236}">
              <a16:creationId xmlns:a16="http://schemas.microsoft.com/office/drawing/2014/main" id="{658EF55D-2015-442A-B13A-9E8CC5A200F3}"/>
            </a:ext>
          </a:extLst>
        </xdr:cNvPr>
        <xdr:cNvSpPr/>
      </xdr:nvSpPr>
      <xdr:spPr>
        <a:xfrm>
          <a:off x="0" y="19050"/>
          <a:ext cx="17687924" cy="7381875"/>
        </a:xfrm>
        <a:prstGeom prst="roundRect">
          <a:avLst>
            <a:gd name="adj" fmla="val 3573"/>
          </a:avLst>
        </a:prstGeom>
        <a:gradFill flip="none" rotWithShape="1">
          <a:gsLst>
            <a:gs pos="16000">
              <a:srgbClr val="0047B3"/>
            </a:gs>
            <a:gs pos="12000">
              <a:schemeClr val="tx1"/>
            </a:gs>
            <a:gs pos="72000">
              <a:srgbClr val="0047B3"/>
            </a:gs>
          </a:gsLst>
          <a:lin ang="0" scaled="0"/>
          <a:tileRect/>
        </a:gradFill>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CCFFFF"/>
            </a:solidFill>
          </a:endParaRPr>
        </a:p>
      </xdr:txBody>
    </xdr:sp>
    <xdr:clientData/>
  </xdr:twoCellAnchor>
  <xdr:twoCellAnchor editAs="oneCell">
    <xdr:from>
      <xdr:col>0</xdr:col>
      <xdr:colOff>219075</xdr:colOff>
      <xdr:row>1</xdr:row>
      <xdr:rowOff>19050</xdr:rowOff>
    </xdr:from>
    <xdr:to>
      <xdr:col>3</xdr:col>
      <xdr:colOff>223838</xdr:colOff>
      <xdr:row>4</xdr:row>
      <xdr:rowOff>180975</xdr:rowOff>
    </xdr:to>
    <xdr:pic>
      <xdr:nvPicPr>
        <xdr:cNvPr id="18" name="logo">
          <a:extLst>
            <a:ext uri="{FF2B5EF4-FFF2-40B4-BE49-F238E27FC236}">
              <a16:creationId xmlns:a16="http://schemas.microsoft.com/office/drawing/2014/main" id="{70380D23-F428-4C95-832D-7589CCB8BD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5" y="209550"/>
          <a:ext cx="1833563" cy="733425"/>
        </a:xfrm>
        <a:prstGeom prst="rect">
          <a:avLst/>
        </a:prstGeom>
        <a:noFill/>
        <a:ln w="57150" cmpd="sng">
          <a:noFill/>
        </a:ln>
      </xdr:spPr>
    </xdr:pic>
    <xdr:clientData/>
  </xdr:twoCellAnchor>
  <xdr:twoCellAnchor>
    <xdr:from>
      <xdr:col>4</xdr:col>
      <xdr:colOff>409575</xdr:colOff>
      <xdr:row>0</xdr:row>
      <xdr:rowOff>175586</xdr:rowOff>
    </xdr:from>
    <xdr:to>
      <xdr:col>28</xdr:col>
      <xdr:colOff>255269</xdr:colOff>
      <xdr:row>38</xdr:row>
      <xdr:rowOff>85724</xdr:rowOff>
    </xdr:to>
    <xdr:grpSp>
      <xdr:nvGrpSpPr>
        <xdr:cNvPr id="137" name="Page 1" hidden="1">
          <a:extLst>
            <a:ext uri="{FF2B5EF4-FFF2-40B4-BE49-F238E27FC236}">
              <a16:creationId xmlns:a16="http://schemas.microsoft.com/office/drawing/2014/main" id="{A84BC956-D1C6-4890-9ADF-DFBE6CAFCC00}"/>
            </a:ext>
          </a:extLst>
        </xdr:cNvPr>
        <xdr:cNvGrpSpPr/>
      </xdr:nvGrpSpPr>
      <xdr:grpSpPr>
        <a:xfrm>
          <a:off x="2847975" y="175586"/>
          <a:ext cx="14476094" cy="7149138"/>
          <a:chOff x="2847975" y="175586"/>
          <a:chExt cx="14476094" cy="7149138"/>
        </a:xfrm>
      </xdr:grpSpPr>
      <mc:AlternateContent xmlns:mc="http://schemas.openxmlformats.org/markup-compatibility/2006" xmlns:a14="http://schemas.microsoft.com/office/drawing/2010/main">
        <mc:Choice Requires="a14">
          <xdr:graphicFrame macro="">
            <xdr:nvGraphicFramePr>
              <xdr:cNvPr id="108" name="Years 3" hidden="1">
                <a:extLst>
                  <a:ext uri="{FF2B5EF4-FFF2-40B4-BE49-F238E27FC236}">
                    <a16:creationId xmlns:a16="http://schemas.microsoft.com/office/drawing/2014/main" id="{212C91CB-DB71-4410-80F6-659D5D546F02}"/>
                  </a:ext>
                </a:extLst>
              </xdr:cNvPr>
              <xdr:cNvGraphicFramePr/>
            </xdr:nvGraphicFramePr>
            <xdr:xfrm>
              <a:off x="8193974" y="320040"/>
              <a:ext cx="3776472" cy="548640"/>
            </xdr:xfrm>
            <a:graphic>
              <a:graphicData uri="http://schemas.microsoft.com/office/drawing/2010/slicer">
                <sle:slicer xmlns:sle="http://schemas.microsoft.com/office/drawing/2010/slicer" name="Years 3"/>
              </a:graphicData>
            </a:graphic>
          </xdr:graphicFrame>
        </mc:Choice>
        <mc:Fallback xmlns="">
          <xdr:sp macro="" textlink="">
            <xdr:nvSpPr>
              <xdr:cNvPr id="0" name=""/>
              <xdr:cNvSpPr>
                <a:spLocks noTextEdit="1"/>
              </xdr:cNvSpPr>
            </xdr:nvSpPr>
            <xdr:spPr>
              <a:xfrm>
                <a:off x="8193974" y="320040"/>
                <a:ext cx="3776472"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29" name="gross profit drop" hidden="1">
            <a:extLst>
              <a:ext uri="{FF2B5EF4-FFF2-40B4-BE49-F238E27FC236}">
                <a16:creationId xmlns:a16="http://schemas.microsoft.com/office/drawing/2014/main" id="{5230E9A3-2A1A-4E43-A9FB-F481A42977E0}"/>
              </a:ext>
            </a:extLst>
          </xdr:cNvPr>
          <xdr:cNvGrpSpPr/>
        </xdr:nvGrpSpPr>
        <xdr:grpSpPr>
          <a:xfrm>
            <a:off x="5381625" y="1990725"/>
            <a:ext cx="2295524" cy="2295527"/>
            <a:chOff x="5381625" y="1990725"/>
            <a:chExt cx="2295524" cy="2295527"/>
          </a:xfrm>
        </xdr:grpSpPr>
        <xdr:sp macro="" textlink="">
          <xdr:nvSpPr>
            <xdr:cNvPr id="54" name="Teardrop 53" hidden="1">
              <a:extLst>
                <a:ext uri="{FF2B5EF4-FFF2-40B4-BE49-F238E27FC236}">
                  <a16:creationId xmlns:a16="http://schemas.microsoft.com/office/drawing/2014/main" id="{705BC01D-B6B1-4D68-8719-53BFD7EE8F76}"/>
                </a:ext>
              </a:extLst>
            </xdr:cNvPr>
            <xdr:cNvSpPr/>
          </xdr:nvSpPr>
          <xdr:spPr>
            <a:xfrm>
              <a:off x="5381625" y="2000252"/>
              <a:ext cx="2286000" cy="2286000"/>
            </a:xfrm>
            <a:prstGeom prst="teardrop">
              <a:avLst>
                <a:gd name="adj" fmla="val 200000"/>
              </a:avLst>
            </a:prstGeom>
            <a:gradFill flip="none" rotWithShape="1">
              <a:gsLst>
                <a:gs pos="33000">
                  <a:schemeClr val="tx1"/>
                </a:gs>
                <a:gs pos="0">
                  <a:srgbClr val="0047B3"/>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F52EE702-FCFA-48C2-ADA8-E727ED7C09ED}"/>
                </a:ext>
              </a:extLst>
            </xdr:cNvPr>
            <xdr:cNvSpPr txBox="1"/>
          </xdr:nvSpPr>
          <xdr:spPr>
            <a:xfrm>
              <a:off x="6105526" y="2076451"/>
              <a:ext cx="1000124"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400" b="1" i="0" u="none" strike="noStrike">
                  <a:solidFill>
                    <a:srgbClr val="CCFFFF"/>
                  </a:solidFill>
                  <a:effectLst/>
                  <a:latin typeface="+mn-lt"/>
                  <a:ea typeface="+mn-ea"/>
                  <a:cs typeface="+mn-cs"/>
                </a:rPr>
                <a:t>Валовая прибыль</a:t>
              </a:r>
              <a:r>
                <a:rPr lang="ru-RU" sz="1400">
                  <a:solidFill>
                    <a:srgbClr val="CCFFFF"/>
                  </a:solidFill>
                </a:rPr>
                <a:t> </a:t>
              </a:r>
              <a:endParaRPr lang="en-US" sz="1400">
                <a:solidFill>
                  <a:srgbClr val="CCFFFF"/>
                </a:solidFill>
              </a:endParaRPr>
            </a:p>
          </xdr:txBody>
        </xdr:sp>
        <xdr:sp macro="" textlink="'Pivot Tables 4'!$G$11">
          <xdr:nvSpPr>
            <xdr:cNvPr id="98" name="TextBox 97" hidden="1">
              <a:extLst>
                <a:ext uri="{FF2B5EF4-FFF2-40B4-BE49-F238E27FC236}">
                  <a16:creationId xmlns:a16="http://schemas.microsoft.com/office/drawing/2014/main" id="{65CB342E-F179-48B4-909E-A72F163EEC64}"/>
                </a:ext>
              </a:extLst>
            </xdr:cNvPr>
            <xdr:cNvSpPr txBox="1"/>
          </xdr:nvSpPr>
          <xdr:spPr>
            <a:xfrm>
              <a:off x="5419724" y="2924175"/>
              <a:ext cx="225742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06AD1F-545E-4D52-AD78-C4138D840045}" type="TxLink">
                <a:rPr lang="en-US" sz="2400" b="1" i="0" u="none" strike="noStrike">
                  <a:solidFill>
                    <a:srgbClr val="CCFFFF"/>
                  </a:solidFill>
                  <a:latin typeface="Calibri"/>
                  <a:ea typeface="+mn-ea"/>
                  <a:cs typeface="Calibri"/>
                </a:rPr>
                <a:pPr marL="0" indent="0" algn="ctr"/>
                <a:t>72,988,025 ₽</a:t>
              </a:fld>
              <a:endParaRPr lang="en-US" sz="2400" b="1" i="0" u="none" strike="noStrike">
                <a:solidFill>
                  <a:srgbClr val="CCFFFF"/>
                </a:solidFill>
                <a:latin typeface="Calibri"/>
                <a:ea typeface="+mn-ea"/>
                <a:cs typeface="Calibri"/>
              </a:endParaRPr>
            </a:p>
          </xdr:txBody>
        </xdr:sp>
        <xdr:grpSp>
          <xdr:nvGrpSpPr>
            <xdr:cNvPr id="128" name="Group 127" hidden="1">
              <a:extLst>
                <a:ext uri="{FF2B5EF4-FFF2-40B4-BE49-F238E27FC236}">
                  <a16:creationId xmlns:a16="http://schemas.microsoft.com/office/drawing/2014/main" id="{ADE330C3-D164-4379-8478-87D7361A7162}"/>
                </a:ext>
              </a:extLst>
            </xdr:cNvPr>
            <xdr:cNvGrpSpPr/>
          </xdr:nvGrpSpPr>
          <xdr:grpSpPr>
            <a:xfrm>
              <a:off x="6981824" y="1990725"/>
              <a:ext cx="676275" cy="638175"/>
              <a:chOff x="6981824" y="1990725"/>
              <a:chExt cx="676275" cy="638175"/>
            </a:xfrm>
          </xdr:grpSpPr>
          <xdr:pic>
            <xdr:nvPicPr>
              <xdr:cNvPr id="36" name="Picture 35" hidden="1">
                <a:extLst>
                  <a:ext uri="{FF2B5EF4-FFF2-40B4-BE49-F238E27FC236}">
                    <a16:creationId xmlns:a16="http://schemas.microsoft.com/office/drawing/2014/main" id="{E0AA4A1D-C676-4049-89BA-CAC3BD46FF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48500" y="2057400"/>
                <a:ext cx="548640" cy="548640"/>
              </a:xfrm>
              <a:prstGeom prst="rect">
                <a:avLst/>
              </a:prstGeom>
            </xdr:spPr>
          </xdr:pic>
          <xdr:sp macro="" textlink="">
            <xdr:nvSpPr>
              <xdr:cNvPr id="112" name="Oval 111" hidden="1">
                <a:extLst>
                  <a:ext uri="{FF2B5EF4-FFF2-40B4-BE49-F238E27FC236}">
                    <a16:creationId xmlns:a16="http://schemas.microsoft.com/office/drawing/2014/main" id="{197822EE-1985-4AAE-950B-476A584D63CA}"/>
                  </a:ext>
                </a:extLst>
              </xdr:cNvPr>
              <xdr:cNvSpPr/>
            </xdr:nvSpPr>
            <xdr:spPr>
              <a:xfrm>
                <a:off x="6981824" y="1990725"/>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31" name="margin drop" hidden="1">
            <a:extLst>
              <a:ext uri="{FF2B5EF4-FFF2-40B4-BE49-F238E27FC236}">
                <a16:creationId xmlns:a16="http://schemas.microsoft.com/office/drawing/2014/main" id="{A3012821-AADB-4E84-AF31-30ABB1B4FD02}"/>
              </a:ext>
            </a:extLst>
          </xdr:cNvPr>
          <xdr:cNvGrpSpPr/>
        </xdr:nvGrpSpPr>
        <xdr:grpSpPr>
          <a:xfrm>
            <a:off x="8943022" y="1962150"/>
            <a:ext cx="2306003" cy="2609853"/>
            <a:chOff x="8943022" y="1962150"/>
            <a:chExt cx="2306003" cy="2609853"/>
          </a:xfrm>
        </xdr:grpSpPr>
        <xdr:sp macro="" textlink="">
          <xdr:nvSpPr>
            <xdr:cNvPr id="104" name="Teardrop 103" hidden="1">
              <a:extLst>
                <a:ext uri="{FF2B5EF4-FFF2-40B4-BE49-F238E27FC236}">
                  <a16:creationId xmlns:a16="http://schemas.microsoft.com/office/drawing/2014/main" id="{75A793DD-2BC9-4C82-B083-FE297CB59A88}"/>
                </a:ext>
              </a:extLst>
            </xdr:cNvPr>
            <xdr:cNvSpPr/>
          </xdr:nvSpPr>
          <xdr:spPr>
            <a:xfrm rot="18887030">
              <a:off x="8943022" y="2286003"/>
              <a:ext cx="2286000" cy="2286000"/>
            </a:xfrm>
            <a:prstGeom prst="teardrop">
              <a:avLst>
                <a:gd name="adj" fmla="val 154411"/>
              </a:avLst>
            </a:prstGeom>
            <a:gradFill flip="none" rotWithShape="1">
              <a:gsLst>
                <a:gs pos="33000">
                  <a:schemeClr val="tx1"/>
                </a:gs>
                <a:gs pos="0">
                  <a:srgbClr val="0047B3"/>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TextBox 110" hidden="1">
              <a:extLst>
                <a:ext uri="{FF2B5EF4-FFF2-40B4-BE49-F238E27FC236}">
                  <a16:creationId xmlns:a16="http://schemas.microsoft.com/office/drawing/2014/main" id="{A059862A-3DCA-43CA-9154-166CE86F75DB}"/>
                </a:ext>
              </a:extLst>
            </xdr:cNvPr>
            <xdr:cNvSpPr txBox="1"/>
          </xdr:nvSpPr>
          <xdr:spPr>
            <a:xfrm>
              <a:off x="9372600" y="2562226"/>
              <a:ext cx="1543050"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ru-RU" sz="1400" b="1" i="0" u="none" strike="noStrike">
                  <a:solidFill>
                    <a:srgbClr val="CCFFFF"/>
                  </a:solidFill>
                  <a:effectLst/>
                  <a:latin typeface="+mn-lt"/>
                  <a:ea typeface="+mn-ea"/>
                  <a:cs typeface="+mn-cs"/>
                </a:rPr>
                <a:t>Маржинальность </a:t>
              </a:r>
              <a:endParaRPr lang="en-US" sz="1400" b="1" i="0" u="none" strike="noStrike">
                <a:solidFill>
                  <a:srgbClr val="CCFFFF"/>
                </a:solidFill>
                <a:effectLst/>
                <a:latin typeface="+mn-lt"/>
                <a:ea typeface="+mn-ea"/>
                <a:cs typeface="+mn-cs"/>
              </a:endParaRPr>
            </a:p>
          </xdr:txBody>
        </xdr:sp>
        <xdr:sp macro="" textlink="'Pivot Tables 4'!$I$20">
          <xdr:nvSpPr>
            <xdr:cNvPr id="107" name="TextBox 106" hidden="1">
              <a:extLst>
                <a:ext uri="{FF2B5EF4-FFF2-40B4-BE49-F238E27FC236}">
                  <a16:creationId xmlns:a16="http://schemas.microsoft.com/office/drawing/2014/main" id="{41AAF179-6B9D-4347-A6C0-19442180DAFE}"/>
                </a:ext>
              </a:extLst>
            </xdr:cNvPr>
            <xdr:cNvSpPr txBox="1"/>
          </xdr:nvSpPr>
          <xdr:spPr>
            <a:xfrm>
              <a:off x="9001125" y="3133725"/>
              <a:ext cx="22479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F2A402-516E-4CF3-B455-1EA200BAF993}" type="TxLink">
                <a:rPr lang="en-US" sz="2400" b="1" i="0" u="none" strike="noStrike">
                  <a:solidFill>
                    <a:srgbClr val="CCFFFF"/>
                  </a:solidFill>
                  <a:latin typeface="Calibri"/>
                  <a:ea typeface="+mn-ea"/>
                  <a:cs typeface="Calibri"/>
                </a:rPr>
                <a:pPr marL="0" indent="0" algn="ctr"/>
                <a:t>51.09%</a:t>
              </a:fld>
              <a:endParaRPr lang="en-US" sz="2400" b="1" i="0" u="none" strike="noStrike">
                <a:solidFill>
                  <a:srgbClr val="CCFFFF"/>
                </a:solidFill>
                <a:latin typeface="Calibri"/>
                <a:ea typeface="+mn-ea"/>
                <a:cs typeface="Calibri"/>
              </a:endParaRPr>
            </a:p>
          </xdr:txBody>
        </xdr:sp>
        <xdr:grpSp>
          <xdr:nvGrpSpPr>
            <xdr:cNvPr id="130" name="Group 129" hidden="1">
              <a:extLst>
                <a:ext uri="{FF2B5EF4-FFF2-40B4-BE49-F238E27FC236}">
                  <a16:creationId xmlns:a16="http://schemas.microsoft.com/office/drawing/2014/main" id="{BE781AC1-A1CA-40E9-8993-476A042FA1DD}"/>
                </a:ext>
              </a:extLst>
            </xdr:cNvPr>
            <xdr:cNvGrpSpPr/>
          </xdr:nvGrpSpPr>
          <xdr:grpSpPr>
            <a:xfrm>
              <a:off x="9744074" y="1962150"/>
              <a:ext cx="676275" cy="638175"/>
              <a:chOff x="9744074" y="1962150"/>
              <a:chExt cx="676275" cy="638175"/>
            </a:xfrm>
          </xdr:grpSpPr>
          <xdr:pic>
            <xdr:nvPicPr>
              <xdr:cNvPr id="106" name="Picture 105" hidden="1">
                <a:extLst>
                  <a:ext uri="{FF2B5EF4-FFF2-40B4-BE49-F238E27FC236}">
                    <a16:creationId xmlns:a16="http://schemas.microsoft.com/office/drawing/2014/main" id="{C8C40282-4DE6-41A0-AB53-4EE38DD6987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877426" y="2076450"/>
                <a:ext cx="428624" cy="428624"/>
              </a:xfrm>
              <a:prstGeom prst="rect">
                <a:avLst/>
              </a:prstGeom>
            </xdr:spPr>
          </xdr:pic>
          <xdr:sp macro="" textlink="">
            <xdr:nvSpPr>
              <xdr:cNvPr id="113" name="Oval 112" hidden="1">
                <a:extLst>
                  <a:ext uri="{FF2B5EF4-FFF2-40B4-BE49-F238E27FC236}">
                    <a16:creationId xmlns:a16="http://schemas.microsoft.com/office/drawing/2014/main" id="{0CDE25C5-CBD6-41FB-A805-C651A90B029B}"/>
                  </a:ext>
                </a:extLst>
              </xdr:cNvPr>
              <xdr:cNvSpPr/>
            </xdr:nvSpPr>
            <xdr:spPr>
              <a:xfrm>
                <a:off x="9744074" y="1962150"/>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27" name="revenue drop" hidden="1">
            <a:extLst>
              <a:ext uri="{FF2B5EF4-FFF2-40B4-BE49-F238E27FC236}">
                <a16:creationId xmlns:a16="http://schemas.microsoft.com/office/drawing/2014/main" id="{2ED5344E-C9E3-42A9-B343-AB21CD8657D2}"/>
              </a:ext>
            </a:extLst>
          </xdr:cNvPr>
          <xdr:cNvGrpSpPr/>
        </xdr:nvGrpSpPr>
        <xdr:grpSpPr>
          <a:xfrm>
            <a:off x="3590920" y="189620"/>
            <a:ext cx="2657480" cy="2286000"/>
            <a:chOff x="3590920" y="189620"/>
            <a:chExt cx="2657480" cy="2286000"/>
          </a:xfrm>
        </xdr:grpSpPr>
        <xdr:sp macro="" textlink="">
          <xdr:nvSpPr>
            <xdr:cNvPr id="14" name="Teardrop 13" hidden="1">
              <a:extLst>
                <a:ext uri="{FF2B5EF4-FFF2-40B4-BE49-F238E27FC236}">
                  <a16:creationId xmlns:a16="http://schemas.microsoft.com/office/drawing/2014/main" id="{7B4D4E27-0B58-4900-879D-1559B1BA08C7}"/>
                </a:ext>
              </a:extLst>
            </xdr:cNvPr>
            <xdr:cNvSpPr/>
          </xdr:nvSpPr>
          <xdr:spPr>
            <a:xfrm rot="1758640">
              <a:off x="3590920" y="189620"/>
              <a:ext cx="2286000" cy="2286000"/>
            </a:xfrm>
            <a:prstGeom prst="teardrop">
              <a:avLst>
                <a:gd name="adj" fmla="val 200000"/>
              </a:avLst>
            </a:prstGeom>
            <a:gradFill flip="none" rotWithShape="1">
              <a:gsLst>
                <a:gs pos="33000">
                  <a:schemeClr val="tx1"/>
                </a:gs>
                <a:gs pos="0">
                  <a:srgbClr val="0047B3"/>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2" name="TextBox 81" hidden="1">
              <a:extLst>
                <a:ext uri="{FF2B5EF4-FFF2-40B4-BE49-F238E27FC236}">
                  <a16:creationId xmlns:a16="http://schemas.microsoft.com/office/drawing/2014/main" id="{A391530F-5E88-4276-BCF4-442FC4B8E1CD}"/>
                </a:ext>
              </a:extLst>
            </xdr:cNvPr>
            <xdr:cNvSpPr txBox="1"/>
          </xdr:nvSpPr>
          <xdr:spPr>
            <a:xfrm>
              <a:off x="4533900" y="657226"/>
              <a:ext cx="11334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b="1">
                  <a:solidFill>
                    <a:srgbClr val="CCFFFF"/>
                  </a:solidFill>
                </a:rPr>
                <a:t>Выручка</a:t>
              </a:r>
              <a:endParaRPr lang="en-US" sz="1400" b="1">
                <a:solidFill>
                  <a:srgbClr val="CCFFFF"/>
                </a:solidFill>
              </a:endParaRPr>
            </a:p>
          </xdr:txBody>
        </xdr:sp>
        <xdr:sp macro="" textlink="'Pivot Tables 4'!$G$7">
          <xdr:nvSpPr>
            <xdr:cNvPr id="95" name="TextBox 94" hidden="1">
              <a:extLst>
                <a:ext uri="{FF2B5EF4-FFF2-40B4-BE49-F238E27FC236}">
                  <a16:creationId xmlns:a16="http://schemas.microsoft.com/office/drawing/2014/main" id="{9451DD57-309E-4F67-8636-0218EF468552}"/>
                </a:ext>
              </a:extLst>
            </xdr:cNvPr>
            <xdr:cNvSpPr txBox="1"/>
          </xdr:nvSpPr>
          <xdr:spPr>
            <a:xfrm>
              <a:off x="3600450" y="1266825"/>
              <a:ext cx="22098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F3C48-6C76-43C4-9BAE-18AAA15805EB}" type="TxLink">
                <a:rPr lang="en-US" sz="2400" b="1" i="0" u="none" strike="noStrike">
                  <a:solidFill>
                    <a:srgbClr val="CCFFFF"/>
                  </a:solidFill>
                  <a:latin typeface="Calibri"/>
                  <a:ea typeface="+mn-ea"/>
                  <a:cs typeface="Calibri"/>
                </a:rPr>
                <a:pPr marL="0" indent="0" algn="ctr"/>
                <a:t>140,746,374 ₽</a:t>
              </a:fld>
              <a:endParaRPr lang="en-US" sz="2400" b="1" i="0" u="none" strike="noStrike">
                <a:solidFill>
                  <a:srgbClr val="CCFFFF"/>
                </a:solidFill>
                <a:latin typeface="Calibri"/>
                <a:ea typeface="+mn-ea"/>
                <a:cs typeface="Calibri"/>
              </a:endParaRPr>
            </a:p>
          </xdr:txBody>
        </xdr:sp>
        <xdr:grpSp>
          <xdr:nvGrpSpPr>
            <xdr:cNvPr id="126" name="Group 125" hidden="1">
              <a:extLst>
                <a:ext uri="{FF2B5EF4-FFF2-40B4-BE49-F238E27FC236}">
                  <a16:creationId xmlns:a16="http://schemas.microsoft.com/office/drawing/2014/main" id="{7A725CBF-9027-422F-A1BA-998F4563CC90}"/>
                </a:ext>
              </a:extLst>
            </xdr:cNvPr>
            <xdr:cNvGrpSpPr/>
          </xdr:nvGrpSpPr>
          <xdr:grpSpPr>
            <a:xfrm>
              <a:off x="5572125" y="666750"/>
              <a:ext cx="676275" cy="638175"/>
              <a:chOff x="5572125" y="666750"/>
              <a:chExt cx="676275" cy="638175"/>
            </a:xfrm>
          </xdr:grpSpPr>
          <xdr:pic>
            <xdr:nvPicPr>
              <xdr:cNvPr id="75" name="Picture 74" hidden="1">
                <a:extLst>
                  <a:ext uri="{FF2B5EF4-FFF2-40B4-BE49-F238E27FC236}">
                    <a16:creationId xmlns:a16="http://schemas.microsoft.com/office/drawing/2014/main" id="{42D18D76-EBAF-4697-9E8D-60CB2524F03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619749" y="708660"/>
                <a:ext cx="548640" cy="548640"/>
              </a:xfrm>
              <a:prstGeom prst="rect">
                <a:avLst/>
              </a:prstGeom>
            </xdr:spPr>
          </xdr:pic>
          <xdr:sp macro="" textlink="">
            <xdr:nvSpPr>
              <xdr:cNvPr id="115" name="Oval 114" hidden="1">
                <a:extLst>
                  <a:ext uri="{FF2B5EF4-FFF2-40B4-BE49-F238E27FC236}">
                    <a16:creationId xmlns:a16="http://schemas.microsoft.com/office/drawing/2014/main" id="{81930308-F36C-4163-9342-E0C7EE9BB4A1}"/>
                  </a:ext>
                </a:extLst>
              </xdr:cNvPr>
              <xdr:cNvSpPr/>
            </xdr:nvSpPr>
            <xdr:spPr>
              <a:xfrm>
                <a:off x="5572125" y="666750"/>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33" name="taxes drop" hidden="1">
            <a:extLst>
              <a:ext uri="{FF2B5EF4-FFF2-40B4-BE49-F238E27FC236}">
                <a16:creationId xmlns:a16="http://schemas.microsoft.com/office/drawing/2014/main" id="{FB8590EF-A2E4-4851-AF27-6DF906C3AEDE}"/>
              </a:ext>
            </a:extLst>
          </xdr:cNvPr>
          <xdr:cNvGrpSpPr/>
        </xdr:nvGrpSpPr>
        <xdr:grpSpPr>
          <a:xfrm>
            <a:off x="12506325" y="1943100"/>
            <a:ext cx="2295525" cy="2286000"/>
            <a:chOff x="12506325" y="1943100"/>
            <a:chExt cx="2295525" cy="2286000"/>
          </a:xfrm>
        </xdr:grpSpPr>
        <xdr:sp macro="" textlink="">
          <xdr:nvSpPr>
            <xdr:cNvPr id="58" name="Teardrop 57" hidden="1">
              <a:extLst>
                <a:ext uri="{FF2B5EF4-FFF2-40B4-BE49-F238E27FC236}">
                  <a16:creationId xmlns:a16="http://schemas.microsoft.com/office/drawing/2014/main" id="{195346CE-71CD-4703-96D5-ED37498C4898}"/>
                </a:ext>
              </a:extLst>
            </xdr:cNvPr>
            <xdr:cNvSpPr/>
          </xdr:nvSpPr>
          <xdr:spPr>
            <a:xfrm rot="16200000">
              <a:off x="12506325" y="1943100"/>
              <a:ext cx="2286000" cy="2286000"/>
            </a:xfrm>
            <a:prstGeom prst="teardrop">
              <a:avLst>
                <a:gd name="adj" fmla="val 176667"/>
              </a:avLst>
            </a:prstGeom>
            <a:gradFill flip="none" rotWithShape="1">
              <a:gsLst>
                <a:gs pos="33000">
                  <a:schemeClr val="tx1"/>
                </a:gs>
                <a:gs pos="0">
                  <a:srgbClr val="0047B3"/>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6" name="TextBox 85" hidden="1">
              <a:extLst>
                <a:ext uri="{FF2B5EF4-FFF2-40B4-BE49-F238E27FC236}">
                  <a16:creationId xmlns:a16="http://schemas.microsoft.com/office/drawing/2014/main" id="{C2AC4C6D-4E5E-4193-B986-9811C566FA22}"/>
                </a:ext>
              </a:extLst>
            </xdr:cNvPr>
            <xdr:cNvSpPr txBox="1"/>
          </xdr:nvSpPr>
          <xdr:spPr>
            <a:xfrm>
              <a:off x="12773025" y="2114551"/>
              <a:ext cx="1590675"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Налоги</a:t>
              </a:r>
              <a:r>
                <a:rPr lang="ru-RU" sz="1400"/>
                <a:t> </a:t>
              </a:r>
              <a:endParaRPr lang="en-US" sz="1400" b="1">
                <a:solidFill>
                  <a:srgbClr val="CCFFFF"/>
                </a:solidFill>
                <a:latin typeface="+mn-lt"/>
                <a:ea typeface="+mn-ea"/>
                <a:cs typeface="+mn-cs"/>
              </a:endParaRPr>
            </a:p>
          </xdr:txBody>
        </xdr:sp>
        <xdr:sp macro="" textlink="'Pivot Tables 4'!$K$11">
          <xdr:nvSpPr>
            <xdr:cNvPr id="97" name="TextBox 96" hidden="1">
              <a:extLst>
                <a:ext uri="{FF2B5EF4-FFF2-40B4-BE49-F238E27FC236}">
                  <a16:creationId xmlns:a16="http://schemas.microsoft.com/office/drawing/2014/main" id="{EC60166B-88EA-4CC5-84F6-143DB7A477E2}"/>
                </a:ext>
              </a:extLst>
            </xdr:cNvPr>
            <xdr:cNvSpPr txBox="1"/>
          </xdr:nvSpPr>
          <xdr:spPr>
            <a:xfrm>
              <a:off x="12553950" y="2828925"/>
              <a:ext cx="22479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9B5DEC-3377-4E60-A1FD-52285E8353DC}" type="TxLink">
                <a:rPr lang="en-US" sz="2400" b="1" i="0" u="none" strike="noStrike">
                  <a:solidFill>
                    <a:srgbClr val="CCFFFF"/>
                  </a:solidFill>
                  <a:latin typeface="Calibri"/>
                  <a:ea typeface="+mn-ea"/>
                  <a:cs typeface="Calibri"/>
                </a:rPr>
                <a:pPr marL="0" indent="0" algn="ctr"/>
                <a:t>5,092,962 ₽</a:t>
              </a:fld>
              <a:endParaRPr lang="en-US" sz="2400" b="1" i="0" u="none" strike="noStrike">
                <a:solidFill>
                  <a:srgbClr val="CCFFFF"/>
                </a:solidFill>
                <a:latin typeface="Calibri"/>
                <a:ea typeface="+mn-ea"/>
                <a:cs typeface="Calibri"/>
              </a:endParaRPr>
            </a:p>
          </xdr:txBody>
        </xdr:sp>
        <xdr:grpSp>
          <xdr:nvGrpSpPr>
            <xdr:cNvPr id="132" name="Group 131" hidden="1">
              <a:extLst>
                <a:ext uri="{FF2B5EF4-FFF2-40B4-BE49-F238E27FC236}">
                  <a16:creationId xmlns:a16="http://schemas.microsoft.com/office/drawing/2014/main" id="{683E9EAD-1193-47F5-B56E-B864A6D932C2}"/>
                </a:ext>
              </a:extLst>
            </xdr:cNvPr>
            <xdr:cNvGrpSpPr/>
          </xdr:nvGrpSpPr>
          <xdr:grpSpPr>
            <a:xfrm>
              <a:off x="12563475" y="1962150"/>
              <a:ext cx="676275" cy="638175"/>
              <a:chOff x="12563475" y="1962150"/>
              <a:chExt cx="676275" cy="638175"/>
            </a:xfrm>
          </xdr:grpSpPr>
          <xdr:pic>
            <xdr:nvPicPr>
              <xdr:cNvPr id="73" name="Picture 72" hidden="1">
                <a:extLst>
                  <a:ext uri="{FF2B5EF4-FFF2-40B4-BE49-F238E27FC236}">
                    <a16:creationId xmlns:a16="http://schemas.microsoft.com/office/drawing/2014/main" id="{3C6A402E-2232-4D33-B82D-674180CFCEE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624435" y="2019300"/>
                <a:ext cx="548640" cy="548640"/>
              </a:xfrm>
              <a:prstGeom prst="rect">
                <a:avLst/>
              </a:prstGeom>
            </xdr:spPr>
          </xdr:pic>
          <xdr:sp macro="" textlink="">
            <xdr:nvSpPr>
              <xdr:cNvPr id="117" name="Oval 116" hidden="1">
                <a:extLst>
                  <a:ext uri="{FF2B5EF4-FFF2-40B4-BE49-F238E27FC236}">
                    <a16:creationId xmlns:a16="http://schemas.microsoft.com/office/drawing/2014/main" id="{22998552-EF52-4BBC-8076-1715C7766912}"/>
                  </a:ext>
                </a:extLst>
              </xdr:cNvPr>
              <xdr:cNvSpPr/>
            </xdr:nvSpPr>
            <xdr:spPr>
              <a:xfrm>
                <a:off x="12563475" y="1962150"/>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25" name="net profit" hidden="1">
            <a:extLst>
              <a:ext uri="{FF2B5EF4-FFF2-40B4-BE49-F238E27FC236}">
                <a16:creationId xmlns:a16="http://schemas.microsoft.com/office/drawing/2014/main" id="{1467EF1A-87C9-4F84-84BC-A2A1C452400B}"/>
              </a:ext>
            </a:extLst>
          </xdr:cNvPr>
          <xdr:cNvGrpSpPr/>
        </xdr:nvGrpSpPr>
        <xdr:grpSpPr>
          <a:xfrm>
            <a:off x="2847975" y="4581524"/>
            <a:ext cx="7132320" cy="2743200"/>
            <a:chOff x="2847975" y="4581524"/>
            <a:chExt cx="7132320" cy="2743200"/>
          </a:xfrm>
        </xdr:grpSpPr>
        <xdr:sp macro="" textlink="">
          <xdr:nvSpPr>
            <xdr:cNvPr id="65" name="Rectangle: Rounded Corners 64" hidden="1">
              <a:extLst>
                <a:ext uri="{FF2B5EF4-FFF2-40B4-BE49-F238E27FC236}">
                  <a16:creationId xmlns:a16="http://schemas.microsoft.com/office/drawing/2014/main" id="{0AF7704F-BA25-4343-BF32-6C94996A29A4}"/>
                </a:ext>
              </a:extLst>
            </xdr:cNvPr>
            <xdr:cNvSpPr/>
          </xdr:nvSpPr>
          <xdr:spPr>
            <a:xfrm>
              <a:off x="2847975" y="4581524"/>
              <a:ext cx="7132320" cy="274320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TextBox 84" hidden="1">
              <a:extLst>
                <a:ext uri="{FF2B5EF4-FFF2-40B4-BE49-F238E27FC236}">
                  <a16:creationId xmlns:a16="http://schemas.microsoft.com/office/drawing/2014/main" id="{B81F1380-EF2A-47B8-B84E-3973FA91FAD4}"/>
                </a:ext>
              </a:extLst>
            </xdr:cNvPr>
            <xdr:cNvSpPr txBox="1"/>
          </xdr:nvSpPr>
          <xdr:spPr>
            <a:xfrm>
              <a:off x="7496175" y="4629150"/>
              <a:ext cx="1657351"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Чистая прибыль </a:t>
              </a:r>
              <a:endParaRPr lang="en-US" sz="1400" b="1">
                <a:solidFill>
                  <a:srgbClr val="CCFFFF"/>
                </a:solidFill>
                <a:latin typeface="+mn-lt"/>
                <a:ea typeface="+mn-ea"/>
                <a:cs typeface="+mn-cs"/>
              </a:endParaRPr>
            </a:p>
          </xdr:txBody>
        </xdr:sp>
        <xdr:sp macro="" textlink="'Pivot Tables 4'!$G$20">
          <xdr:nvSpPr>
            <xdr:cNvPr id="99" name="TextBox 98" hidden="1">
              <a:extLst>
                <a:ext uri="{FF2B5EF4-FFF2-40B4-BE49-F238E27FC236}">
                  <a16:creationId xmlns:a16="http://schemas.microsoft.com/office/drawing/2014/main" id="{554092E5-6200-4BFE-9D09-5DF7149A7649}"/>
                </a:ext>
              </a:extLst>
            </xdr:cNvPr>
            <xdr:cNvSpPr txBox="1"/>
          </xdr:nvSpPr>
          <xdr:spPr>
            <a:xfrm>
              <a:off x="5781675" y="4657725"/>
              <a:ext cx="19431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B8EAE6-B136-4776-A6AF-63264AF3F24E}" type="TxLink">
                <a:rPr lang="en-US" sz="2400" b="1" i="0" u="none" strike="noStrike">
                  <a:solidFill>
                    <a:srgbClr val="CCFFFF"/>
                  </a:solidFill>
                  <a:latin typeface="Calibri"/>
                  <a:ea typeface="+mn-ea"/>
                  <a:cs typeface="Calibri"/>
                </a:rPr>
                <a:pPr marL="0" indent="0" algn="ctr"/>
                <a:t>10,367,015 ₽</a:t>
              </a:fld>
              <a:endParaRPr lang="en-US" sz="2400" b="1" i="0" u="none" strike="noStrike">
                <a:solidFill>
                  <a:srgbClr val="CCFFFF"/>
                </a:solidFill>
                <a:latin typeface="Calibri"/>
                <a:ea typeface="+mn-ea"/>
                <a:cs typeface="Calibri"/>
              </a:endParaRPr>
            </a:p>
          </xdr:txBody>
        </xdr:sp>
        <xdr:graphicFrame macro="">
          <xdr:nvGraphicFramePr>
            <xdr:cNvPr id="109" name="Chart 108" hidden="1">
              <a:extLst>
                <a:ext uri="{FF2B5EF4-FFF2-40B4-BE49-F238E27FC236}">
                  <a16:creationId xmlns:a16="http://schemas.microsoft.com/office/drawing/2014/main" id="{3B63F08A-235D-45DC-8C97-197FD1F5F0E9}"/>
                </a:ext>
              </a:extLst>
            </xdr:cNvPr>
            <xdr:cNvGraphicFramePr>
              <a:graphicFrameLocks/>
            </xdr:cNvGraphicFramePr>
          </xdr:nvGraphicFramePr>
          <xdr:xfrm>
            <a:off x="2971800" y="5276849"/>
            <a:ext cx="6819900" cy="1971676"/>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124" name="Group 123" hidden="1">
              <a:extLst>
                <a:ext uri="{FF2B5EF4-FFF2-40B4-BE49-F238E27FC236}">
                  <a16:creationId xmlns:a16="http://schemas.microsoft.com/office/drawing/2014/main" id="{4AB3BF54-C5EE-4726-9DA2-19264C25C203}"/>
                </a:ext>
              </a:extLst>
            </xdr:cNvPr>
            <xdr:cNvGrpSpPr/>
          </xdr:nvGrpSpPr>
          <xdr:grpSpPr>
            <a:xfrm>
              <a:off x="9210675" y="4657725"/>
              <a:ext cx="676275" cy="638175"/>
              <a:chOff x="9144000" y="4667250"/>
              <a:chExt cx="676275" cy="638175"/>
            </a:xfrm>
          </xdr:grpSpPr>
          <xdr:pic>
            <xdr:nvPicPr>
              <xdr:cNvPr id="43" name="Picture 42" hidden="1">
                <a:extLst>
                  <a:ext uri="{FF2B5EF4-FFF2-40B4-BE49-F238E27FC236}">
                    <a16:creationId xmlns:a16="http://schemas.microsoft.com/office/drawing/2014/main" id="{A0ACB64A-66C9-4C37-A9EE-98BC29753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0672" y="4733923"/>
                <a:ext cx="466727" cy="466727"/>
              </a:xfrm>
              <a:prstGeom prst="rect">
                <a:avLst/>
              </a:prstGeom>
            </xdr:spPr>
          </xdr:pic>
          <xdr:sp macro="" textlink="">
            <xdr:nvSpPr>
              <xdr:cNvPr id="119" name="Oval 118" hidden="1">
                <a:extLst>
                  <a:ext uri="{FF2B5EF4-FFF2-40B4-BE49-F238E27FC236}">
                    <a16:creationId xmlns:a16="http://schemas.microsoft.com/office/drawing/2014/main" id="{3978CA3A-2802-48C2-8ED6-8DBAC2F02C27}"/>
                  </a:ext>
                </a:extLst>
              </xdr:cNvPr>
              <xdr:cNvSpPr/>
            </xdr:nvSpPr>
            <xdr:spPr>
              <a:xfrm>
                <a:off x="9144000" y="4667250"/>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23" name="expenses" hidden="1">
            <a:extLst>
              <a:ext uri="{FF2B5EF4-FFF2-40B4-BE49-F238E27FC236}">
                <a16:creationId xmlns:a16="http://schemas.microsoft.com/office/drawing/2014/main" id="{6EBF0CD5-5471-4436-AD32-DBCEF7103262}"/>
              </a:ext>
            </a:extLst>
          </xdr:cNvPr>
          <xdr:cNvGrpSpPr/>
        </xdr:nvGrpSpPr>
        <xdr:grpSpPr>
          <a:xfrm>
            <a:off x="10191749" y="4581524"/>
            <a:ext cx="7132320" cy="2743200"/>
            <a:chOff x="10191749" y="4591048"/>
            <a:chExt cx="7132320" cy="2743200"/>
          </a:xfrm>
        </xdr:grpSpPr>
        <xdr:sp macro="" textlink="">
          <xdr:nvSpPr>
            <xdr:cNvPr id="66" name="Rectangle: Rounded Corners 65" hidden="1">
              <a:extLst>
                <a:ext uri="{FF2B5EF4-FFF2-40B4-BE49-F238E27FC236}">
                  <a16:creationId xmlns:a16="http://schemas.microsoft.com/office/drawing/2014/main" id="{BC0385E0-8EB3-4268-B2EA-B10B11C2058C}"/>
                </a:ext>
              </a:extLst>
            </xdr:cNvPr>
            <xdr:cNvSpPr/>
          </xdr:nvSpPr>
          <xdr:spPr>
            <a:xfrm>
              <a:off x="10191749" y="4591048"/>
              <a:ext cx="7132320" cy="274320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US" sz="1100"/>
            </a:p>
          </xdr:txBody>
        </xdr:sp>
        <xdr:sp macro="" textlink="">
          <xdr:nvSpPr>
            <xdr:cNvPr id="84" name="TextBox 83" hidden="1">
              <a:extLst>
                <a:ext uri="{FF2B5EF4-FFF2-40B4-BE49-F238E27FC236}">
                  <a16:creationId xmlns:a16="http://schemas.microsoft.com/office/drawing/2014/main" id="{A93DCBDF-8E4A-4C7B-BFEB-51DF021B6AA9}"/>
                </a:ext>
              </a:extLst>
            </xdr:cNvPr>
            <xdr:cNvSpPr txBox="1"/>
          </xdr:nvSpPr>
          <xdr:spPr>
            <a:xfrm>
              <a:off x="10534650" y="4629151"/>
              <a:ext cx="1590675"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Р</a:t>
              </a:r>
              <a:r>
                <a:rPr lang="en-US" sz="1400" b="1">
                  <a:solidFill>
                    <a:srgbClr val="CCFFFF"/>
                  </a:solidFill>
                  <a:latin typeface="+mn-lt"/>
                  <a:ea typeface="+mn-ea"/>
                  <a:cs typeface="+mn-cs"/>
                </a:rPr>
                <a:t>асходы</a:t>
              </a:r>
            </a:p>
          </xdr:txBody>
        </xdr:sp>
        <xdr:sp macro="" textlink="'Pivot Tables 4'!$K$20">
          <xdr:nvSpPr>
            <xdr:cNvPr id="100" name="TextBox 99" hidden="1">
              <a:extLst>
                <a:ext uri="{FF2B5EF4-FFF2-40B4-BE49-F238E27FC236}">
                  <a16:creationId xmlns:a16="http://schemas.microsoft.com/office/drawing/2014/main" id="{14A2F456-ABE5-4A85-8027-AEED76F6C52E}"/>
                </a:ext>
              </a:extLst>
            </xdr:cNvPr>
            <xdr:cNvSpPr txBox="1"/>
          </xdr:nvSpPr>
          <xdr:spPr>
            <a:xfrm>
              <a:off x="11487149" y="4648200"/>
              <a:ext cx="246697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1A7171-CDA1-42AB-9080-0EB6D8003958}" type="TxLink">
                <a:rPr lang="en-US" sz="2400" b="1" i="0" u="none" strike="noStrike">
                  <a:solidFill>
                    <a:srgbClr val="CCFFFF"/>
                  </a:solidFill>
                  <a:latin typeface="Calibri"/>
                  <a:ea typeface="+mn-ea"/>
                  <a:cs typeface="Calibri"/>
                </a:rPr>
                <a:pPr marL="0" indent="0" algn="ctr"/>
                <a:t>57,528,048 ₽</a:t>
              </a:fld>
              <a:endParaRPr lang="en-US" sz="2400" b="1" i="0" u="none" strike="noStrike">
                <a:solidFill>
                  <a:srgbClr val="CCFFFF"/>
                </a:solidFill>
                <a:latin typeface="Calibri"/>
                <a:ea typeface="+mn-ea"/>
                <a:cs typeface="Calibri"/>
              </a:endParaRPr>
            </a:p>
          </xdr:txBody>
        </xdr:sp>
        <xdr:graphicFrame macro="">
          <xdr:nvGraphicFramePr>
            <xdr:cNvPr id="110" name="Chart 109" hidden="1">
              <a:extLst>
                <a:ext uri="{FF2B5EF4-FFF2-40B4-BE49-F238E27FC236}">
                  <a16:creationId xmlns:a16="http://schemas.microsoft.com/office/drawing/2014/main" id="{946E6CC7-47B2-4640-9DAE-507AA23BD14E}"/>
                </a:ext>
              </a:extLst>
            </xdr:cNvPr>
            <xdr:cNvGraphicFramePr>
              <a:graphicFrameLocks/>
            </xdr:cNvGraphicFramePr>
          </xdr:nvGraphicFramePr>
          <xdr:xfrm>
            <a:off x="10334625" y="5343525"/>
            <a:ext cx="6896100" cy="1771650"/>
          </xdr:xfrm>
          <a:graphic>
            <a:graphicData uri="http://schemas.openxmlformats.org/drawingml/2006/chart">
              <c:chart xmlns:c="http://schemas.openxmlformats.org/drawingml/2006/chart" xmlns:r="http://schemas.openxmlformats.org/officeDocument/2006/relationships" r:id="rId8"/>
            </a:graphicData>
          </a:graphic>
        </xdr:graphicFrame>
        <xdr:grpSp>
          <xdr:nvGrpSpPr>
            <xdr:cNvPr id="122" name="Group 121" hidden="1">
              <a:extLst>
                <a:ext uri="{FF2B5EF4-FFF2-40B4-BE49-F238E27FC236}">
                  <a16:creationId xmlns:a16="http://schemas.microsoft.com/office/drawing/2014/main" id="{BC6AB8A8-4FAD-4CD4-BBFE-F4B11E99611B}"/>
                </a:ext>
              </a:extLst>
            </xdr:cNvPr>
            <xdr:cNvGrpSpPr/>
          </xdr:nvGrpSpPr>
          <xdr:grpSpPr>
            <a:xfrm>
              <a:off x="10277475" y="4676775"/>
              <a:ext cx="676275" cy="638175"/>
              <a:chOff x="10277475" y="4676775"/>
              <a:chExt cx="676275" cy="638175"/>
            </a:xfrm>
          </xdr:grpSpPr>
          <xdr:pic>
            <xdr:nvPicPr>
              <xdr:cNvPr id="71" name="Picture 70" hidden="1">
                <a:extLst>
                  <a:ext uri="{FF2B5EF4-FFF2-40B4-BE49-F238E27FC236}">
                    <a16:creationId xmlns:a16="http://schemas.microsoft.com/office/drawing/2014/main" id="{A381C432-4150-4408-A003-C88F4CB9677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391776" y="4733926"/>
                <a:ext cx="447674" cy="447674"/>
              </a:xfrm>
              <a:prstGeom prst="rect">
                <a:avLst/>
              </a:prstGeom>
            </xdr:spPr>
          </xdr:pic>
          <xdr:sp macro="" textlink="">
            <xdr:nvSpPr>
              <xdr:cNvPr id="120" name="Oval 119" hidden="1">
                <a:extLst>
                  <a:ext uri="{FF2B5EF4-FFF2-40B4-BE49-F238E27FC236}">
                    <a16:creationId xmlns:a16="http://schemas.microsoft.com/office/drawing/2014/main" id="{DB92D2D1-CAB9-43C9-B069-70F64BF3517C}"/>
                  </a:ext>
                </a:extLst>
              </xdr:cNvPr>
              <xdr:cNvSpPr/>
            </xdr:nvSpPr>
            <xdr:spPr>
              <a:xfrm>
                <a:off x="10277475" y="4676775"/>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36" name="COG drop" hidden="1">
            <a:extLst>
              <a:ext uri="{FF2B5EF4-FFF2-40B4-BE49-F238E27FC236}">
                <a16:creationId xmlns:a16="http://schemas.microsoft.com/office/drawing/2014/main" id="{C5A0C6F5-0188-4AB8-9600-8120ACD68D96}"/>
              </a:ext>
            </a:extLst>
          </xdr:cNvPr>
          <xdr:cNvGrpSpPr/>
        </xdr:nvGrpSpPr>
        <xdr:grpSpPr>
          <a:xfrm>
            <a:off x="13963650" y="175586"/>
            <a:ext cx="2628900" cy="2286000"/>
            <a:chOff x="13963650" y="175586"/>
            <a:chExt cx="2628900" cy="2286000"/>
          </a:xfrm>
        </xdr:grpSpPr>
        <xdr:sp macro="" textlink="">
          <xdr:nvSpPr>
            <xdr:cNvPr id="53" name="Teardrop 52" hidden="1">
              <a:extLst>
                <a:ext uri="{FF2B5EF4-FFF2-40B4-BE49-F238E27FC236}">
                  <a16:creationId xmlns:a16="http://schemas.microsoft.com/office/drawing/2014/main" id="{8EBB096E-F7CA-4F3F-9D35-85E2355EEBB9}"/>
                </a:ext>
              </a:extLst>
            </xdr:cNvPr>
            <xdr:cNvSpPr/>
          </xdr:nvSpPr>
          <xdr:spPr>
            <a:xfrm rot="14471684">
              <a:off x="14287500" y="175586"/>
              <a:ext cx="2286000" cy="2286000"/>
            </a:xfrm>
            <a:prstGeom prst="teardrop">
              <a:avLst>
                <a:gd name="adj" fmla="val 197551"/>
              </a:avLst>
            </a:prstGeom>
            <a:gradFill flip="none" rotWithShape="1">
              <a:gsLst>
                <a:gs pos="33000">
                  <a:schemeClr val="tx1"/>
                </a:gs>
                <a:gs pos="0">
                  <a:srgbClr val="0047B3"/>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7" name="TextBox 86" hidden="1">
              <a:extLst>
                <a:ext uri="{FF2B5EF4-FFF2-40B4-BE49-F238E27FC236}">
                  <a16:creationId xmlns:a16="http://schemas.microsoft.com/office/drawing/2014/main" id="{EB6CF02B-BD71-4D7B-89E0-1AE506AF1F70}"/>
                </a:ext>
              </a:extLst>
            </xdr:cNvPr>
            <xdr:cNvSpPr txBox="1"/>
          </xdr:nvSpPr>
          <xdr:spPr>
            <a:xfrm>
              <a:off x="14497050" y="590551"/>
              <a:ext cx="1590675"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Себестоимость </a:t>
              </a:r>
              <a:endParaRPr lang="en-US" sz="1400" b="1">
                <a:solidFill>
                  <a:srgbClr val="CCFFFF"/>
                </a:solidFill>
                <a:latin typeface="+mn-lt"/>
                <a:ea typeface="+mn-ea"/>
                <a:cs typeface="+mn-cs"/>
              </a:endParaRPr>
            </a:p>
          </xdr:txBody>
        </xdr:sp>
        <xdr:sp macro="" textlink="'Pivot Tables 4'!$K$7">
          <xdr:nvSpPr>
            <xdr:cNvPr id="96" name="TextBox 95" hidden="1">
              <a:extLst>
                <a:ext uri="{FF2B5EF4-FFF2-40B4-BE49-F238E27FC236}">
                  <a16:creationId xmlns:a16="http://schemas.microsoft.com/office/drawing/2014/main" id="{40FDDE7A-E7BE-4CCB-828D-217A186CC9BC}"/>
                </a:ext>
              </a:extLst>
            </xdr:cNvPr>
            <xdr:cNvSpPr txBox="1"/>
          </xdr:nvSpPr>
          <xdr:spPr>
            <a:xfrm>
              <a:off x="14449425" y="1076325"/>
              <a:ext cx="214312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C7D2905-660A-4545-AC9A-0DC4C44967F1}" type="TxLink">
                <a:rPr lang="en-US" sz="2400" b="1" i="0" u="none" strike="noStrike">
                  <a:solidFill>
                    <a:srgbClr val="CCFFFF"/>
                  </a:solidFill>
                  <a:latin typeface="Calibri"/>
                  <a:ea typeface="+mn-ea"/>
                  <a:cs typeface="Calibri"/>
                </a:rPr>
                <a:pPr marL="0" indent="0" algn="ctr"/>
                <a:t>67,758,349 ₽</a:t>
              </a:fld>
              <a:endParaRPr lang="en-US" sz="2400" b="1" i="0" u="none" strike="noStrike">
                <a:solidFill>
                  <a:srgbClr val="CCFFFF"/>
                </a:solidFill>
                <a:latin typeface="Calibri"/>
                <a:ea typeface="+mn-ea"/>
                <a:cs typeface="Calibri"/>
              </a:endParaRPr>
            </a:p>
          </xdr:txBody>
        </xdr:sp>
        <xdr:sp macro="" textlink="">
          <xdr:nvSpPr>
            <xdr:cNvPr id="118" name="Oval 117" hidden="1">
              <a:extLst>
                <a:ext uri="{FF2B5EF4-FFF2-40B4-BE49-F238E27FC236}">
                  <a16:creationId xmlns:a16="http://schemas.microsoft.com/office/drawing/2014/main" id="{F21BA06D-2A53-441E-8BBF-B6BAA9F07B33}"/>
                </a:ext>
              </a:extLst>
            </xdr:cNvPr>
            <xdr:cNvSpPr/>
          </xdr:nvSpPr>
          <xdr:spPr>
            <a:xfrm>
              <a:off x="13963650" y="647700"/>
              <a:ext cx="676275" cy="638175"/>
            </a:xfrm>
            <a:prstGeom prst="ellipse">
              <a:avLst/>
            </a:prstGeom>
            <a:solidFill>
              <a:schemeClr val="accent1">
                <a:alpha val="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7" name="Picture 66" hidden="1">
              <a:extLst>
                <a:ext uri="{FF2B5EF4-FFF2-40B4-BE49-F238E27FC236}">
                  <a16:creationId xmlns:a16="http://schemas.microsoft.com/office/drawing/2014/main" id="{269ABED5-BF78-4EB4-B4B6-AA3F94CA93A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077949" y="752475"/>
              <a:ext cx="457201" cy="457201"/>
            </a:xfrm>
            <a:prstGeom prst="rect">
              <a:avLst/>
            </a:prstGeom>
          </xdr:spPr>
        </xdr:pic>
      </xdr:grpSp>
    </xdr:grpSp>
    <xdr:clientData/>
  </xdr:twoCellAnchor>
  <xdr:twoCellAnchor>
    <xdr:from>
      <xdr:col>4</xdr:col>
      <xdr:colOff>171449</xdr:colOff>
      <xdr:row>1</xdr:row>
      <xdr:rowOff>65680</xdr:rowOff>
    </xdr:from>
    <xdr:to>
      <xdr:col>28</xdr:col>
      <xdr:colOff>542925</xdr:colOff>
      <xdr:row>36</xdr:row>
      <xdr:rowOff>171451</xdr:rowOff>
    </xdr:to>
    <xdr:grpSp>
      <xdr:nvGrpSpPr>
        <xdr:cNvPr id="72" name="Page 2">
          <a:extLst>
            <a:ext uri="{FF2B5EF4-FFF2-40B4-BE49-F238E27FC236}">
              <a16:creationId xmlns:a16="http://schemas.microsoft.com/office/drawing/2014/main" id="{1F01AF11-FF79-45A1-886C-EC41C8CA0F82}"/>
            </a:ext>
          </a:extLst>
        </xdr:cNvPr>
        <xdr:cNvGrpSpPr/>
      </xdr:nvGrpSpPr>
      <xdr:grpSpPr>
        <a:xfrm>
          <a:off x="2609849" y="256180"/>
          <a:ext cx="15001876" cy="6773271"/>
          <a:chOff x="2609849" y="256180"/>
          <a:chExt cx="15001876" cy="6773271"/>
        </a:xfrm>
      </xdr:grpSpPr>
      <xdr:graphicFrame macro="">
        <xdr:nvGraphicFramePr>
          <xdr:cNvPr id="37" name="Chart 36">
            <a:extLst>
              <a:ext uri="{FF2B5EF4-FFF2-40B4-BE49-F238E27FC236}">
                <a16:creationId xmlns:a16="http://schemas.microsoft.com/office/drawing/2014/main" id="{3ACC96F4-7216-4928-8C02-4DC361B66905}"/>
              </a:ext>
            </a:extLst>
          </xdr:cNvPr>
          <xdr:cNvGraphicFramePr>
            <a:graphicFrameLocks/>
          </xdr:cNvGraphicFramePr>
        </xdr:nvGraphicFramePr>
        <xdr:xfrm>
          <a:off x="10296524" y="3762377"/>
          <a:ext cx="7315201" cy="3267074"/>
        </xdr:xfrm>
        <a:graphic>
          <a:graphicData uri="http://schemas.openxmlformats.org/drawingml/2006/chart">
            <c:chart xmlns:c="http://schemas.openxmlformats.org/drawingml/2006/chart" xmlns:r="http://schemas.openxmlformats.org/officeDocument/2006/relationships" r:id="rId11"/>
          </a:graphicData>
        </a:graphic>
      </xdr:graphicFrame>
      <xdr:grpSp>
        <xdr:nvGrpSpPr>
          <xdr:cNvPr id="74" name="Group 73">
            <a:extLst>
              <a:ext uri="{FF2B5EF4-FFF2-40B4-BE49-F238E27FC236}">
                <a16:creationId xmlns:a16="http://schemas.microsoft.com/office/drawing/2014/main" id="{C15FB4A8-B8ED-419F-AE5F-02910CC9968E}"/>
              </a:ext>
            </a:extLst>
          </xdr:cNvPr>
          <xdr:cNvGrpSpPr/>
        </xdr:nvGrpSpPr>
        <xdr:grpSpPr>
          <a:xfrm>
            <a:off x="10382250" y="285751"/>
            <a:ext cx="7229475" cy="3219450"/>
            <a:chOff x="10229850" y="285751"/>
            <a:chExt cx="7334249" cy="3219450"/>
          </a:xfrm>
        </xdr:grpSpPr>
        <xdr:graphicFrame macro="">
          <xdr:nvGraphicFramePr>
            <xdr:cNvPr id="138" name="Chart 137">
              <a:extLst>
                <a:ext uri="{FF2B5EF4-FFF2-40B4-BE49-F238E27FC236}">
                  <a16:creationId xmlns:a16="http://schemas.microsoft.com/office/drawing/2014/main" id="{B3EAA4D3-2E72-4DD2-999C-ADE84C417DFD}"/>
                </a:ext>
              </a:extLst>
            </xdr:cNvPr>
            <xdr:cNvGraphicFramePr>
              <a:graphicFrameLocks/>
            </xdr:cNvGraphicFramePr>
          </xdr:nvGraphicFramePr>
          <xdr:xfrm>
            <a:off x="10229850" y="285751"/>
            <a:ext cx="7334249" cy="3219450"/>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60" name="TextBox 59">
              <a:extLst>
                <a:ext uri="{FF2B5EF4-FFF2-40B4-BE49-F238E27FC236}">
                  <a16:creationId xmlns:a16="http://schemas.microsoft.com/office/drawing/2014/main" id="{4D431B2C-BE92-44F8-ABF7-C27003CCBE9E}"/>
                </a:ext>
              </a:extLst>
            </xdr:cNvPr>
            <xdr:cNvSpPr txBox="1"/>
          </xdr:nvSpPr>
          <xdr:spPr>
            <a:xfrm>
              <a:off x="11344275" y="1714500"/>
              <a:ext cx="7334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ysClr val="windowText" lastClr="000000"/>
                  </a:solidFill>
                </a:rPr>
                <a:t>62%</a:t>
              </a:r>
            </a:p>
          </xdr:txBody>
        </xdr:sp>
        <xdr:sp macro="" textlink="">
          <xdr:nvSpPr>
            <xdr:cNvPr id="141" name="TextBox 140">
              <a:extLst>
                <a:ext uri="{FF2B5EF4-FFF2-40B4-BE49-F238E27FC236}">
                  <a16:creationId xmlns:a16="http://schemas.microsoft.com/office/drawing/2014/main" id="{B1F2AEB3-B1D5-411C-99CE-F53DD1E86DE9}"/>
                </a:ext>
              </a:extLst>
            </xdr:cNvPr>
            <xdr:cNvSpPr txBox="1"/>
          </xdr:nvSpPr>
          <xdr:spPr>
            <a:xfrm>
              <a:off x="12687300" y="1676400"/>
              <a:ext cx="92461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400">
                  <a:solidFill>
                    <a:srgbClr val="CCFFFF"/>
                  </a:solidFill>
                  <a:latin typeface="+mn-lt"/>
                  <a:ea typeface="+mn-ea"/>
                  <a:cs typeface="+mn-cs"/>
                </a:rPr>
                <a:t>38%</a:t>
              </a:r>
            </a:p>
          </xdr:txBody>
        </xdr:sp>
        <xdr:sp macro="" textlink="">
          <xdr:nvSpPr>
            <xdr:cNvPr id="142" name="TextBox 141">
              <a:extLst>
                <a:ext uri="{FF2B5EF4-FFF2-40B4-BE49-F238E27FC236}">
                  <a16:creationId xmlns:a16="http://schemas.microsoft.com/office/drawing/2014/main" id="{BA61D950-8D89-4678-AFF1-50BA0454EB52}"/>
                </a:ext>
              </a:extLst>
            </xdr:cNvPr>
            <xdr:cNvSpPr txBox="1"/>
          </xdr:nvSpPr>
          <xdr:spPr>
            <a:xfrm>
              <a:off x="14582775" y="1266825"/>
              <a:ext cx="10572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2400">
                  <a:solidFill>
                    <a:srgbClr val="CCFFFF"/>
                  </a:solidFill>
                  <a:latin typeface="+mn-lt"/>
                  <a:ea typeface="+mn-ea"/>
                  <a:cs typeface="+mn-cs"/>
                </a:rPr>
                <a:t>12%</a:t>
              </a:r>
            </a:p>
          </xdr:txBody>
        </xdr:sp>
        <xdr:sp macro="" textlink="">
          <xdr:nvSpPr>
            <xdr:cNvPr id="143" name="TextBox 142">
              <a:extLst>
                <a:ext uri="{FF2B5EF4-FFF2-40B4-BE49-F238E27FC236}">
                  <a16:creationId xmlns:a16="http://schemas.microsoft.com/office/drawing/2014/main" id="{A0FA2802-B39A-477F-8A26-86DA4E33C0E3}"/>
                </a:ext>
              </a:extLst>
            </xdr:cNvPr>
            <xdr:cNvSpPr txBox="1"/>
          </xdr:nvSpPr>
          <xdr:spPr>
            <a:xfrm>
              <a:off x="14582775" y="1657350"/>
              <a:ext cx="5810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2400">
                  <a:solidFill>
                    <a:srgbClr val="CCFFFF"/>
                  </a:solidFill>
                  <a:latin typeface="+mn-lt"/>
                  <a:ea typeface="+mn-ea"/>
                  <a:cs typeface="+mn-cs"/>
                </a:rPr>
                <a:t>8%</a:t>
              </a:r>
            </a:p>
          </xdr:txBody>
        </xdr:sp>
        <xdr:sp macro="" textlink="">
          <xdr:nvSpPr>
            <xdr:cNvPr id="145" name="TextBox 144">
              <a:extLst>
                <a:ext uri="{FF2B5EF4-FFF2-40B4-BE49-F238E27FC236}">
                  <a16:creationId xmlns:a16="http://schemas.microsoft.com/office/drawing/2014/main" id="{B03DDE70-524E-4407-B781-CE82D51A943A}"/>
                </a:ext>
              </a:extLst>
            </xdr:cNvPr>
            <xdr:cNvSpPr txBox="1"/>
          </xdr:nvSpPr>
          <xdr:spPr>
            <a:xfrm>
              <a:off x="14582775" y="2047875"/>
              <a:ext cx="10572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2400">
                  <a:solidFill>
                    <a:schemeClr val="bg1"/>
                  </a:solidFill>
                  <a:latin typeface="+mn-lt"/>
                  <a:ea typeface="+mn-ea"/>
                  <a:cs typeface="+mn-cs"/>
                </a:rPr>
                <a:t>7%</a:t>
              </a:r>
            </a:p>
          </xdr:txBody>
        </xdr:sp>
        <xdr:sp macro="" textlink="">
          <xdr:nvSpPr>
            <xdr:cNvPr id="147" name="TextBox 146">
              <a:extLst>
                <a:ext uri="{FF2B5EF4-FFF2-40B4-BE49-F238E27FC236}">
                  <a16:creationId xmlns:a16="http://schemas.microsoft.com/office/drawing/2014/main" id="{97F8FE6E-91E4-48AC-AF94-4A57DF57EDFE}"/>
                </a:ext>
              </a:extLst>
            </xdr:cNvPr>
            <xdr:cNvSpPr txBox="1"/>
          </xdr:nvSpPr>
          <xdr:spPr>
            <a:xfrm>
              <a:off x="14582775" y="2371725"/>
              <a:ext cx="55244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2000">
                  <a:solidFill>
                    <a:schemeClr val="tx1"/>
                  </a:solidFill>
                  <a:latin typeface="+mn-lt"/>
                  <a:ea typeface="+mn-ea"/>
                  <a:cs typeface="+mn-cs"/>
                </a:rPr>
                <a:t>5%</a:t>
              </a:r>
            </a:p>
          </xdr:txBody>
        </xdr:sp>
        <xdr:sp macro="" textlink="">
          <xdr:nvSpPr>
            <xdr:cNvPr id="150" name="TextBox 149">
              <a:extLst>
                <a:ext uri="{FF2B5EF4-FFF2-40B4-BE49-F238E27FC236}">
                  <a16:creationId xmlns:a16="http://schemas.microsoft.com/office/drawing/2014/main" id="{EE01D289-7254-4275-96E0-6DD0AE9BED59}"/>
                </a:ext>
              </a:extLst>
            </xdr:cNvPr>
            <xdr:cNvSpPr txBox="1"/>
          </xdr:nvSpPr>
          <xdr:spPr>
            <a:xfrm>
              <a:off x="14582775" y="2638426"/>
              <a:ext cx="419099"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a:solidFill>
                    <a:schemeClr val="tx1"/>
                  </a:solidFill>
                  <a:latin typeface="+mn-lt"/>
                  <a:ea typeface="+mn-ea"/>
                  <a:cs typeface="+mn-cs"/>
                </a:rPr>
                <a:t>3%</a:t>
              </a:r>
            </a:p>
          </xdr:txBody>
        </xdr:sp>
        <xdr:sp macro="" textlink="">
          <xdr:nvSpPr>
            <xdr:cNvPr id="153" name="TextBox 152">
              <a:extLst>
                <a:ext uri="{FF2B5EF4-FFF2-40B4-BE49-F238E27FC236}">
                  <a16:creationId xmlns:a16="http://schemas.microsoft.com/office/drawing/2014/main" id="{6F6F8A79-BDAB-4633-9714-F2A8F11D9199}"/>
                </a:ext>
              </a:extLst>
            </xdr:cNvPr>
            <xdr:cNvSpPr txBox="1"/>
          </xdr:nvSpPr>
          <xdr:spPr>
            <a:xfrm>
              <a:off x="14582775" y="2809876"/>
              <a:ext cx="352424"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a:solidFill>
                    <a:schemeClr val="tx1"/>
                  </a:solidFill>
                  <a:latin typeface="+mn-lt"/>
                  <a:ea typeface="+mn-ea"/>
                  <a:cs typeface="+mn-cs"/>
                </a:rPr>
                <a:t>3%</a:t>
              </a:r>
            </a:p>
          </xdr:txBody>
        </xdr:sp>
      </xdr:grpSp>
      <xdr:grpSp>
        <xdr:nvGrpSpPr>
          <xdr:cNvPr id="70" name="Group 69">
            <a:extLst>
              <a:ext uri="{FF2B5EF4-FFF2-40B4-BE49-F238E27FC236}">
                <a16:creationId xmlns:a16="http://schemas.microsoft.com/office/drawing/2014/main" id="{6F58FD5D-2F7C-46B3-A303-E6EC317DD814}"/>
              </a:ext>
            </a:extLst>
          </xdr:cNvPr>
          <xdr:cNvGrpSpPr>
            <a:grpSpLocks noChangeAspect="1"/>
          </xdr:cNvGrpSpPr>
        </xdr:nvGrpSpPr>
        <xdr:grpSpPr>
          <a:xfrm>
            <a:off x="2609849" y="3448050"/>
            <a:ext cx="7734301" cy="3581401"/>
            <a:chOff x="2543174" y="3848100"/>
            <a:chExt cx="7734301" cy="3581401"/>
          </a:xfrm>
        </xdr:grpSpPr>
        <xdr:graphicFrame macro="">
          <xdr:nvGraphicFramePr>
            <xdr:cNvPr id="134" name="Chart 133">
              <a:extLst>
                <a:ext uri="{FF2B5EF4-FFF2-40B4-BE49-F238E27FC236}">
                  <a16:creationId xmlns:a16="http://schemas.microsoft.com/office/drawing/2014/main" id="{0594BED4-6B70-4A32-9DD6-D089D2743974}"/>
                </a:ext>
              </a:extLst>
            </xdr:cNvPr>
            <xdr:cNvGraphicFramePr>
              <a:graphicFrameLocks noChangeAspect="1"/>
            </xdr:cNvGraphicFramePr>
          </xdr:nvGraphicFramePr>
          <xdr:xfrm>
            <a:off x="2543174" y="3848100"/>
            <a:ext cx="7734301" cy="3581401"/>
          </xdr:xfrm>
          <a:graphic>
            <a:graphicData uri="http://schemas.openxmlformats.org/drawingml/2006/chart">
              <c:chart xmlns:c="http://schemas.openxmlformats.org/drawingml/2006/chart" xmlns:r="http://schemas.openxmlformats.org/officeDocument/2006/relationships" r:id="rId13"/>
            </a:graphicData>
          </a:graphic>
        </xdr:graphicFrame>
        <xdr:cxnSp macro="">
          <xdr:nvCxnSpPr>
            <xdr:cNvPr id="62" name="Straight Connector 61">
              <a:extLst>
                <a:ext uri="{FF2B5EF4-FFF2-40B4-BE49-F238E27FC236}">
                  <a16:creationId xmlns:a16="http://schemas.microsoft.com/office/drawing/2014/main" id="{BAFA30F5-F7E6-4537-BD10-BD93B3D2A0F6}"/>
                </a:ext>
              </a:extLst>
            </xdr:cNvPr>
            <xdr:cNvCxnSpPr/>
          </xdr:nvCxnSpPr>
          <xdr:spPr>
            <a:xfrm>
              <a:off x="3028950" y="6619875"/>
              <a:ext cx="0" cy="561975"/>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57" name="Straight Connector 156">
              <a:extLst>
                <a:ext uri="{FF2B5EF4-FFF2-40B4-BE49-F238E27FC236}">
                  <a16:creationId xmlns:a16="http://schemas.microsoft.com/office/drawing/2014/main" id="{D98D108D-6B57-4F02-8D01-CE03655D1BDA}"/>
                </a:ext>
              </a:extLst>
            </xdr:cNvPr>
            <xdr:cNvCxnSpPr/>
          </xdr:nvCxnSpPr>
          <xdr:spPr>
            <a:xfrm>
              <a:off x="9886950" y="6629400"/>
              <a:ext cx="0" cy="561975"/>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60" name="Straight Connector 159">
              <a:extLst>
                <a:ext uri="{FF2B5EF4-FFF2-40B4-BE49-F238E27FC236}">
                  <a16:creationId xmlns:a16="http://schemas.microsoft.com/office/drawing/2014/main" id="{6323FE10-D7DA-4EBA-8152-5396BB2DE679}"/>
                </a:ext>
              </a:extLst>
            </xdr:cNvPr>
            <xdr:cNvCxnSpPr/>
          </xdr:nvCxnSpPr>
          <xdr:spPr>
            <a:xfrm>
              <a:off x="7648575" y="6629400"/>
              <a:ext cx="0" cy="36576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61" name="Straight Connector 160">
              <a:extLst>
                <a:ext uri="{FF2B5EF4-FFF2-40B4-BE49-F238E27FC236}">
                  <a16:creationId xmlns:a16="http://schemas.microsoft.com/office/drawing/2014/main" id="{270112F9-FBF2-43BF-8154-33750AA2F8A0}"/>
                </a:ext>
              </a:extLst>
            </xdr:cNvPr>
            <xdr:cNvCxnSpPr/>
          </xdr:nvCxnSpPr>
          <xdr:spPr>
            <a:xfrm>
              <a:off x="6524625" y="6638925"/>
              <a:ext cx="0" cy="36576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62" name="Straight Connector 161">
              <a:extLst>
                <a:ext uri="{FF2B5EF4-FFF2-40B4-BE49-F238E27FC236}">
                  <a16:creationId xmlns:a16="http://schemas.microsoft.com/office/drawing/2014/main" id="{462FA9F9-A39B-4E23-A2A3-FBAFF94CDA59}"/>
                </a:ext>
              </a:extLst>
            </xdr:cNvPr>
            <xdr:cNvCxnSpPr/>
          </xdr:nvCxnSpPr>
          <xdr:spPr>
            <a:xfrm>
              <a:off x="5372100" y="6629400"/>
              <a:ext cx="0" cy="36576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63" name="Straight Connector 162">
              <a:extLst>
                <a:ext uri="{FF2B5EF4-FFF2-40B4-BE49-F238E27FC236}">
                  <a16:creationId xmlns:a16="http://schemas.microsoft.com/office/drawing/2014/main" id="{5FF2E1C6-4E44-4489-A1D6-9111AA0F8B78}"/>
                </a:ext>
              </a:extLst>
            </xdr:cNvPr>
            <xdr:cNvCxnSpPr/>
          </xdr:nvCxnSpPr>
          <xdr:spPr>
            <a:xfrm>
              <a:off x="4210050" y="6657975"/>
              <a:ext cx="0" cy="36576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65" name="Straight Connector 164">
              <a:extLst>
                <a:ext uri="{FF2B5EF4-FFF2-40B4-BE49-F238E27FC236}">
                  <a16:creationId xmlns:a16="http://schemas.microsoft.com/office/drawing/2014/main" id="{D2FC2A54-374D-47D5-95E2-C1723AEFE623}"/>
                </a:ext>
              </a:extLst>
            </xdr:cNvPr>
            <xdr:cNvCxnSpPr/>
          </xdr:nvCxnSpPr>
          <xdr:spPr>
            <a:xfrm>
              <a:off x="8801100" y="6667500"/>
              <a:ext cx="0" cy="36576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sp macro="" textlink="">
          <xdr:nvSpPr>
            <xdr:cNvPr id="68" name="TextBox 67">
              <a:extLst>
                <a:ext uri="{FF2B5EF4-FFF2-40B4-BE49-F238E27FC236}">
                  <a16:creationId xmlns:a16="http://schemas.microsoft.com/office/drawing/2014/main" id="{0B79D317-29DB-4CC2-A39A-7080B4D7811A}"/>
                </a:ext>
              </a:extLst>
            </xdr:cNvPr>
            <xdr:cNvSpPr txBox="1"/>
          </xdr:nvSpPr>
          <xdr:spPr>
            <a:xfrm>
              <a:off x="3371850" y="6819899"/>
              <a:ext cx="4953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CFFFF"/>
                  </a:solidFill>
                </a:rPr>
                <a:t>2017</a:t>
              </a:r>
            </a:p>
          </xdr:txBody>
        </xdr:sp>
        <xdr:sp macro="" textlink="">
          <xdr:nvSpPr>
            <xdr:cNvPr id="166" name="TextBox 165">
              <a:extLst>
                <a:ext uri="{FF2B5EF4-FFF2-40B4-BE49-F238E27FC236}">
                  <a16:creationId xmlns:a16="http://schemas.microsoft.com/office/drawing/2014/main" id="{0B063D77-80C6-4265-87C9-DE3D63499261}"/>
                </a:ext>
              </a:extLst>
            </xdr:cNvPr>
            <xdr:cNvSpPr txBox="1"/>
          </xdr:nvSpPr>
          <xdr:spPr>
            <a:xfrm>
              <a:off x="4543425" y="6819899"/>
              <a:ext cx="4953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CFFFF"/>
                  </a:solidFill>
                </a:rPr>
                <a:t>2018</a:t>
              </a:r>
            </a:p>
          </xdr:txBody>
        </xdr:sp>
        <xdr:sp macro="" textlink="">
          <xdr:nvSpPr>
            <xdr:cNvPr id="167" name="TextBox 166">
              <a:extLst>
                <a:ext uri="{FF2B5EF4-FFF2-40B4-BE49-F238E27FC236}">
                  <a16:creationId xmlns:a16="http://schemas.microsoft.com/office/drawing/2014/main" id="{0083C854-19EC-4F33-82BA-CBF90C6C2A2E}"/>
                </a:ext>
              </a:extLst>
            </xdr:cNvPr>
            <xdr:cNvSpPr txBox="1"/>
          </xdr:nvSpPr>
          <xdr:spPr>
            <a:xfrm>
              <a:off x="5700713" y="6819899"/>
              <a:ext cx="4953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CFFFF"/>
                  </a:solidFill>
                </a:rPr>
                <a:t>2019</a:t>
              </a:r>
            </a:p>
          </xdr:txBody>
        </xdr:sp>
        <xdr:sp macro="" textlink="">
          <xdr:nvSpPr>
            <xdr:cNvPr id="168" name="TextBox 167">
              <a:extLst>
                <a:ext uri="{FF2B5EF4-FFF2-40B4-BE49-F238E27FC236}">
                  <a16:creationId xmlns:a16="http://schemas.microsoft.com/office/drawing/2014/main" id="{9319AF47-4C69-4B14-9E97-651581F8A472}"/>
                </a:ext>
              </a:extLst>
            </xdr:cNvPr>
            <xdr:cNvSpPr txBox="1"/>
          </xdr:nvSpPr>
          <xdr:spPr>
            <a:xfrm>
              <a:off x="6838950" y="6819899"/>
              <a:ext cx="4953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CFFFF"/>
                  </a:solidFill>
                </a:rPr>
                <a:t>2020</a:t>
              </a:r>
            </a:p>
          </xdr:txBody>
        </xdr:sp>
        <xdr:sp macro="" textlink="">
          <xdr:nvSpPr>
            <xdr:cNvPr id="169" name="TextBox 168">
              <a:extLst>
                <a:ext uri="{FF2B5EF4-FFF2-40B4-BE49-F238E27FC236}">
                  <a16:creationId xmlns:a16="http://schemas.microsoft.com/office/drawing/2014/main" id="{D5B29293-1BD2-423F-91DA-7BB0B8400DE2}"/>
                </a:ext>
              </a:extLst>
            </xdr:cNvPr>
            <xdr:cNvSpPr txBox="1"/>
          </xdr:nvSpPr>
          <xdr:spPr>
            <a:xfrm>
              <a:off x="7977188" y="6819899"/>
              <a:ext cx="4953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CFFFF"/>
                  </a:solidFill>
                </a:rPr>
                <a:t>2021</a:t>
              </a:r>
            </a:p>
          </xdr:txBody>
        </xdr:sp>
        <xdr:sp macro="" textlink="">
          <xdr:nvSpPr>
            <xdr:cNvPr id="177" name="TextBox 176">
              <a:extLst>
                <a:ext uri="{FF2B5EF4-FFF2-40B4-BE49-F238E27FC236}">
                  <a16:creationId xmlns:a16="http://schemas.microsoft.com/office/drawing/2014/main" id="{830FC6DD-2EC2-4F84-93F2-1E33A1553580}"/>
                </a:ext>
              </a:extLst>
            </xdr:cNvPr>
            <xdr:cNvSpPr txBox="1"/>
          </xdr:nvSpPr>
          <xdr:spPr>
            <a:xfrm>
              <a:off x="9096375" y="6819899"/>
              <a:ext cx="4953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CFFFF"/>
                  </a:solidFill>
                </a:rPr>
                <a:t>2022</a:t>
              </a:r>
            </a:p>
          </xdr:txBody>
        </xdr:sp>
      </xdr:grpSp>
      <xdr:grpSp>
        <xdr:nvGrpSpPr>
          <xdr:cNvPr id="79" name="Group 78">
            <a:extLst>
              <a:ext uri="{FF2B5EF4-FFF2-40B4-BE49-F238E27FC236}">
                <a16:creationId xmlns:a16="http://schemas.microsoft.com/office/drawing/2014/main" id="{89B4603D-D578-4847-8986-996F1DB3C364}"/>
              </a:ext>
            </a:extLst>
          </xdr:cNvPr>
          <xdr:cNvGrpSpPr/>
        </xdr:nvGrpSpPr>
        <xdr:grpSpPr>
          <a:xfrm>
            <a:off x="2609849" y="256180"/>
            <a:ext cx="7610476" cy="2944220"/>
            <a:chOff x="2609849" y="256180"/>
            <a:chExt cx="7610476" cy="2944220"/>
          </a:xfrm>
        </xdr:grpSpPr>
        <xdr:sp macro="" textlink="">
          <xdr:nvSpPr>
            <xdr:cNvPr id="12" name="TextBox 11">
              <a:extLst>
                <a:ext uri="{FF2B5EF4-FFF2-40B4-BE49-F238E27FC236}">
                  <a16:creationId xmlns:a16="http://schemas.microsoft.com/office/drawing/2014/main" id="{AFBDD567-0AD3-4BB4-B3D1-C970568A8D65}"/>
                </a:ext>
              </a:extLst>
            </xdr:cNvPr>
            <xdr:cNvSpPr txBox="1"/>
          </xdr:nvSpPr>
          <xdr:spPr>
            <a:xfrm>
              <a:off x="3350778" y="572321"/>
              <a:ext cx="3127322" cy="480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2000">
                  <a:solidFill>
                    <a:srgbClr val="CCFFFF"/>
                  </a:solidFill>
                </a:rPr>
                <a:t>Выручка/месяц</a:t>
              </a:r>
              <a:endParaRPr lang="en-US" sz="2000">
                <a:solidFill>
                  <a:srgbClr val="CCFFFF"/>
                </a:solidFill>
              </a:endParaRPr>
            </a:p>
          </xdr:txBody>
        </xdr:sp>
        <xdr:graphicFrame macro="">
          <xdr:nvGraphicFramePr>
            <xdr:cNvPr id="11" name="Chart 10">
              <a:extLst>
                <a:ext uri="{FF2B5EF4-FFF2-40B4-BE49-F238E27FC236}">
                  <a16:creationId xmlns:a16="http://schemas.microsoft.com/office/drawing/2014/main" id="{86A35D4A-733C-43E7-B101-C50024B3D98B}"/>
                </a:ext>
              </a:extLst>
            </xdr:cNvPr>
            <xdr:cNvGraphicFramePr>
              <a:graphicFrameLocks/>
            </xdr:cNvGraphicFramePr>
          </xdr:nvGraphicFramePr>
          <xdr:xfrm>
            <a:off x="2609849" y="314326"/>
            <a:ext cx="7610476" cy="2886074"/>
          </xdr:xfrm>
          <a:graphic>
            <a:graphicData uri="http://schemas.openxmlformats.org/drawingml/2006/chart">
              <c:chart xmlns:c="http://schemas.openxmlformats.org/drawingml/2006/chart" xmlns:r="http://schemas.openxmlformats.org/officeDocument/2006/relationships" r:id="rId14"/>
            </a:graphicData>
          </a:graphic>
        </xdr:graphicFrame>
        <xdr:pic>
          <xdr:nvPicPr>
            <xdr:cNvPr id="22" name="Graphic 21" descr="Water with solid fill">
              <a:extLst>
                <a:ext uri="{FF2B5EF4-FFF2-40B4-BE49-F238E27FC236}">
                  <a16:creationId xmlns:a16="http://schemas.microsoft.com/office/drawing/2014/main" id="{6091D930-2A5F-4536-8226-2EAF76EAE71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8738567" y="256180"/>
              <a:ext cx="278262" cy="311537"/>
            </a:xfrm>
            <a:prstGeom prst="rect">
              <a:avLst/>
            </a:prstGeom>
          </xdr:spPr>
        </xdr:pic>
        <xdr:cxnSp macro="">
          <xdr:nvCxnSpPr>
            <xdr:cNvPr id="178" name="Straight Connector 177">
              <a:extLst>
                <a:ext uri="{FF2B5EF4-FFF2-40B4-BE49-F238E27FC236}">
                  <a16:creationId xmlns:a16="http://schemas.microsoft.com/office/drawing/2014/main" id="{310A9A82-F063-4E23-96D4-4C3FD203FE51}"/>
                </a:ext>
              </a:extLst>
            </xdr:cNvPr>
            <xdr:cNvCxnSpPr/>
          </xdr:nvCxnSpPr>
          <xdr:spPr>
            <a:xfrm>
              <a:off x="4010024" y="2447926"/>
              <a:ext cx="0"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79" name="Straight Connector 178">
              <a:extLst>
                <a:ext uri="{FF2B5EF4-FFF2-40B4-BE49-F238E27FC236}">
                  <a16:creationId xmlns:a16="http://schemas.microsoft.com/office/drawing/2014/main" id="{F5EDBFDE-F5CE-4F3E-8880-24DCD37BB76D}"/>
                </a:ext>
              </a:extLst>
            </xdr:cNvPr>
            <xdr:cNvCxnSpPr/>
          </xdr:nvCxnSpPr>
          <xdr:spPr>
            <a:xfrm flipH="1">
              <a:off x="5753099"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80" name="Straight Connector 179">
              <a:extLst>
                <a:ext uri="{FF2B5EF4-FFF2-40B4-BE49-F238E27FC236}">
                  <a16:creationId xmlns:a16="http://schemas.microsoft.com/office/drawing/2014/main" id="{2D4E85AD-F307-425F-AEF7-FF6C362724CC}"/>
                </a:ext>
              </a:extLst>
            </xdr:cNvPr>
            <xdr:cNvCxnSpPr/>
          </xdr:nvCxnSpPr>
          <xdr:spPr>
            <a:xfrm flipH="1">
              <a:off x="3133724"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81" name="Straight Connector 180">
              <a:extLst>
                <a:ext uri="{FF2B5EF4-FFF2-40B4-BE49-F238E27FC236}">
                  <a16:creationId xmlns:a16="http://schemas.microsoft.com/office/drawing/2014/main" id="{0BDB58A1-2B17-4CCC-A249-68149BD7DAA5}"/>
                </a:ext>
              </a:extLst>
            </xdr:cNvPr>
            <xdr:cNvCxnSpPr/>
          </xdr:nvCxnSpPr>
          <xdr:spPr>
            <a:xfrm flipH="1">
              <a:off x="4876799"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82" name="Straight Connector 181">
              <a:extLst>
                <a:ext uri="{FF2B5EF4-FFF2-40B4-BE49-F238E27FC236}">
                  <a16:creationId xmlns:a16="http://schemas.microsoft.com/office/drawing/2014/main" id="{90ACE09A-FB0C-46B6-8E8E-6BB2010473CF}"/>
                </a:ext>
              </a:extLst>
            </xdr:cNvPr>
            <xdr:cNvCxnSpPr/>
          </xdr:nvCxnSpPr>
          <xdr:spPr>
            <a:xfrm flipH="1">
              <a:off x="6619874"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183" name="Straight Connector 182">
              <a:extLst>
                <a:ext uri="{FF2B5EF4-FFF2-40B4-BE49-F238E27FC236}">
                  <a16:creationId xmlns:a16="http://schemas.microsoft.com/office/drawing/2014/main" id="{12F00459-7075-477D-A96C-0107014B1105}"/>
                </a:ext>
              </a:extLst>
            </xdr:cNvPr>
            <xdr:cNvCxnSpPr/>
          </xdr:nvCxnSpPr>
          <xdr:spPr>
            <a:xfrm flipH="1">
              <a:off x="7496174"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A1E0135B-90DD-4CE3-977A-11A6047C28BF}"/>
                </a:ext>
              </a:extLst>
            </xdr:cNvPr>
            <xdr:cNvCxnSpPr/>
          </xdr:nvCxnSpPr>
          <xdr:spPr>
            <a:xfrm flipH="1">
              <a:off x="8372474"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E47FEEDB-4076-4F6A-BBA1-6851DCA46728}"/>
                </a:ext>
              </a:extLst>
            </xdr:cNvPr>
            <xdr:cNvCxnSpPr/>
          </xdr:nvCxnSpPr>
          <xdr:spPr>
            <a:xfrm flipH="1">
              <a:off x="9239249" y="2447926"/>
              <a:ext cx="1" cy="182880"/>
            </a:xfrm>
            <a:prstGeom prst="line">
              <a:avLst/>
            </a:prstGeom>
            <a:ln>
              <a:solidFill>
                <a:srgbClr val="CCFF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9" name="TextBox 68">
            <a:extLst>
              <a:ext uri="{FF2B5EF4-FFF2-40B4-BE49-F238E27FC236}">
                <a16:creationId xmlns:a16="http://schemas.microsoft.com/office/drawing/2014/main" id="{E48D1BF0-8216-471A-B49B-747D3C090706}"/>
              </a:ext>
            </a:extLst>
          </xdr:cNvPr>
          <xdr:cNvSpPr txBox="1"/>
        </xdr:nvSpPr>
        <xdr:spPr>
          <a:xfrm>
            <a:off x="12515850" y="285750"/>
            <a:ext cx="30480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2000">
                <a:solidFill>
                  <a:srgbClr val="CCFFFF"/>
                </a:solidFill>
                <a:latin typeface="+mn-lt"/>
                <a:ea typeface="+mn-ea"/>
                <a:cs typeface="+mn-cs"/>
              </a:rPr>
              <a:t>Расходы</a:t>
            </a:r>
            <a:endParaRPr lang="en-US" sz="2000">
              <a:solidFill>
                <a:srgbClr val="CCFFFF"/>
              </a:solidFill>
              <a:latin typeface="+mn-lt"/>
              <a:ea typeface="+mn-ea"/>
              <a:cs typeface="+mn-cs"/>
            </a:endParaRPr>
          </a:p>
        </xdr:txBody>
      </xdr:sp>
    </xdr:grpSp>
    <xdr:clientData/>
  </xdr:twoCellAnchor>
  <xdr:twoCellAnchor>
    <xdr:from>
      <xdr:col>0</xdr:col>
      <xdr:colOff>0</xdr:colOff>
      <xdr:row>0</xdr:row>
      <xdr:rowOff>0</xdr:rowOff>
    </xdr:from>
    <xdr:to>
      <xdr:col>28</xdr:col>
      <xdr:colOff>238125</xdr:colOff>
      <xdr:row>43</xdr:row>
      <xdr:rowOff>4048</xdr:rowOff>
    </xdr:to>
    <xdr:grpSp>
      <xdr:nvGrpSpPr>
        <xdr:cNvPr id="63" name="Page 4" hidden="1">
          <a:extLst>
            <a:ext uri="{FF2B5EF4-FFF2-40B4-BE49-F238E27FC236}">
              <a16:creationId xmlns:a16="http://schemas.microsoft.com/office/drawing/2014/main" id="{79B812A4-B6FE-45E8-A528-50A3F743B64E}"/>
            </a:ext>
          </a:extLst>
        </xdr:cNvPr>
        <xdr:cNvGrpSpPr/>
      </xdr:nvGrpSpPr>
      <xdr:grpSpPr>
        <a:xfrm>
          <a:off x="0" y="0"/>
          <a:ext cx="17306925" cy="8195548"/>
          <a:chOff x="0" y="0"/>
          <a:chExt cx="17306925" cy="8195548"/>
        </a:xfrm>
      </xdr:grpSpPr>
      <xdr:sp macro="" textlink="">
        <xdr:nvSpPr>
          <xdr:cNvPr id="34" name="Rectangle: Rounded Corners 33" hidden="1">
            <a:extLst>
              <a:ext uri="{FF2B5EF4-FFF2-40B4-BE49-F238E27FC236}">
                <a16:creationId xmlns:a16="http://schemas.microsoft.com/office/drawing/2014/main" id="{73C5B819-C1BB-4072-B3AC-35ACA1996890}"/>
              </a:ext>
            </a:extLst>
          </xdr:cNvPr>
          <xdr:cNvSpPr/>
        </xdr:nvSpPr>
        <xdr:spPr>
          <a:xfrm>
            <a:off x="11772900" y="638175"/>
            <a:ext cx="5534025" cy="2867025"/>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8" name="Chart 157" hidden="1">
            <a:extLst>
              <a:ext uri="{FF2B5EF4-FFF2-40B4-BE49-F238E27FC236}">
                <a16:creationId xmlns:a16="http://schemas.microsoft.com/office/drawing/2014/main" id="{7D5AF9EF-FE6A-425E-9CC5-4056EA7F3DCF}"/>
              </a:ext>
            </a:extLst>
          </xdr:cNvPr>
          <xdr:cNvGraphicFramePr>
            <a:graphicFrameLocks/>
          </xdr:cNvGraphicFramePr>
        </xdr:nvGraphicFramePr>
        <xdr:xfrm>
          <a:off x="11963399" y="828676"/>
          <a:ext cx="5210175" cy="2571750"/>
        </xdr:xfrm>
        <a:graphic>
          <a:graphicData uri="http://schemas.openxmlformats.org/drawingml/2006/chart">
            <c:chart xmlns:c="http://schemas.openxmlformats.org/drawingml/2006/chart" xmlns:r="http://schemas.openxmlformats.org/officeDocument/2006/relationships" r:id="rId17"/>
          </a:graphicData>
        </a:graphic>
      </xdr:graphicFrame>
      <xdr:grpSp>
        <xdr:nvGrpSpPr>
          <xdr:cNvPr id="35" name="Group 34" hidden="1">
            <a:extLst>
              <a:ext uri="{FF2B5EF4-FFF2-40B4-BE49-F238E27FC236}">
                <a16:creationId xmlns:a16="http://schemas.microsoft.com/office/drawing/2014/main" id="{C7EBAF6F-D115-45D5-8719-E046C40DD8A6}"/>
              </a:ext>
            </a:extLst>
          </xdr:cNvPr>
          <xdr:cNvGrpSpPr/>
        </xdr:nvGrpSpPr>
        <xdr:grpSpPr>
          <a:xfrm>
            <a:off x="11772900" y="4267200"/>
            <a:ext cx="5534025" cy="2867025"/>
            <a:chOff x="11772900" y="4267200"/>
            <a:chExt cx="5534025" cy="2867025"/>
          </a:xfrm>
        </xdr:grpSpPr>
        <xdr:sp macro="" textlink="">
          <xdr:nvSpPr>
            <xdr:cNvPr id="176" name="Rectangle: Rounded Corners 175" hidden="1">
              <a:extLst>
                <a:ext uri="{FF2B5EF4-FFF2-40B4-BE49-F238E27FC236}">
                  <a16:creationId xmlns:a16="http://schemas.microsoft.com/office/drawing/2014/main" id="{B3D87AF6-8573-4B27-90CC-D155C08084FC}"/>
                </a:ext>
              </a:extLst>
            </xdr:cNvPr>
            <xdr:cNvSpPr/>
          </xdr:nvSpPr>
          <xdr:spPr>
            <a:xfrm>
              <a:off x="11772900" y="4267200"/>
              <a:ext cx="5534025" cy="2867025"/>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9" name="Chart 158" hidden="1">
              <a:extLst>
                <a:ext uri="{FF2B5EF4-FFF2-40B4-BE49-F238E27FC236}">
                  <a16:creationId xmlns:a16="http://schemas.microsoft.com/office/drawing/2014/main" id="{44949790-8802-439F-A092-E0FE759840AF}"/>
                </a:ext>
              </a:extLst>
            </xdr:cNvPr>
            <xdr:cNvGraphicFramePr>
              <a:graphicFrameLocks/>
            </xdr:cNvGraphicFramePr>
          </xdr:nvGraphicFramePr>
          <xdr:xfrm>
            <a:off x="11915774" y="4295775"/>
            <a:ext cx="5267325" cy="2743200"/>
          </xdr:xfrm>
          <a:graphic>
            <a:graphicData uri="http://schemas.openxmlformats.org/drawingml/2006/chart">
              <c:chart xmlns:c="http://schemas.openxmlformats.org/drawingml/2006/chart" xmlns:r="http://schemas.openxmlformats.org/officeDocument/2006/relationships" r:id="rId18"/>
            </a:graphicData>
          </a:graphic>
        </xdr:graphicFrame>
      </xdr:grpSp>
      <xdr:graphicFrame macro="">
        <xdr:nvGraphicFramePr>
          <xdr:cNvPr id="171" name="bubble chart" hidden="1">
            <a:extLst>
              <a:ext uri="{FF2B5EF4-FFF2-40B4-BE49-F238E27FC236}">
                <a16:creationId xmlns:a16="http://schemas.microsoft.com/office/drawing/2014/main" id="{74DA0229-B918-47A1-B58B-483A8B3BDB11}"/>
              </a:ext>
            </a:extLst>
          </xdr:cNvPr>
          <xdr:cNvGraphicFramePr>
            <a:graphicFrameLocks noChangeAspect="1"/>
          </xdr:cNvGraphicFramePr>
        </xdr:nvGraphicFramePr>
        <xdr:xfrm>
          <a:off x="0" y="0"/>
          <a:ext cx="13973175" cy="8195548"/>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174" name="expense sums" hidden="1">
            <a:extLst>
              <a:ext uri="{FF2B5EF4-FFF2-40B4-BE49-F238E27FC236}">
                <a16:creationId xmlns:a16="http://schemas.microsoft.com/office/drawing/2014/main" id="{0AC5BF6D-F9F5-4EF5-89F6-1C00C231E539}"/>
              </a:ext>
            </a:extLst>
          </xdr:cNvPr>
          <xdr:cNvGraphicFramePr>
            <a:graphicFrameLocks/>
          </xdr:cNvGraphicFramePr>
        </xdr:nvGraphicFramePr>
        <xdr:xfrm>
          <a:off x="2533651" y="2914650"/>
          <a:ext cx="2733674" cy="1438274"/>
        </xdr:xfrm>
        <a:graphic>
          <a:graphicData uri="http://schemas.openxmlformats.org/drawingml/2006/chart">
            <c:chart xmlns:c="http://schemas.openxmlformats.org/drawingml/2006/chart" xmlns:r="http://schemas.openxmlformats.org/officeDocument/2006/relationships" r:id="rId20"/>
          </a:graphicData>
        </a:graphic>
      </xdr:graphicFrame>
      <mc:AlternateContent xmlns:mc="http://schemas.openxmlformats.org/markup-compatibility/2006" xmlns:a14="http://schemas.microsoft.com/office/drawing/2010/main">
        <mc:Choice Requires="a14">
          <xdr:graphicFrame macro="">
            <xdr:nvGraphicFramePr>
              <xdr:cNvPr id="172" name="Years 4" hidden="1">
                <a:extLst>
                  <a:ext uri="{FF2B5EF4-FFF2-40B4-BE49-F238E27FC236}">
                    <a16:creationId xmlns:a16="http://schemas.microsoft.com/office/drawing/2014/main" id="{BB654B82-748A-44FB-80FA-8D4B946734F1}"/>
                  </a:ext>
                </a:extLst>
              </xdr:cNvPr>
              <xdr:cNvGraphicFramePr/>
            </xdr:nvGraphicFramePr>
            <xdr:xfrm>
              <a:off x="4715470" y="190500"/>
              <a:ext cx="4095156" cy="409575"/>
            </xdr:xfrm>
            <a:graphic>
              <a:graphicData uri="http://schemas.microsoft.com/office/drawing/2010/slicer">
                <sle:slicer xmlns:sle="http://schemas.microsoft.com/office/drawing/2010/slicer" name="Years 4"/>
              </a:graphicData>
            </a:graphic>
          </xdr:graphicFrame>
        </mc:Choice>
        <mc:Fallback xmlns="">
          <xdr:sp macro="" textlink="">
            <xdr:nvSpPr>
              <xdr:cNvPr id="0" name=""/>
              <xdr:cNvSpPr>
                <a:spLocks noTextEdit="1"/>
              </xdr:cNvSpPr>
            </xdr:nvSpPr>
            <xdr:spPr>
              <a:xfrm>
                <a:off x="4715470" y="190500"/>
                <a:ext cx="4095156"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3" name="Месяц  3" hidden="1">
                <a:extLst>
                  <a:ext uri="{FF2B5EF4-FFF2-40B4-BE49-F238E27FC236}">
                    <a16:creationId xmlns:a16="http://schemas.microsoft.com/office/drawing/2014/main" id="{0611EC83-EA07-46B0-988A-E0849C7BB18A}"/>
                  </a:ext>
                </a:extLst>
              </xdr:cNvPr>
              <xdr:cNvGraphicFramePr/>
            </xdr:nvGraphicFramePr>
            <xdr:xfrm>
              <a:off x="3667124" y="533400"/>
              <a:ext cx="6810375" cy="409575"/>
            </xdr:xfrm>
            <a:graphic>
              <a:graphicData uri="http://schemas.microsoft.com/office/drawing/2010/slicer">
                <sle:slicer xmlns:sle="http://schemas.microsoft.com/office/drawing/2010/slicer" name="Месяц  3"/>
              </a:graphicData>
            </a:graphic>
          </xdr:graphicFrame>
        </mc:Choice>
        <mc:Fallback xmlns="">
          <xdr:sp macro="" textlink="">
            <xdr:nvSpPr>
              <xdr:cNvPr id="0" name=""/>
              <xdr:cNvSpPr>
                <a:spLocks noTextEdit="1"/>
              </xdr:cNvSpPr>
            </xdr:nvSpPr>
            <xdr:spPr>
              <a:xfrm>
                <a:off x="3667124" y="533400"/>
                <a:ext cx="6810375"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44" name="Straight Connector 43" hidden="1">
            <a:extLst>
              <a:ext uri="{FF2B5EF4-FFF2-40B4-BE49-F238E27FC236}">
                <a16:creationId xmlns:a16="http://schemas.microsoft.com/office/drawing/2014/main" id="{2E0354E0-DAB1-443B-9A19-81BCB398DD4B}"/>
              </a:ext>
            </a:extLst>
          </xdr:cNvPr>
          <xdr:cNvCxnSpPr/>
        </xdr:nvCxnSpPr>
        <xdr:spPr>
          <a:xfrm>
            <a:off x="11268075" y="114299"/>
            <a:ext cx="9525" cy="7200901"/>
          </a:xfrm>
          <a:prstGeom prst="line">
            <a:avLst/>
          </a:prstGeom>
          <a:ln w="85725" cmpd="tri">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9" name="TextBox 48" hidden="1">
            <a:extLst>
              <a:ext uri="{FF2B5EF4-FFF2-40B4-BE49-F238E27FC236}">
                <a16:creationId xmlns:a16="http://schemas.microsoft.com/office/drawing/2014/main" id="{23470438-DE4F-4906-854C-A77B0FF72D83}"/>
              </a:ext>
            </a:extLst>
          </xdr:cNvPr>
          <xdr:cNvSpPr txBox="1"/>
        </xdr:nvSpPr>
        <xdr:spPr>
          <a:xfrm>
            <a:off x="12144375" y="209550"/>
            <a:ext cx="48291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800" b="1">
                <a:solidFill>
                  <a:srgbClr val="CCFFFF"/>
                </a:solidFill>
              </a:rPr>
              <a:t>Сумма Расходов (месяц)</a:t>
            </a:r>
            <a:endParaRPr lang="en-US" sz="1800" b="1">
              <a:solidFill>
                <a:srgbClr val="CCFFFF"/>
              </a:solidFill>
            </a:endParaRPr>
          </a:p>
        </xdr:txBody>
      </xdr:sp>
      <xdr:sp macro="" textlink="">
        <xdr:nvSpPr>
          <xdr:cNvPr id="184" name="TextBox 183" hidden="1">
            <a:extLst>
              <a:ext uri="{FF2B5EF4-FFF2-40B4-BE49-F238E27FC236}">
                <a16:creationId xmlns:a16="http://schemas.microsoft.com/office/drawing/2014/main" id="{E6C17FC6-928D-4726-89B0-0EAF88F0AD62}"/>
              </a:ext>
            </a:extLst>
          </xdr:cNvPr>
          <xdr:cNvSpPr txBox="1"/>
        </xdr:nvSpPr>
        <xdr:spPr>
          <a:xfrm>
            <a:off x="12011025" y="3829050"/>
            <a:ext cx="48291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800" b="1">
                <a:solidFill>
                  <a:srgbClr val="CCFFFF"/>
                </a:solidFill>
              </a:rPr>
              <a:t>Динамика Доход</a:t>
            </a:r>
            <a:r>
              <a:rPr kumimoji="0" lang="ru-RU" sz="1800" b="1" i="0" u="none" strike="noStrike" kern="0" cap="none" spc="0" normalizeH="0" baseline="0" noProof="0">
                <a:ln>
                  <a:noFill/>
                </a:ln>
                <a:solidFill>
                  <a:srgbClr val="CCFFFF"/>
                </a:solidFill>
                <a:effectLst/>
                <a:uLnTx/>
                <a:uFillTx/>
                <a:latin typeface="+mn-lt"/>
                <a:ea typeface="+mn-ea"/>
                <a:cs typeface="+mn-cs"/>
              </a:rPr>
              <a:t>ов</a:t>
            </a:r>
            <a:r>
              <a:rPr lang="ru-RU" sz="1800" b="1">
                <a:solidFill>
                  <a:srgbClr val="CCFFFF"/>
                </a:solidFill>
              </a:rPr>
              <a:t> </a:t>
            </a:r>
            <a:r>
              <a:rPr kumimoji="0" lang="ru-RU" sz="1800" b="1" i="0" u="none" strike="noStrike" kern="0" cap="none" spc="0" normalizeH="0" baseline="0" noProof="0">
                <a:ln>
                  <a:noFill/>
                </a:ln>
                <a:solidFill>
                  <a:srgbClr val="CCFFFF"/>
                </a:solidFill>
                <a:effectLst/>
                <a:uLnTx/>
                <a:uFillTx/>
                <a:latin typeface="+mn-lt"/>
                <a:ea typeface="+mn-ea"/>
                <a:cs typeface="+mn-cs"/>
              </a:rPr>
              <a:t>(месяц)</a:t>
            </a:r>
            <a:endParaRPr lang="en-US" sz="1800" b="1">
              <a:solidFill>
                <a:srgbClr val="CCFFFF"/>
              </a:solidFill>
            </a:endParaRPr>
          </a:p>
        </xdr:txBody>
      </xdr:sp>
    </xdr:grpSp>
    <xdr:clientData/>
  </xdr:twoCellAnchor>
  <xdr:twoCellAnchor>
    <xdr:from>
      <xdr:col>4</xdr:col>
      <xdr:colOff>133350</xdr:colOff>
      <xdr:row>0</xdr:row>
      <xdr:rowOff>161924</xdr:rowOff>
    </xdr:from>
    <xdr:to>
      <xdr:col>28</xdr:col>
      <xdr:colOff>504825</xdr:colOff>
      <xdr:row>37</xdr:row>
      <xdr:rowOff>38100</xdr:rowOff>
    </xdr:to>
    <xdr:grpSp>
      <xdr:nvGrpSpPr>
        <xdr:cNvPr id="207" name="Page 3" hidden="1">
          <a:extLst>
            <a:ext uri="{FF2B5EF4-FFF2-40B4-BE49-F238E27FC236}">
              <a16:creationId xmlns:a16="http://schemas.microsoft.com/office/drawing/2014/main" id="{5C608B5D-5B46-462E-8F7A-18BC2A23D136}"/>
            </a:ext>
          </a:extLst>
        </xdr:cNvPr>
        <xdr:cNvGrpSpPr/>
      </xdr:nvGrpSpPr>
      <xdr:grpSpPr>
        <a:xfrm>
          <a:off x="2571750" y="161924"/>
          <a:ext cx="15001875" cy="6924676"/>
          <a:chOff x="2571750" y="161924"/>
          <a:chExt cx="15001875" cy="6924676"/>
        </a:xfrm>
      </xdr:grpSpPr>
      <xdr:grpSp>
        <xdr:nvGrpSpPr>
          <xdr:cNvPr id="200" name="Group 199" hidden="1">
            <a:extLst>
              <a:ext uri="{FF2B5EF4-FFF2-40B4-BE49-F238E27FC236}">
                <a16:creationId xmlns:a16="http://schemas.microsoft.com/office/drawing/2014/main" id="{1D9BD337-4DCB-4E5D-9544-D023B75F9CCB}"/>
              </a:ext>
            </a:extLst>
          </xdr:cNvPr>
          <xdr:cNvGrpSpPr/>
        </xdr:nvGrpSpPr>
        <xdr:grpSpPr>
          <a:xfrm>
            <a:off x="2802731" y="380999"/>
            <a:ext cx="4143375" cy="3057526"/>
            <a:chOff x="2762249" y="380999"/>
            <a:chExt cx="4143375" cy="3057526"/>
          </a:xfrm>
        </xdr:grpSpPr>
        <xdr:sp macro="" textlink="">
          <xdr:nvSpPr>
            <xdr:cNvPr id="40" name="TextBox 39" hidden="1">
              <a:extLst>
                <a:ext uri="{FF2B5EF4-FFF2-40B4-BE49-F238E27FC236}">
                  <a16:creationId xmlns:a16="http://schemas.microsoft.com/office/drawing/2014/main" id="{B5979A55-58FA-4129-BE02-120CCD6B457A}"/>
                </a:ext>
              </a:extLst>
            </xdr:cNvPr>
            <xdr:cNvSpPr txBox="1"/>
          </xdr:nvSpPr>
          <xdr:spPr>
            <a:xfrm>
              <a:off x="2876548" y="380999"/>
              <a:ext cx="391477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400" b="1">
                  <a:solidFill>
                    <a:srgbClr val="CCFFFF"/>
                  </a:solidFill>
                </a:rPr>
                <a:t>Выручка</a:t>
              </a:r>
              <a:r>
                <a:rPr lang="en-US" sz="1400" b="1" baseline="0">
                  <a:solidFill>
                    <a:srgbClr val="CCFFFF"/>
                  </a:solidFill>
                </a:rPr>
                <a:t>, % </a:t>
              </a:r>
              <a:r>
                <a:rPr lang="ru-RU" sz="1400" b="1" baseline="0">
                  <a:solidFill>
                    <a:srgbClr val="CCFFFF"/>
                  </a:solidFill>
                </a:rPr>
                <a:t>г</a:t>
              </a:r>
              <a:r>
                <a:rPr lang="en-US" sz="1400" b="1" baseline="0">
                  <a:solidFill>
                    <a:srgbClr val="CCFFFF"/>
                  </a:solidFill>
                </a:rPr>
                <a:t>/</a:t>
              </a:r>
              <a:r>
                <a:rPr lang="ru-RU" sz="1400" b="1" baseline="0">
                  <a:solidFill>
                    <a:srgbClr val="CCFFFF"/>
                  </a:solidFill>
                </a:rPr>
                <a:t>г</a:t>
              </a:r>
              <a:r>
                <a:rPr lang="en-US" sz="1400" b="1" baseline="0">
                  <a:solidFill>
                    <a:srgbClr val="CCFFFF"/>
                  </a:solidFill>
                </a:rPr>
                <a:t>, </a:t>
              </a:r>
              <a:r>
                <a:rPr lang="ru-RU" sz="1400" b="1" baseline="0">
                  <a:solidFill>
                    <a:srgbClr val="00B050"/>
                  </a:solidFill>
                </a:rPr>
                <a:t>интервал доверия</a:t>
              </a:r>
              <a:r>
                <a:rPr lang="en-US" sz="1400" b="1" baseline="0">
                  <a:solidFill>
                    <a:srgbClr val="00B050"/>
                  </a:solidFill>
                </a:rPr>
                <a:t> 95%</a:t>
              </a:r>
              <a:endParaRPr lang="en-US" sz="1400" b="1">
                <a:solidFill>
                  <a:srgbClr val="00B050"/>
                </a:solidFill>
              </a:endParaRPr>
            </a:p>
          </xdr:txBody>
        </xdr:sp>
        <xdr:grpSp>
          <xdr:nvGrpSpPr>
            <xdr:cNvPr id="4" name="Group 3" hidden="1">
              <a:extLst>
                <a:ext uri="{FF2B5EF4-FFF2-40B4-BE49-F238E27FC236}">
                  <a16:creationId xmlns:a16="http://schemas.microsoft.com/office/drawing/2014/main" id="{36A84219-C5B1-4F48-8EFF-83FCEFB9B3C7}"/>
                </a:ext>
              </a:extLst>
            </xdr:cNvPr>
            <xdr:cNvGrpSpPr/>
          </xdr:nvGrpSpPr>
          <xdr:grpSpPr>
            <a:xfrm>
              <a:off x="2762249" y="819150"/>
              <a:ext cx="4143375" cy="2619375"/>
              <a:chOff x="2762249" y="819150"/>
              <a:chExt cx="4143375" cy="2619375"/>
            </a:xfrm>
          </xdr:grpSpPr>
          <xdr:graphicFrame macro="">
            <xdr:nvGraphicFramePr>
              <xdr:cNvPr id="23" name="Chart 22" hidden="1">
                <a:extLst>
                  <a:ext uri="{FF2B5EF4-FFF2-40B4-BE49-F238E27FC236}">
                    <a16:creationId xmlns:a16="http://schemas.microsoft.com/office/drawing/2014/main" id="{472547CD-CC7B-49D2-9B46-0C445E063DDA}"/>
                  </a:ext>
                </a:extLst>
              </xdr:cNvPr>
              <xdr:cNvGraphicFramePr>
                <a:graphicFrameLocks/>
              </xdr:cNvGraphicFramePr>
            </xdr:nvGraphicFramePr>
            <xdr:xfrm>
              <a:off x="2762249" y="819150"/>
              <a:ext cx="4143375" cy="2619375"/>
            </xdr:xfrm>
            <a:graphic>
              <a:graphicData uri="http://schemas.openxmlformats.org/drawingml/2006/chart">
                <c:chart xmlns:c="http://schemas.openxmlformats.org/drawingml/2006/chart" xmlns:r="http://schemas.openxmlformats.org/officeDocument/2006/relationships" r:id="rId21"/>
              </a:graphicData>
            </a:graphic>
          </xdr:graphicFrame>
          <xdr:pic>
            <xdr:nvPicPr>
              <xdr:cNvPr id="30" name="Graphic 29" descr="Water with solid fill" hidden="1">
                <a:extLst>
                  <a:ext uri="{FF2B5EF4-FFF2-40B4-BE49-F238E27FC236}">
                    <a16:creationId xmlns:a16="http://schemas.microsoft.com/office/drawing/2014/main" id="{2276BDF6-8A39-4B59-8E8D-8BD2EBC28E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534025" y="1304925"/>
                <a:ext cx="228600" cy="228600"/>
              </a:xfrm>
              <a:prstGeom prst="rect">
                <a:avLst/>
              </a:prstGeom>
            </xdr:spPr>
          </xdr:pic>
        </xdr:grpSp>
      </xdr:grpSp>
      <xdr:grpSp>
        <xdr:nvGrpSpPr>
          <xdr:cNvPr id="206" name="Group 205" hidden="1">
            <a:extLst>
              <a:ext uri="{FF2B5EF4-FFF2-40B4-BE49-F238E27FC236}">
                <a16:creationId xmlns:a16="http://schemas.microsoft.com/office/drawing/2014/main" id="{0FF79099-DBDB-4B59-9EE4-289080624AD2}"/>
              </a:ext>
            </a:extLst>
          </xdr:cNvPr>
          <xdr:cNvGrpSpPr/>
        </xdr:nvGrpSpPr>
        <xdr:grpSpPr>
          <a:xfrm>
            <a:off x="2793206" y="3924299"/>
            <a:ext cx="4162425" cy="3152776"/>
            <a:chOff x="2793206" y="3924299"/>
            <a:chExt cx="4162425" cy="3152776"/>
          </a:xfrm>
        </xdr:grpSpPr>
        <xdr:pic>
          <xdr:nvPicPr>
            <xdr:cNvPr id="52" name="Graphic 51" descr="Water with solid fill" hidden="1">
              <a:extLst>
                <a:ext uri="{FF2B5EF4-FFF2-40B4-BE49-F238E27FC236}">
                  <a16:creationId xmlns:a16="http://schemas.microsoft.com/office/drawing/2014/main" id="{0E7BA7C2-30AF-4BB0-A319-DCE5F390CB7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705350" y="5791201"/>
              <a:ext cx="228600" cy="228600"/>
            </a:xfrm>
            <a:prstGeom prst="rect">
              <a:avLst/>
            </a:prstGeom>
          </xdr:spPr>
        </xdr:pic>
        <xdr:sp macro="" textlink="">
          <xdr:nvSpPr>
            <xdr:cNvPr id="19" name="TextBox 18" hidden="1">
              <a:extLst>
                <a:ext uri="{FF2B5EF4-FFF2-40B4-BE49-F238E27FC236}">
                  <a16:creationId xmlns:a16="http://schemas.microsoft.com/office/drawing/2014/main" id="{918B035C-06B1-41F7-AF8E-6B186167DAE9}"/>
                </a:ext>
              </a:extLst>
            </xdr:cNvPr>
            <xdr:cNvSpPr txBox="1"/>
          </xdr:nvSpPr>
          <xdr:spPr>
            <a:xfrm>
              <a:off x="2883693" y="3924299"/>
              <a:ext cx="398145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Р</a:t>
              </a:r>
              <a:r>
                <a:rPr lang="en-US" sz="1400" b="1">
                  <a:solidFill>
                    <a:srgbClr val="CCFFFF"/>
                  </a:solidFill>
                  <a:latin typeface="+mn-lt"/>
                  <a:ea typeface="+mn-ea"/>
                  <a:cs typeface="+mn-cs"/>
                </a:rPr>
                <a:t>асходы,</a:t>
              </a:r>
              <a:r>
                <a:rPr lang="en-US" sz="1400" b="1" baseline="0">
                  <a:solidFill>
                    <a:srgbClr val="CCFFFF"/>
                  </a:solidFill>
                  <a:latin typeface="+mn-lt"/>
                  <a:ea typeface="+mn-ea"/>
                  <a:cs typeface="+mn-cs"/>
                </a:rPr>
                <a:t> </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00B050"/>
                  </a:solidFill>
                  <a:effectLst/>
                  <a:uLnTx/>
                  <a:uFillTx/>
                  <a:latin typeface="+mn-lt"/>
                  <a:ea typeface="+mn-ea"/>
                  <a:cs typeface="+mn-cs"/>
                </a:rPr>
                <a:t>интервал доверия</a:t>
              </a:r>
              <a:r>
                <a:rPr kumimoji="0" lang="en-US" sz="1400" b="1" i="0" u="none" strike="noStrike" kern="0" cap="none" spc="0" normalizeH="0" baseline="0" noProof="0">
                  <a:ln>
                    <a:noFill/>
                  </a:ln>
                  <a:solidFill>
                    <a:srgbClr val="00B050"/>
                  </a:solidFill>
                  <a:effectLst/>
                  <a:uLnTx/>
                  <a:uFillTx/>
                  <a:latin typeface="+mn-lt"/>
                  <a:ea typeface="+mn-ea"/>
                  <a:cs typeface="+mn-cs"/>
                </a:rPr>
                <a:t> 95%</a:t>
              </a:r>
              <a:endParaRPr lang="en-US" sz="1400" b="1">
                <a:solidFill>
                  <a:srgbClr val="CCFFFF"/>
                </a:solidFill>
                <a:latin typeface="+mn-lt"/>
                <a:ea typeface="+mn-ea"/>
                <a:cs typeface="+mn-cs"/>
              </a:endParaRPr>
            </a:p>
          </xdr:txBody>
        </xdr:sp>
        <xdr:graphicFrame macro="">
          <xdr:nvGraphicFramePr>
            <xdr:cNvPr id="31" name="Chart 30" hidden="1">
              <a:extLst>
                <a:ext uri="{FF2B5EF4-FFF2-40B4-BE49-F238E27FC236}">
                  <a16:creationId xmlns:a16="http://schemas.microsoft.com/office/drawing/2014/main" id="{AB15D857-A2D8-4356-A8F3-2CC1097B7936}"/>
                </a:ext>
              </a:extLst>
            </xdr:cNvPr>
            <xdr:cNvGraphicFramePr>
              <a:graphicFrameLocks/>
            </xdr:cNvGraphicFramePr>
          </xdr:nvGraphicFramePr>
          <xdr:xfrm>
            <a:off x="2793206" y="4572000"/>
            <a:ext cx="4162425" cy="2505075"/>
          </xdr:xfrm>
          <a:graphic>
            <a:graphicData uri="http://schemas.openxmlformats.org/drawingml/2006/chart">
              <c:chart xmlns:c="http://schemas.openxmlformats.org/drawingml/2006/chart" xmlns:r="http://schemas.openxmlformats.org/officeDocument/2006/relationships" r:id="rId22"/>
            </a:graphicData>
          </a:graphic>
        </xdr:graphicFrame>
      </xdr:grpSp>
      <xdr:grpSp>
        <xdr:nvGrpSpPr>
          <xdr:cNvPr id="203" name="Group 202" hidden="1">
            <a:extLst>
              <a:ext uri="{FF2B5EF4-FFF2-40B4-BE49-F238E27FC236}">
                <a16:creationId xmlns:a16="http://schemas.microsoft.com/office/drawing/2014/main" id="{26E10AD6-86BE-453F-9134-45E16CF2A1BB}"/>
              </a:ext>
            </a:extLst>
          </xdr:cNvPr>
          <xdr:cNvGrpSpPr/>
        </xdr:nvGrpSpPr>
        <xdr:grpSpPr>
          <a:xfrm>
            <a:off x="7620000" y="400049"/>
            <a:ext cx="4076701" cy="2800351"/>
            <a:chOff x="7620000" y="400049"/>
            <a:chExt cx="4076701" cy="2800351"/>
          </a:xfrm>
        </xdr:grpSpPr>
        <xdr:pic>
          <xdr:nvPicPr>
            <xdr:cNvPr id="50" name="Graphic 49" descr="Water with solid fill" hidden="1">
              <a:extLst>
                <a:ext uri="{FF2B5EF4-FFF2-40B4-BE49-F238E27FC236}">
                  <a16:creationId xmlns:a16="http://schemas.microsoft.com/office/drawing/2014/main" id="{4D944185-BFB2-412A-8126-1294105F94B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372725" y="1514476"/>
              <a:ext cx="228600" cy="228600"/>
            </a:xfrm>
            <a:prstGeom prst="rect">
              <a:avLst/>
            </a:prstGeom>
          </xdr:spPr>
        </xdr:pic>
        <xdr:grpSp>
          <xdr:nvGrpSpPr>
            <xdr:cNvPr id="116" name="Group 115" hidden="1">
              <a:extLst>
                <a:ext uri="{FF2B5EF4-FFF2-40B4-BE49-F238E27FC236}">
                  <a16:creationId xmlns:a16="http://schemas.microsoft.com/office/drawing/2014/main" id="{CE7DED3C-CCAD-4CF7-AB67-412C832C7B33}"/>
                </a:ext>
              </a:extLst>
            </xdr:cNvPr>
            <xdr:cNvGrpSpPr/>
          </xdr:nvGrpSpPr>
          <xdr:grpSpPr>
            <a:xfrm>
              <a:off x="7620000" y="400049"/>
              <a:ext cx="4076701" cy="2800351"/>
              <a:chOff x="7681911" y="400049"/>
              <a:chExt cx="4076701" cy="2800351"/>
            </a:xfrm>
          </xdr:grpSpPr>
          <xdr:sp macro="" textlink="">
            <xdr:nvSpPr>
              <xdr:cNvPr id="24" name="TextBox 23" hidden="1">
                <a:extLst>
                  <a:ext uri="{FF2B5EF4-FFF2-40B4-BE49-F238E27FC236}">
                    <a16:creationId xmlns:a16="http://schemas.microsoft.com/office/drawing/2014/main" id="{81DDE712-3FA9-4837-A379-0A43940CEA41}"/>
                  </a:ext>
                </a:extLst>
              </xdr:cNvPr>
              <xdr:cNvSpPr txBox="1"/>
            </xdr:nvSpPr>
            <xdr:spPr>
              <a:xfrm>
                <a:off x="7681911" y="400049"/>
                <a:ext cx="407670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400" b="1" i="0" u="none" strike="noStrike">
                    <a:solidFill>
                      <a:srgbClr val="CCFFFF"/>
                    </a:solidFill>
                    <a:effectLst/>
                    <a:latin typeface="+mn-lt"/>
                    <a:ea typeface="+mn-ea"/>
                    <a:cs typeface="+mn-cs"/>
                  </a:rPr>
                  <a:t>Валовая прибыль</a:t>
                </a:r>
                <a:r>
                  <a:rPr lang="en-US" sz="1400" b="1" i="0" u="none" strike="noStrike">
                    <a:solidFill>
                      <a:srgbClr val="CCFFFF"/>
                    </a:solidFill>
                    <a:effectLst/>
                    <a:latin typeface="+mn-lt"/>
                    <a:ea typeface="+mn-ea"/>
                    <a:cs typeface="+mn-cs"/>
                  </a:rPr>
                  <a:t>,</a:t>
                </a:r>
                <a:r>
                  <a:rPr lang="en-US" sz="1400" b="1" i="0" u="none" strike="noStrike" baseline="0">
                    <a:solidFill>
                      <a:srgbClr val="CCFFFF"/>
                    </a:solidFill>
                    <a:effectLst/>
                    <a:latin typeface="+mn-lt"/>
                    <a:ea typeface="+mn-ea"/>
                    <a:cs typeface="+mn-cs"/>
                  </a:rPr>
                  <a:t> </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00B050"/>
                    </a:solidFill>
                    <a:effectLst/>
                    <a:uLnTx/>
                    <a:uFillTx/>
                    <a:latin typeface="+mn-lt"/>
                    <a:ea typeface="+mn-ea"/>
                    <a:cs typeface="+mn-cs"/>
                  </a:rPr>
                  <a:t>интервал доверия</a:t>
                </a:r>
                <a:r>
                  <a:rPr kumimoji="0" lang="en-US" sz="1400" b="1" i="0" u="none" strike="noStrike" kern="0" cap="none" spc="0" normalizeH="0" baseline="0" noProof="0">
                    <a:ln>
                      <a:noFill/>
                    </a:ln>
                    <a:solidFill>
                      <a:srgbClr val="00B050"/>
                    </a:solidFill>
                    <a:effectLst/>
                    <a:uLnTx/>
                    <a:uFillTx/>
                    <a:latin typeface="+mn-lt"/>
                    <a:ea typeface="+mn-ea"/>
                    <a:cs typeface="+mn-cs"/>
                  </a:rPr>
                  <a:t> 95%</a:t>
                </a:r>
                <a:endParaRPr lang="en-US" sz="1400">
                  <a:solidFill>
                    <a:srgbClr val="CCFFFF"/>
                  </a:solidFill>
                </a:endParaRPr>
              </a:p>
            </xdr:txBody>
          </xdr:sp>
          <xdr:graphicFrame macro="">
            <xdr:nvGraphicFramePr>
              <xdr:cNvPr id="32" name="Chart 31" hidden="1">
                <a:extLst>
                  <a:ext uri="{FF2B5EF4-FFF2-40B4-BE49-F238E27FC236}">
                    <a16:creationId xmlns:a16="http://schemas.microsoft.com/office/drawing/2014/main" id="{11ADF799-516C-4116-81AA-26A32D055A52}"/>
                  </a:ext>
                </a:extLst>
              </xdr:cNvPr>
              <xdr:cNvGraphicFramePr>
                <a:graphicFrameLocks/>
              </xdr:cNvGraphicFramePr>
            </xdr:nvGraphicFramePr>
            <xdr:xfrm>
              <a:off x="7681911" y="1085850"/>
              <a:ext cx="4076701" cy="2114550"/>
            </xdr:xfrm>
            <a:graphic>
              <a:graphicData uri="http://schemas.openxmlformats.org/drawingml/2006/chart">
                <c:chart xmlns:c="http://schemas.openxmlformats.org/drawingml/2006/chart" xmlns:r="http://schemas.openxmlformats.org/officeDocument/2006/relationships" r:id="rId23"/>
              </a:graphicData>
            </a:graphic>
          </xdr:graphicFrame>
        </xdr:grpSp>
      </xdr:grpSp>
      <xdr:grpSp>
        <xdr:nvGrpSpPr>
          <xdr:cNvPr id="205" name="Group 204" hidden="1">
            <a:extLst>
              <a:ext uri="{FF2B5EF4-FFF2-40B4-BE49-F238E27FC236}">
                <a16:creationId xmlns:a16="http://schemas.microsoft.com/office/drawing/2014/main" id="{F440AF07-63A7-441A-90B6-36DEFD66B548}"/>
              </a:ext>
            </a:extLst>
          </xdr:cNvPr>
          <xdr:cNvGrpSpPr/>
        </xdr:nvGrpSpPr>
        <xdr:grpSpPr>
          <a:xfrm>
            <a:off x="7439025" y="4067174"/>
            <a:ext cx="4438650" cy="2876552"/>
            <a:chOff x="7439025" y="4067174"/>
            <a:chExt cx="4438650" cy="2876552"/>
          </a:xfrm>
        </xdr:grpSpPr>
        <xdr:pic>
          <xdr:nvPicPr>
            <xdr:cNvPr id="64" name="Graphic 63" descr="Water with solid fill" hidden="1">
              <a:extLst>
                <a:ext uri="{FF2B5EF4-FFF2-40B4-BE49-F238E27FC236}">
                  <a16:creationId xmlns:a16="http://schemas.microsoft.com/office/drawing/2014/main" id="{F0DAB5F7-F88C-4123-BADC-577B33DAECF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420350" y="5133976"/>
              <a:ext cx="228600" cy="228600"/>
            </a:xfrm>
            <a:prstGeom prst="rect">
              <a:avLst/>
            </a:prstGeom>
          </xdr:spPr>
        </xdr:pic>
        <xdr:graphicFrame macro="">
          <xdr:nvGraphicFramePr>
            <xdr:cNvPr id="29" name="Chart 28" hidden="1">
              <a:extLst>
                <a:ext uri="{FF2B5EF4-FFF2-40B4-BE49-F238E27FC236}">
                  <a16:creationId xmlns:a16="http://schemas.microsoft.com/office/drawing/2014/main" id="{2D987B82-458E-4D22-8D96-442D05C03665}"/>
                </a:ext>
              </a:extLst>
            </xdr:cNvPr>
            <xdr:cNvGraphicFramePr>
              <a:graphicFrameLocks/>
            </xdr:cNvGraphicFramePr>
          </xdr:nvGraphicFramePr>
          <xdr:xfrm>
            <a:off x="7439025" y="4581526"/>
            <a:ext cx="4438650" cy="2362200"/>
          </xdr:xfrm>
          <a:graphic>
            <a:graphicData uri="http://schemas.openxmlformats.org/drawingml/2006/chart">
              <c:chart xmlns:c="http://schemas.openxmlformats.org/drawingml/2006/chart" xmlns:r="http://schemas.openxmlformats.org/officeDocument/2006/relationships" r:id="rId24"/>
            </a:graphicData>
          </a:graphic>
        </xdr:graphicFrame>
        <xdr:sp macro="" textlink="">
          <xdr:nvSpPr>
            <xdr:cNvPr id="45" name="TextBox 44" hidden="1">
              <a:extLst>
                <a:ext uri="{FF2B5EF4-FFF2-40B4-BE49-F238E27FC236}">
                  <a16:creationId xmlns:a16="http://schemas.microsoft.com/office/drawing/2014/main" id="{0757B5FC-57EA-41B6-8EEF-AB78A22F92AF}"/>
                </a:ext>
              </a:extLst>
            </xdr:cNvPr>
            <xdr:cNvSpPr txBox="1"/>
          </xdr:nvSpPr>
          <xdr:spPr>
            <a:xfrm>
              <a:off x="7658100" y="4067174"/>
              <a:ext cx="400050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Чистая прибыль</a:t>
              </a:r>
              <a:r>
                <a:rPr lang="en-US" sz="1400" b="1">
                  <a:solidFill>
                    <a:srgbClr val="CCFFFF"/>
                  </a:solidFill>
                  <a:latin typeface="+mn-lt"/>
                  <a:ea typeface="+mn-ea"/>
                  <a:cs typeface="+mn-cs"/>
                </a:rPr>
                <a:t>, </a:t>
              </a:r>
              <a:r>
                <a:rPr lang="ru-RU" sz="1400" b="1">
                  <a:solidFill>
                    <a:srgbClr val="CCFFFF"/>
                  </a:solidFill>
                  <a:latin typeface="+mn-lt"/>
                  <a:ea typeface="+mn-ea"/>
                  <a:cs typeface="+mn-cs"/>
                </a:rPr>
                <a:t>% г/г</a:t>
              </a:r>
              <a:r>
                <a:rPr lang="en-US" sz="1400" b="1">
                  <a:solidFill>
                    <a:srgbClr val="CCFFFF"/>
                  </a:solidFill>
                  <a:latin typeface="+mn-lt"/>
                  <a:ea typeface="+mn-ea"/>
                  <a:cs typeface="+mn-cs"/>
                </a:rPr>
                <a:t>, </a:t>
              </a:r>
              <a:r>
                <a:rPr kumimoji="0" lang="ru-RU" sz="1400" b="1" i="0" u="none" strike="noStrike" kern="0" cap="none" spc="0" normalizeH="0" baseline="0" noProof="0">
                  <a:ln>
                    <a:noFill/>
                  </a:ln>
                  <a:solidFill>
                    <a:srgbClr val="00B050"/>
                  </a:solidFill>
                  <a:effectLst/>
                  <a:uLnTx/>
                  <a:uFillTx/>
                  <a:latin typeface="+mn-lt"/>
                  <a:ea typeface="+mn-ea"/>
                  <a:cs typeface="+mn-cs"/>
                </a:rPr>
                <a:t>интервал доверия</a:t>
              </a:r>
              <a:r>
                <a:rPr kumimoji="0" lang="en-US" sz="1400" b="1" i="0" u="none" strike="noStrike" kern="0" cap="none" spc="0" normalizeH="0" baseline="0" noProof="0">
                  <a:ln>
                    <a:noFill/>
                  </a:ln>
                  <a:solidFill>
                    <a:srgbClr val="00B050"/>
                  </a:solidFill>
                  <a:effectLst/>
                  <a:uLnTx/>
                  <a:uFillTx/>
                  <a:latin typeface="+mn-lt"/>
                  <a:ea typeface="+mn-ea"/>
                  <a:cs typeface="+mn-cs"/>
                </a:rPr>
                <a:t> 95%</a:t>
              </a:r>
              <a:endParaRPr lang="en-US" sz="1400" b="1">
                <a:solidFill>
                  <a:srgbClr val="CCFFFF"/>
                </a:solidFill>
                <a:latin typeface="+mn-lt"/>
                <a:ea typeface="+mn-ea"/>
                <a:cs typeface="+mn-cs"/>
              </a:endParaRPr>
            </a:p>
          </xdr:txBody>
        </xdr:sp>
      </xdr:grpSp>
      <xdr:grpSp>
        <xdr:nvGrpSpPr>
          <xdr:cNvPr id="91" name="Group 90" hidden="1">
            <a:extLst>
              <a:ext uri="{FF2B5EF4-FFF2-40B4-BE49-F238E27FC236}">
                <a16:creationId xmlns:a16="http://schemas.microsoft.com/office/drawing/2014/main" id="{49F1FE0B-E941-4E0F-A8DF-6F2F91C06720}"/>
              </a:ext>
            </a:extLst>
          </xdr:cNvPr>
          <xdr:cNvGrpSpPr/>
        </xdr:nvGrpSpPr>
        <xdr:grpSpPr>
          <a:xfrm>
            <a:off x="12230100" y="361949"/>
            <a:ext cx="5276850" cy="2114550"/>
            <a:chOff x="12344400" y="609599"/>
            <a:chExt cx="4867274" cy="2114550"/>
          </a:xfrm>
        </xdr:grpSpPr>
        <xdr:sp macro="" textlink="">
          <xdr:nvSpPr>
            <xdr:cNvPr id="47" name="TextBox 46" hidden="1">
              <a:extLst>
                <a:ext uri="{FF2B5EF4-FFF2-40B4-BE49-F238E27FC236}">
                  <a16:creationId xmlns:a16="http://schemas.microsoft.com/office/drawing/2014/main" id="{58BB5114-6DEB-4C9F-924C-90C14417A91F}"/>
                </a:ext>
              </a:extLst>
            </xdr:cNvPr>
            <xdr:cNvSpPr txBox="1"/>
          </xdr:nvSpPr>
          <xdr:spPr>
            <a:xfrm>
              <a:off x="12767367" y="609599"/>
              <a:ext cx="2898025" cy="523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CCFFFF"/>
                  </a:solidFill>
                  <a:latin typeface="+mn-lt"/>
                  <a:ea typeface="+mn-ea"/>
                  <a:cs typeface="+mn-cs"/>
                </a:rPr>
                <a:t>EBTIDA</a:t>
              </a:r>
              <a:r>
                <a:rPr kumimoji="0" lang="en-US" sz="1400" b="1" i="0" u="none" strike="noStrike" kern="0" cap="none" spc="0" normalizeH="0" baseline="0" noProof="0">
                  <a:ln>
                    <a:noFill/>
                  </a:ln>
                  <a:solidFill>
                    <a:srgbClr val="CCFFFF"/>
                  </a:solidFill>
                  <a:effectLst/>
                  <a:uLnTx/>
                  <a:uFillTx/>
                  <a:latin typeface="+mn-lt"/>
                  <a:ea typeface="+mn-ea"/>
                  <a:cs typeface="+mn-cs"/>
                </a:rPr>
                <a:t>, % </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00B050"/>
                  </a:solidFill>
                  <a:effectLst/>
                  <a:uLnTx/>
                  <a:uFillTx/>
                  <a:latin typeface="+mn-lt"/>
                  <a:ea typeface="+mn-ea"/>
                  <a:cs typeface="+mn-cs"/>
                </a:rPr>
                <a:t>интервал доверия</a:t>
              </a:r>
              <a:r>
                <a:rPr kumimoji="0" lang="en-US" sz="1400" b="1" i="0" u="none" strike="noStrike" kern="0" cap="none" spc="0" normalizeH="0" baseline="0" noProof="0">
                  <a:ln>
                    <a:noFill/>
                  </a:ln>
                  <a:solidFill>
                    <a:srgbClr val="00B050"/>
                  </a:solidFill>
                  <a:effectLst/>
                  <a:uLnTx/>
                  <a:uFillTx/>
                  <a:latin typeface="+mn-lt"/>
                  <a:ea typeface="+mn-ea"/>
                  <a:cs typeface="+mn-cs"/>
                </a:rPr>
                <a:t> 95%</a:t>
              </a:r>
              <a:endParaRPr lang="en-US" sz="1400" b="1">
                <a:solidFill>
                  <a:srgbClr val="CCFFFF"/>
                </a:solidFill>
                <a:latin typeface="+mn-lt"/>
                <a:ea typeface="+mn-ea"/>
                <a:cs typeface="+mn-cs"/>
              </a:endParaRPr>
            </a:p>
          </xdr:txBody>
        </xdr:sp>
        <xdr:pic>
          <xdr:nvPicPr>
            <xdr:cNvPr id="51" name="Graphic 50" descr="Water with solid fill" hidden="1">
              <a:extLst>
                <a:ext uri="{FF2B5EF4-FFF2-40B4-BE49-F238E27FC236}">
                  <a16:creationId xmlns:a16="http://schemas.microsoft.com/office/drawing/2014/main" id="{F44B497C-861C-4EA4-9184-1AE44C6083A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621000" y="809626"/>
              <a:ext cx="228600" cy="228600"/>
            </a:xfrm>
            <a:prstGeom prst="rect">
              <a:avLst/>
            </a:prstGeom>
          </xdr:spPr>
        </xdr:pic>
        <xdr:graphicFrame macro="">
          <xdr:nvGraphicFramePr>
            <xdr:cNvPr id="194" name="Chart 193" hidden="1">
              <a:extLst>
                <a:ext uri="{FF2B5EF4-FFF2-40B4-BE49-F238E27FC236}">
                  <a16:creationId xmlns:a16="http://schemas.microsoft.com/office/drawing/2014/main" id="{DC31124F-204F-4D43-81CE-22B1A493427C}"/>
                </a:ext>
              </a:extLst>
            </xdr:cNvPr>
            <xdr:cNvGraphicFramePr>
              <a:graphicFrameLocks/>
            </xdr:cNvGraphicFramePr>
          </xdr:nvGraphicFramePr>
          <xdr:xfrm>
            <a:off x="12344400" y="676274"/>
            <a:ext cx="4867274" cy="2047875"/>
          </xdr:xfrm>
          <a:graphic>
            <a:graphicData uri="http://schemas.openxmlformats.org/drawingml/2006/chart">
              <c:chart xmlns:c="http://schemas.openxmlformats.org/drawingml/2006/chart" xmlns:r="http://schemas.openxmlformats.org/officeDocument/2006/relationships" r:id="rId25"/>
            </a:graphicData>
          </a:graphic>
        </xdr:graphicFrame>
      </xdr:grpSp>
      <xdr:grpSp>
        <xdr:nvGrpSpPr>
          <xdr:cNvPr id="92" name="Group 91" hidden="1">
            <a:extLst>
              <a:ext uri="{FF2B5EF4-FFF2-40B4-BE49-F238E27FC236}">
                <a16:creationId xmlns:a16="http://schemas.microsoft.com/office/drawing/2014/main" id="{896E59B2-E9D7-44B7-9E42-A0A95C411B75}"/>
              </a:ext>
            </a:extLst>
          </xdr:cNvPr>
          <xdr:cNvGrpSpPr/>
        </xdr:nvGrpSpPr>
        <xdr:grpSpPr>
          <a:xfrm>
            <a:off x="12230100" y="2638425"/>
            <a:ext cx="5343525" cy="2200276"/>
            <a:chOff x="12401549" y="3077709"/>
            <a:chExt cx="4791076" cy="2265816"/>
          </a:xfrm>
        </xdr:grpSpPr>
        <xdr:sp macro="" textlink="">
          <xdr:nvSpPr>
            <xdr:cNvPr id="48" name="TextBox 47" hidden="1">
              <a:extLst>
                <a:ext uri="{FF2B5EF4-FFF2-40B4-BE49-F238E27FC236}">
                  <a16:creationId xmlns:a16="http://schemas.microsoft.com/office/drawing/2014/main" id="{88B5935A-ACC3-4B20-9EB7-2A11CD6A7D85}"/>
                </a:ext>
              </a:extLst>
            </xdr:cNvPr>
            <xdr:cNvSpPr txBox="1"/>
          </xdr:nvSpPr>
          <xdr:spPr>
            <a:xfrm>
              <a:off x="12684327" y="3077709"/>
              <a:ext cx="355179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400" b="1">
                  <a:solidFill>
                    <a:srgbClr val="CCFFFF"/>
                  </a:solidFill>
                  <a:latin typeface="+mn-lt"/>
                  <a:ea typeface="+mn-ea"/>
                  <a:cs typeface="+mn-cs"/>
                </a:rPr>
                <a:t>Маржинальность</a:t>
              </a:r>
              <a:r>
                <a:rPr lang="en-US" sz="1400" b="1" i="0">
                  <a:solidFill>
                    <a:srgbClr val="CCFFFF"/>
                  </a:solidFill>
                  <a:effectLst/>
                  <a:latin typeface="+mn-lt"/>
                  <a:ea typeface="+mn-ea"/>
                  <a:cs typeface="+mn-cs"/>
                </a:rPr>
                <a:t>,</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00B050"/>
                  </a:solidFill>
                  <a:effectLst/>
                  <a:uLnTx/>
                  <a:uFillTx/>
                  <a:latin typeface="+mn-lt"/>
                  <a:ea typeface="+mn-ea"/>
                  <a:cs typeface="+mn-cs"/>
                </a:rPr>
                <a:t>интервал доверия</a:t>
              </a:r>
              <a:r>
                <a:rPr kumimoji="0" lang="en-US" sz="1400" b="1" i="0" u="none" strike="noStrike" kern="0" cap="none" spc="0" normalizeH="0" baseline="0" noProof="0">
                  <a:ln>
                    <a:noFill/>
                  </a:ln>
                  <a:solidFill>
                    <a:srgbClr val="00B050"/>
                  </a:solidFill>
                  <a:effectLst/>
                  <a:uLnTx/>
                  <a:uFillTx/>
                  <a:latin typeface="+mn-lt"/>
                  <a:ea typeface="+mn-ea"/>
                  <a:cs typeface="+mn-cs"/>
                </a:rPr>
                <a:t> 95%</a:t>
              </a:r>
              <a:endParaRPr lang="en-US" sz="1400">
                <a:solidFill>
                  <a:srgbClr val="CCFFFF"/>
                </a:solidFill>
                <a:effectLst/>
              </a:endParaRPr>
            </a:p>
          </xdr:txBody>
        </xdr:sp>
        <xdr:pic>
          <xdr:nvPicPr>
            <xdr:cNvPr id="152" name="Graphic 151" descr="Water with solid fill" hidden="1">
              <a:extLst>
                <a:ext uri="{FF2B5EF4-FFF2-40B4-BE49-F238E27FC236}">
                  <a16:creationId xmlns:a16="http://schemas.microsoft.com/office/drawing/2014/main" id="{D3E8CC5D-DC50-4364-9D02-58EDFC01F74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966605" y="3467099"/>
              <a:ext cx="228600" cy="228600"/>
            </a:xfrm>
            <a:prstGeom prst="rect">
              <a:avLst/>
            </a:prstGeom>
          </xdr:spPr>
        </xdr:pic>
        <xdr:graphicFrame macro="">
          <xdr:nvGraphicFramePr>
            <xdr:cNvPr id="195" name="Chart 194" hidden="1">
              <a:extLst>
                <a:ext uri="{FF2B5EF4-FFF2-40B4-BE49-F238E27FC236}">
                  <a16:creationId xmlns:a16="http://schemas.microsoft.com/office/drawing/2014/main" id="{2C2367DF-0766-4CED-B403-304BAF6F6375}"/>
                </a:ext>
              </a:extLst>
            </xdr:cNvPr>
            <xdr:cNvGraphicFramePr>
              <a:graphicFrameLocks/>
            </xdr:cNvGraphicFramePr>
          </xdr:nvGraphicFramePr>
          <xdr:xfrm>
            <a:off x="12401549" y="3209924"/>
            <a:ext cx="4791076" cy="2133601"/>
          </xdr:xfrm>
          <a:graphic>
            <a:graphicData uri="http://schemas.openxmlformats.org/drawingml/2006/chart">
              <c:chart xmlns:c="http://schemas.openxmlformats.org/drawingml/2006/chart" xmlns:r="http://schemas.openxmlformats.org/officeDocument/2006/relationships" r:id="rId26"/>
            </a:graphicData>
          </a:graphic>
        </xdr:graphicFrame>
      </xdr:grpSp>
      <xdr:grpSp>
        <xdr:nvGrpSpPr>
          <xdr:cNvPr id="93" name="Group 92" hidden="1">
            <a:extLst>
              <a:ext uri="{FF2B5EF4-FFF2-40B4-BE49-F238E27FC236}">
                <a16:creationId xmlns:a16="http://schemas.microsoft.com/office/drawing/2014/main" id="{479DADC1-3768-4CED-85DC-E783FDAF87C1}"/>
              </a:ext>
            </a:extLst>
          </xdr:cNvPr>
          <xdr:cNvGrpSpPr/>
        </xdr:nvGrpSpPr>
        <xdr:grpSpPr>
          <a:xfrm>
            <a:off x="12230100" y="5057775"/>
            <a:ext cx="5278346" cy="2028825"/>
            <a:chOff x="12430125" y="5362575"/>
            <a:chExt cx="5162550" cy="2028825"/>
          </a:xfrm>
        </xdr:grpSpPr>
        <xdr:pic>
          <xdr:nvPicPr>
            <xdr:cNvPr id="154" name="Graphic 153" descr="Water with solid fill" hidden="1">
              <a:extLst>
                <a:ext uri="{FF2B5EF4-FFF2-40B4-BE49-F238E27FC236}">
                  <a16:creationId xmlns:a16="http://schemas.microsoft.com/office/drawing/2014/main" id="{A031D5E4-8189-415F-949E-6EA8F28716B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4184984" y="6391274"/>
              <a:ext cx="261271" cy="228600"/>
            </a:xfrm>
            <a:prstGeom prst="rect">
              <a:avLst/>
            </a:prstGeom>
          </xdr:spPr>
        </xdr:pic>
        <xdr:sp macro="" textlink="">
          <xdr:nvSpPr>
            <xdr:cNvPr id="155" name="TextBox 154" hidden="1">
              <a:extLst>
                <a:ext uri="{FF2B5EF4-FFF2-40B4-BE49-F238E27FC236}">
                  <a16:creationId xmlns:a16="http://schemas.microsoft.com/office/drawing/2014/main" id="{82A7DFD6-7997-44F5-A55C-DF3C68F677B9}"/>
                </a:ext>
              </a:extLst>
            </xdr:cNvPr>
            <xdr:cNvSpPr txBox="1"/>
          </xdr:nvSpPr>
          <xdr:spPr>
            <a:xfrm>
              <a:off x="12944475" y="5410199"/>
              <a:ext cx="3090958" cy="60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ru-RU" sz="1400" b="1">
                  <a:solidFill>
                    <a:srgbClr val="CCFFFF"/>
                  </a:solidFill>
                  <a:latin typeface="+mn-lt"/>
                  <a:ea typeface="+mn-ea"/>
                  <a:cs typeface="+mn-cs"/>
                </a:rPr>
                <a:t>Себестоимость</a:t>
              </a:r>
              <a:r>
                <a:rPr kumimoji="0" lang="en-US" sz="1400" b="1" i="0" u="none" strike="noStrike" kern="0" cap="none" spc="0" normalizeH="0" baseline="0" noProof="0">
                  <a:ln>
                    <a:noFill/>
                  </a:ln>
                  <a:solidFill>
                    <a:srgbClr val="CCFFFF"/>
                  </a:solidFill>
                  <a:effectLst/>
                  <a:uLnTx/>
                  <a:uFillTx/>
                  <a:latin typeface="+mn-lt"/>
                  <a:ea typeface="+mn-ea"/>
                  <a:cs typeface="+mn-cs"/>
                </a:rPr>
                <a:t>, % </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a:t>
              </a:r>
              <a:r>
                <a:rPr kumimoji="0" lang="ru-RU" sz="1400" b="1" i="0" u="none" strike="noStrike" kern="0" cap="none" spc="0" normalizeH="0" baseline="0" noProof="0">
                  <a:ln>
                    <a:noFill/>
                  </a:ln>
                  <a:solidFill>
                    <a:srgbClr val="CCFFFF"/>
                  </a:solidFill>
                  <a:effectLst/>
                  <a:uLnTx/>
                  <a:uFillTx/>
                  <a:latin typeface="+mn-lt"/>
                  <a:ea typeface="+mn-ea"/>
                  <a:cs typeface="+mn-cs"/>
                </a:rPr>
                <a:t>г</a:t>
              </a:r>
              <a:r>
                <a:rPr kumimoji="0" lang="en-US" sz="1400" b="1" i="0" u="none" strike="noStrike" kern="0" cap="none" spc="0" normalizeH="0" baseline="0" noProof="0">
                  <a:ln>
                    <a:noFill/>
                  </a:ln>
                  <a:solidFill>
                    <a:srgbClr val="CCFFFF"/>
                  </a:solidFill>
                  <a:effectLst/>
                  <a:uLnTx/>
                  <a:uFillTx/>
                  <a:latin typeface="+mn-lt"/>
                  <a:ea typeface="+mn-ea"/>
                  <a:cs typeface="+mn-cs"/>
                </a:rPr>
                <a:t>, </a:t>
              </a:r>
              <a:r>
                <a:rPr kumimoji="0" lang="ru-RU" sz="1400" b="1" i="0" u="none" strike="noStrike" kern="0" cap="none" spc="0" normalizeH="0" baseline="0" noProof="0">
                  <a:ln>
                    <a:noFill/>
                  </a:ln>
                  <a:solidFill>
                    <a:srgbClr val="00B050"/>
                  </a:solidFill>
                  <a:effectLst/>
                  <a:uLnTx/>
                  <a:uFillTx/>
                  <a:latin typeface="+mn-lt"/>
                  <a:ea typeface="+mn-ea"/>
                  <a:cs typeface="+mn-cs"/>
                </a:rPr>
                <a:t>интервал доверия</a:t>
              </a:r>
              <a:r>
                <a:rPr kumimoji="0" lang="en-US" sz="1400" b="1" i="0" u="none" strike="noStrike" kern="0" cap="none" spc="0" normalizeH="0" baseline="0" noProof="0">
                  <a:ln>
                    <a:noFill/>
                  </a:ln>
                  <a:solidFill>
                    <a:srgbClr val="00B050"/>
                  </a:solidFill>
                  <a:effectLst/>
                  <a:uLnTx/>
                  <a:uFillTx/>
                  <a:latin typeface="+mn-lt"/>
                  <a:ea typeface="+mn-ea"/>
                  <a:cs typeface="+mn-cs"/>
                </a:rPr>
                <a:t> 95%</a:t>
              </a:r>
              <a:endParaRPr lang="en-US" sz="1400" b="1">
                <a:solidFill>
                  <a:srgbClr val="CCFFFF"/>
                </a:solidFill>
                <a:latin typeface="+mn-lt"/>
                <a:ea typeface="+mn-ea"/>
                <a:cs typeface="+mn-cs"/>
              </a:endParaRPr>
            </a:p>
          </xdr:txBody>
        </xdr:sp>
        <xdr:graphicFrame macro="">
          <xdr:nvGraphicFramePr>
            <xdr:cNvPr id="197" name="Chart 196" hidden="1">
              <a:extLst>
                <a:ext uri="{FF2B5EF4-FFF2-40B4-BE49-F238E27FC236}">
                  <a16:creationId xmlns:a16="http://schemas.microsoft.com/office/drawing/2014/main" id="{42B62AAD-2BF2-4CEE-8BD8-D357F046E9E5}"/>
                </a:ext>
              </a:extLst>
            </xdr:cNvPr>
            <xdr:cNvGraphicFramePr>
              <a:graphicFrameLocks/>
            </xdr:cNvGraphicFramePr>
          </xdr:nvGraphicFramePr>
          <xdr:xfrm>
            <a:off x="12430125" y="5362575"/>
            <a:ext cx="5162550" cy="2028825"/>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135" name="Group 134" hidden="1">
            <a:extLst>
              <a:ext uri="{FF2B5EF4-FFF2-40B4-BE49-F238E27FC236}">
                <a16:creationId xmlns:a16="http://schemas.microsoft.com/office/drawing/2014/main" id="{09E18245-3FAB-41E9-B087-A7E3F5146578}"/>
              </a:ext>
            </a:extLst>
          </xdr:cNvPr>
          <xdr:cNvGrpSpPr/>
        </xdr:nvGrpSpPr>
        <xdr:grpSpPr>
          <a:xfrm>
            <a:off x="2571750" y="161924"/>
            <a:ext cx="9458326" cy="6905626"/>
            <a:chOff x="2571750" y="161924"/>
            <a:chExt cx="9458326" cy="6905626"/>
          </a:xfrm>
        </xdr:grpSpPr>
        <xdr:cxnSp macro="">
          <xdr:nvCxnSpPr>
            <xdr:cNvPr id="55" name="Straight Connector 54" hidden="1">
              <a:extLst>
                <a:ext uri="{FF2B5EF4-FFF2-40B4-BE49-F238E27FC236}">
                  <a16:creationId xmlns:a16="http://schemas.microsoft.com/office/drawing/2014/main" id="{8DD39A1C-3388-4EE8-9606-D987B1DECC4E}"/>
                </a:ext>
              </a:extLst>
            </xdr:cNvPr>
            <xdr:cNvCxnSpPr/>
          </xdr:nvCxnSpPr>
          <xdr:spPr>
            <a:xfrm flipV="1">
              <a:off x="2571750" y="3619500"/>
              <a:ext cx="4572000" cy="0"/>
            </a:xfrm>
            <a:prstGeom prst="line">
              <a:avLst/>
            </a:prstGeom>
            <a:ln>
              <a:solidFill>
                <a:srgbClr val="B3B3B3"/>
              </a:solidFill>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hidden="1">
              <a:extLst>
                <a:ext uri="{FF2B5EF4-FFF2-40B4-BE49-F238E27FC236}">
                  <a16:creationId xmlns:a16="http://schemas.microsoft.com/office/drawing/2014/main" id="{3E1A6A2F-3AFA-423A-B6D3-5E3353003F03}"/>
                </a:ext>
              </a:extLst>
            </xdr:cNvPr>
            <xdr:cNvCxnSpPr/>
          </xdr:nvCxnSpPr>
          <xdr:spPr>
            <a:xfrm flipV="1">
              <a:off x="7362825" y="3619500"/>
              <a:ext cx="4572000" cy="0"/>
            </a:xfrm>
            <a:prstGeom prst="line">
              <a:avLst/>
            </a:prstGeom>
            <a:ln>
              <a:solidFill>
                <a:srgbClr val="B3B3B3"/>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hidden="1">
              <a:extLst>
                <a:ext uri="{FF2B5EF4-FFF2-40B4-BE49-F238E27FC236}">
                  <a16:creationId xmlns:a16="http://schemas.microsoft.com/office/drawing/2014/main" id="{0F391C56-B3A2-46DB-8376-7E9ACA2EF7E2}"/>
                </a:ext>
              </a:extLst>
            </xdr:cNvPr>
            <xdr:cNvCxnSpPr/>
          </xdr:nvCxnSpPr>
          <xdr:spPr>
            <a:xfrm>
              <a:off x="7248525" y="161924"/>
              <a:ext cx="0" cy="3200400"/>
            </a:xfrm>
            <a:prstGeom prst="line">
              <a:avLst/>
            </a:prstGeom>
            <a:ln>
              <a:solidFill>
                <a:srgbClr val="B3B3B3"/>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hidden="1">
              <a:extLst>
                <a:ext uri="{FF2B5EF4-FFF2-40B4-BE49-F238E27FC236}">
                  <a16:creationId xmlns:a16="http://schemas.microsoft.com/office/drawing/2014/main" id="{6FAF3128-4A95-406E-B189-1FBE0257ACA5}"/>
                </a:ext>
              </a:extLst>
            </xdr:cNvPr>
            <xdr:cNvCxnSpPr/>
          </xdr:nvCxnSpPr>
          <xdr:spPr>
            <a:xfrm>
              <a:off x="7258050" y="3867150"/>
              <a:ext cx="0" cy="3200400"/>
            </a:xfrm>
            <a:prstGeom prst="line">
              <a:avLst/>
            </a:prstGeom>
            <a:ln>
              <a:solidFill>
                <a:srgbClr val="B3B3B3"/>
              </a:solidFill>
            </a:ln>
          </xdr:spPr>
          <xdr:style>
            <a:lnRef idx="1">
              <a:schemeClr val="accent1"/>
            </a:lnRef>
            <a:fillRef idx="0">
              <a:schemeClr val="accent1"/>
            </a:fillRef>
            <a:effectRef idx="0">
              <a:schemeClr val="accent1"/>
            </a:effectRef>
            <a:fontRef idx="minor">
              <a:schemeClr val="tx1"/>
            </a:fontRef>
          </xdr:style>
        </xdr:cxnSp>
        <xdr:cxnSp macro="">
          <xdr:nvCxnSpPr>
            <xdr:cNvPr id="198" name="Straight Connector 197" hidden="1">
              <a:extLst>
                <a:ext uri="{FF2B5EF4-FFF2-40B4-BE49-F238E27FC236}">
                  <a16:creationId xmlns:a16="http://schemas.microsoft.com/office/drawing/2014/main" id="{F1C5500B-7C7F-48C3-A692-C82F52E341EA}"/>
                </a:ext>
              </a:extLst>
            </xdr:cNvPr>
            <xdr:cNvCxnSpPr/>
          </xdr:nvCxnSpPr>
          <xdr:spPr>
            <a:xfrm>
              <a:off x="12011025" y="161924"/>
              <a:ext cx="19050" cy="3200400"/>
            </a:xfrm>
            <a:prstGeom prst="line">
              <a:avLst/>
            </a:prstGeom>
            <a:ln>
              <a:solidFill>
                <a:srgbClr val="B3B3B3"/>
              </a:solidFill>
            </a:ln>
          </xdr:spPr>
          <xdr:style>
            <a:lnRef idx="1">
              <a:schemeClr val="accent1"/>
            </a:lnRef>
            <a:fillRef idx="0">
              <a:schemeClr val="accent1"/>
            </a:fillRef>
            <a:effectRef idx="0">
              <a:schemeClr val="accent1"/>
            </a:effectRef>
            <a:fontRef idx="minor">
              <a:schemeClr val="tx1"/>
            </a:fontRef>
          </xdr:style>
        </xdr:cxnSp>
        <xdr:cxnSp macro="">
          <xdr:nvCxnSpPr>
            <xdr:cNvPr id="199" name="Straight Connector 198" hidden="1">
              <a:extLst>
                <a:ext uri="{FF2B5EF4-FFF2-40B4-BE49-F238E27FC236}">
                  <a16:creationId xmlns:a16="http://schemas.microsoft.com/office/drawing/2014/main" id="{AEFBFA5F-6DD2-4E6F-9716-DF56AB34D69B}"/>
                </a:ext>
              </a:extLst>
            </xdr:cNvPr>
            <xdr:cNvCxnSpPr/>
          </xdr:nvCxnSpPr>
          <xdr:spPr>
            <a:xfrm flipH="1">
              <a:off x="12020550" y="3867150"/>
              <a:ext cx="9526" cy="3200400"/>
            </a:xfrm>
            <a:prstGeom prst="line">
              <a:avLst/>
            </a:prstGeom>
            <a:ln>
              <a:solidFill>
                <a:srgbClr val="B3B3B3"/>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323850</xdr:colOff>
      <xdr:row>29</xdr:row>
      <xdr:rowOff>66674</xdr:rowOff>
    </xdr:from>
    <xdr:to>
      <xdr:col>3</xdr:col>
      <xdr:colOff>142875</xdr:colOff>
      <xdr:row>34</xdr:row>
      <xdr:rowOff>28574</xdr:rowOff>
    </xdr:to>
    <xdr:grpSp>
      <xdr:nvGrpSpPr>
        <xdr:cNvPr id="81" name="Button 4">
          <a:extLst>
            <a:ext uri="{FF2B5EF4-FFF2-40B4-BE49-F238E27FC236}">
              <a16:creationId xmlns:a16="http://schemas.microsoft.com/office/drawing/2014/main" id="{E780AA79-BB9B-4207-87B7-EB489563089B}"/>
            </a:ext>
          </a:extLst>
        </xdr:cNvPr>
        <xdr:cNvGrpSpPr/>
      </xdr:nvGrpSpPr>
      <xdr:grpSpPr>
        <a:xfrm>
          <a:off x="323850" y="5591174"/>
          <a:ext cx="1647825" cy="914400"/>
          <a:chOff x="323850" y="5591174"/>
          <a:chExt cx="1647825" cy="914400"/>
        </a:xfrm>
      </xdr:grpSpPr>
      <xdr:sp macro="[0]!Page4" textlink="">
        <xdr:nvSpPr>
          <xdr:cNvPr id="5" name="Flowchart: Terminator 4">
            <a:extLst>
              <a:ext uri="{FF2B5EF4-FFF2-40B4-BE49-F238E27FC236}">
                <a16:creationId xmlns:a16="http://schemas.microsoft.com/office/drawing/2014/main" id="{83439C0F-422A-4804-B543-3227E2271D50}"/>
              </a:ext>
            </a:extLst>
          </xdr:cNvPr>
          <xdr:cNvSpPr/>
        </xdr:nvSpPr>
        <xdr:spPr>
          <a:xfrm>
            <a:off x="323850" y="5591174"/>
            <a:ext cx="1647825" cy="914400"/>
          </a:xfrm>
          <a:prstGeom prst="flowChartTerminator">
            <a:avLst/>
          </a:prstGeom>
          <a:solidFill>
            <a:srgbClr val="B3B3B3"/>
          </a:solidFill>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600">
                <a:solidFill>
                  <a:srgbClr val="0047B3"/>
                </a:solidFill>
              </a:rPr>
              <a:t>А я сейчас вам покажу </a:t>
            </a:r>
            <a:endParaRPr lang="en-US" sz="1600">
              <a:solidFill>
                <a:srgbClr val="0047B3"/>
              </a:solidFill>
            </a:endParaRPr>
          </a:p>
        </xdr:txBody>
      </xdr:sp>
      <xdr:pic macro="[0]!Page4">
        <xdr:nvPicPr>
          <xdr:cNvPr id="9" name="Graphic 8" descr="Right pointing backhand index with solid fill">
            <a:extLst>
              <a:ext uri="{FF2B5EF4-FFF2-40B4-BE49-F238E27FC236}">
                <a16:creationId xmlns:a16="http://schemas.microsoft.com/office/drawing/2014/main" id="{6130CB03-9710-4AC6-90C9-AFE564F990C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rot="1130278">
            <a:off x="1381120" y="5981008"/>
            <a:ext cx="436520" cy="436520"/>
          </a:xfrm>
          <a:prstGeom prst="rect">
            <a:avLst/>
          </a:prstGeom>
          <a:effectLst/>
        </xdr:spPr>
      </xdr:pic>
    </xdr:grpSp>
    <xdr:clientData/>
  </xdr:twoCellAnchor>
  <xdr:twoCellAnchor>
    <xdr:from>
      <xdr:col>0</xdr:col>
      <xdr:colOff>323850</xdr:colOff>
      <xdr:row>23</xdr:row>
      <xdr:rowOff>85724</xdr:rowOff>
    </xdr:from>
    <xdr:to>
      <xdr:col>3</xdr:col>
      <xdr:colOff>142875</xdr:colOff>
      <xdr:row>28</xdr:row>
      <xdr:rowOff>47624</xdr:rowOff>
    </xdr:to>
    <xdr:grpSp>
      <xdr:nvGrpSpPr>
        <xdr:cNvPr id="149" name="Button 3">
          <a:extLst>
            <a:ext uri="{FF2B5EF4-FFF2-40B4-BE49-F238E27FC236}">
              <a16:creationId xmlns:a16="http://schemas.microsoft.com/office/drawing/2014/main" id="{416A14BE-ECE0-46D7-8278-42B0A09E1B19}"/>
            </a:ext>
          </a:extLst>
        </xdr:cNvPr>
        <xdr:cNvGrpSpPr/>
      </xdr:nvGrpSpPr>
      <xdr:grpSpPr>
        <a:xfrm>
          <a:off x="323850" y="4467224"/>
          <a:ext cx="1647825" cy="914400"/>
          <a:chOff x="323850" y="4467224"/>
          <a:chExt cx="1647825" cy="914400"/>
        </a:xfrm>
        <a:effectLst/>
      </xdr:grpSpPr>
      <xdr:sp macro="[0]!Page3" textlink="">
        <xdr:nvSpPr>
          <xdr:cNvPr id="139" name="Button 4">
            <a:extLst>
              <a:ext uri="{FF2B5EF4-FFF2-40B4-BE49-F238E27FC236}">
                <a16:creationId xmlns:a16="http://schemas.microsoft.com/office/drawing/2014/main" id="{7476289B-7C99-4422-9A6C-1058DDF57E67}"/>
              </a:ext>
            </a:extLst>
          </xdr:cNvPr>
          <xdr:cNvSpPr/>
        </xdr:nvSpPr>
        <xdr:spPr>
          <a:xfrm>
            <a:off x="323850" y="4467224"/>
            <a:ext cx="1647825" cy="914400"/>
          </a:xfrm>
          <a:prstGeom prst="flowChartTerminator">
            <a:avLst/>
          </a:prstGeom>
          <a:solidFill>
            <a:srgbClr val="B3B3B3"/>
          </a:solidFill>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ru-RU" sz="1600">
                <a:solidFill>
                  <a:srgbClr val="0047B3"/>
                </a:solidFill>
              </a:rPr>
              <a:t>Прогнозы</a:t>
            </a:r>
            <a:endParaRPr lang="en-US" sz="1600">
              <a:solidFill>
                <a:srgbClr val="0047B3"/>
              </a:solidFill>
            </a:endParaRPr>
          </a:p>
        </xdr:txBody>
      </xdr:sp>
      <xdr:pic macro="[0]!Page3">
        <xdr:nvPicPr>
          <xdr:cNvPr id="144" name="Picture 143">
            <a:extLst>
              <a:ext uri="{FF2B5EF4-FFF2-40B4-BE49-F238E27FC236}">
                <a16:creationId xmlns:a16="http://schemas.microsoft.com/office/drawing/2014/main" id="{C6386F8D-C816-4807-81D8-F43C2351337F}"/>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1428751" y="4695825"/>
            <a:ext cx="466724" cy="466724"/>
          </a:xfrm>
          <a:prstGeom prst="rect">
            <a:avLst/>
          </a:prstGeom>
          <a:effectLst/>
        </xdr:spPr>
      </xdr:pic>
    </xdr:grpSp>
    <xdr:clientData/>
  </xdr:twoCellAnchor>
  <xdr:twoCellAnchor>
    <xdr:from>
      <xdr:col>0</xdr:col>
      <xdr:colOff>323850</xdr:colOff>
      <xdr:row>17</xdr:row>
      <xdr:rowOff>104774</xdr:rowOff>
    </xdr:from>
    <xdr:to>
      <xdr:col>3</xdr:col>
      <xdr:colOff>140970</xdr:colOff>
      <xdr:row>22</xdr:row>
      <xdr:rowOff>66674</xdr:rowOff>
    </xdr:to>
    <xdr:grpSp>
      <xdr:nvGrpSpPr>
        <xdr:cNvPr id="148" name="Button 2">
          <a:extLst>
            <a:ext uri="{FF2B5EF4-FFF2-40B4-BE49-F238E27FC236}">
              <a16:creationId xmlns:a16="http://schemas.microsoft.com/office/drawing/2014/main" id="{096A3300-1E9C-4DF7-902E-9F13A434A6C1}"/>
            </a:ext>
          </a:extLst>
        </xdr:cNvPr>
        <xdr:cNvGrpSpPr/>
      </xdr:nvGrpSpPr>
      <xdr:grpSpPr>
        <a:xfrm>
          <a:off x="323850" y="3343274"/>
          <a:ext cx="1645920" cy="914400"/>
          <a:chOff x="323850" y="3343274"/>
          <a:chExt cx="1645920" cy="914400"/>
        </a:xfrm>
        <a:effectLst/>
      </xdr:grpSpPr>
      <xdr:sp macro="[0]!Page2" textlink="">
        <xdr:nvSpPr>
          <xdr:cNvPr id="6" name="Button 2 background">
            <a:extLst>
              <a:ext uri="{FF2B5EF4-FFF2-40B4-BE49-F238E27FC236}">
                <a16:creationId xmlns:a16="http://schemas.microsoft.com/office/drawing/2014/main" id="{AE67D315-0C90-4A6E-978D-AEA5C286AF09}"/>
              </a:ext>
            </a:extLst>
          </xdr:cNvPr>
          <xdr:cNvSpPr/>
        </xdr:nvSpPr>
        <xdr:spPr>
          <a:xfrm>
            <a:off x="323850" y="3343274"/>
            <a:ext cx="1645920" cy="914400"/>
          </a:xfrm>
          <a:prstGeom prst="flowChartTerminator">
            <a:avLst/>
          </a:prstGeom>
          <a:solidFill>
            <a:srgbClr val="B3B3B3"/>
          </a:solidFill>
          <a:effectLst>
            <a:glow rad="2286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ru-RU" sz="1600">
                <a:solidFill>
                  <a:srgbClr val="0047B3"/>
                </a:solidFill>
              </a:rPr>
              <a:t>Подробнее</a:t>
            </a:r>
            <a:endParaRPr lang="en-US" sz="1600">
              <a:solidFill>
                <a:srgbClr val="0047B3"/>
              </a:solidFill>
            </a:endParaRPr>
          </a:p>
        </xdr:txBody>
      </xdr:sp>
      <xdr:pic macro="[0]!Page2">
        <xdr:nvPicPr>
          <xdr:cNvPr id="146" name="Picture 145">
            <a:extLst>
              <a:ext uri="{FF2B5EF4-FFF2-40B4-BE49-F238E27FC236}">
                <a16:creationId xmlns:a16="http://schemas.microsoft.com/office/drawing/2014/main" id="{D40038CF-A419-4343-A48D-BABCB193BB7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447800" y="3571874"/>
            <a:ext cx="485775" cy="485775"/>
          </a:xfrm>
          <a:prstGeom prst="rect">
            <a:avLst/>
          </a:prstGeom>
          <a:effectLst>
            <a:glow rad="228600">
              <a:schemeClr val="accent1">
                <a:lumMod val="100000"/>
                <a:alpha val="40000"/>
              </a:schemeClr>
            </a:glow>
          </a:effectLst>
        </xdr:spPr>
      </xdr:pic>
    </xdr:grpSp>
    <xdr:clientData/>
  </xdr:twoCellAnchor>
  <xdr:twoCellAnchor>
    <xdr:from>
      <xdr:col>0</xdr:col>
      <xdr:colOff>323850</xdr:colOff>
      <xdr:row>11</xdr:row>
      <xdr:rowOff>123824</xdr:rowOff>
    </xdr:from>
    <xdr:to>
      <xdr:col>3</xdr:col>
      <xdr:colOff>140970</xdr:colOff>
      <xdr:row>16</xdr:row>
      <xdr:rowOff>85724</xdr:rowOff>
    </xdr:to>
    <xdr:grpSp>
      <xdr:nvGrpSpPr>
        <xdr:cNvPr id="88" name="Button 1">
          <a:extLst>
            <a:ext uri="{FF2B5EF4-FFF2-40B4-BE49-F238E27FC236}">
              <a16:creationId xmlns:a16="http://schemas.microsoft.com/office/drawing/2014/main" id="{B82EED77-13C2-44EE-988C-A51C18C0AD20}"/>
            </a:ext>
          </a:extLst>
        </xdr:cNvPr>
        <xdr:cNvGrpSpPr/>
      </xdr:nvGrpSpPr>
      <xdr:grpSpPr>
        <a:xfrm>
          <a:off x="323850" y="2219324"/>
          <a:ext cx="1645920" cy="914400"/>
          <a:chOff x="323850" y="2219324"/>
          <a:chExt cx="1645920" cy="914400"/>
        </a:xfrm>
      </xdr:grpSpPr>
      <xdr:sp macro="[0]!Page1" textlink="">
        <xdr:nvSpPr>
          <xdr:cNvPr id="7" name="Button 1 background">
            <a:extLst>
              <a:ext uri="{FF2B5EF4-FFF2-40B4-BE49-F238E27FC236}">
                <a16:creationId xmlns:a16="http://schemas.microsoft.com/office/drawing/2014/main" id="{9428627E-E176-4C6C-8B7D-8DFBC0FFE6DE}"/>
              </a:ext>
            </a:extLst>
          </xdr:cNvPr>
          <xdr:cNvSpPr/>
        </xdr:nvSpPr>
        <xdr:spPr>
          <a:xfrm>
            <a:off x="323850" y="2219324"/>
            <a:ext cx="1645920" cy="914400"/>
          </a:xfrm>
          <a:prstGeom prst="flowChartTerminator">
            <a:avLst/>
          </a:prstGeom>
          <a:solidFill>
            <a:srgbClr val="B3B3B3"/>
          </a:solidFill>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ru-RU" sz="1600">
                <a:solidFill>
                  <a:srgbClr val="0047B3"/>
                </a:solidFill>
                <a:latin typeface="+mn-lt"/>
              </a:rPr>
              <a:t>Основное</a:t>
            </a:r>
            <a:endParaRPr lang="en-US" sz="1600">
              <a:solidFill>
                <a:srgbClr val="0047B3"/>
              </a:solidFill>
              <a:latin typeface="+mn-lt"/>
            </a:endParaRPr>
          </a:p>
        </xdr:txBody>
      </xdr:sp>
      <xdr:pic macro="[0]!Page1">
        <xdr:nvPicPr>
          <xdr:cNvPr id="15" name="Graphic 14" descr="Water with solid fill">
            <a:extLst>
              <a:ext uri="{FF2B5EF4-FFF2-40B4-BE49-F238E27FC236}">
                <a16:creationId xmlns:a16="http://schemas.microsoft.com/office/drawing/2014/main" id="{B7C09360-DD5F-4FFA-8A4A-FA785696C984}"/>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343025" y="2428874"/>
            <a:ext cx="533399" cy="533399"/>
          </a:xfrm>
          <a:prstGeom prst="rect">
            <a:avLst/>
          </a:prstGeom>
          <a:effec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209550</xdr:colOff>
      <xdr:row>7</xdr:row>
      <xdr:rowOff>123825</xdr:rowOff>
    </xdr:from>
    <xdr:to>
      <xdr:col>4</xdr:col>
      <xdr:colOff>1752600</xdr:colOff>
      <xdr:row>23</xdr:row>
      <xdr:rowOff>9525</xdr:rowOff>
    </xdr:to>
    <xdr:graphicFrame macro="">
      <xdr:nvGraphicFramePr>
        <xdr:cNvPr id="2" name="Chart 1">
          <a:extLst>
            <a:ext uri="{FF2B5EF4-FFF2-40B4-BE49-F238E27FC236}">
              <a16:creationId xmlns:a16="http://schemas.microsoft.com/office/drawing/2014/main" id="{1D5E7533-2A86-42DF-865B-2A90F4141B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609600</xdr:colOff>
      <xdr:row>8</xdr:row>
      <xdr:rowOff>85725</xdr:rowOff>
    </xdr:from>
    <xdr:to>
      <xdr:col>4</xdr:col>
      <xdr:colOff>2181225</xdr:colOff>
      <xdr:row>23</xdr:row>
      <xdr:rowOff>161925</xdr:rowOff>
    </xdr:to>
    <xdr:graphicFrame macro="">
      <xdr:nvGraphicFramePr>
        <xdr:cNvPr id="2" name="Chart 1">
          <a:extLst>
            <a:ext uri="{FF2B5EF4-FFF2-40B4-BE49-F238E27FC236}">
              <a16:creationId xmlns:a16="http://schemas.microsoft.com/office/drawing/2014/main" id="{57266C8C-C34A-4EA0-93BD-047F83F07A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2281237</xdr:colOff>
      <xdr:row>12</xdr:row>
      <xdr:rowOff>161925</xdr:rowOff>
    </xdr:from>
    <xdr:to>
      <xdr:col>11</xdr:col>
      <xdr:colOff>128587</xdr:colOff>
      <xdr:row>28</xdr:row>
      <xdr:rowOff>47625</xdr:rowOff>
    </xdr:to>
    <xdr:graphicFrame macro="">
      <xdr:nvGraphicFramePr>
        <xdr:cNvPr id="2" name="Chart 1">
          <a:extLst>
            <a:ext uri="{FF2B5EF4-FFF2-40B4-BE49-F238E27FC236}">
              <a16:creationId xmlns:a16="http://schemas.microsoft.com/office/drawing/2014/main" id="{C995B063-8908-463A-9418-8622D19168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709612</xdr:colOff>
      <xdr:row>15</xdr:row>
      <xdr:rowOff>38100</xdr:rowOff>
    </xdr:from>
    <xdr:to>
      <xdr:col>4</xdr:col>
      <xdr:colOff>1081087</xdr:colOff>
      <xdr:row>30</xdr:row>
      <xdr:rowOff>114300</xdr:rowOff>
    </xdr:to>
    <xdr:graphicFrame macro="">
      <xdr:nvGraphicFramePr>
        <xdr:cNvPr id="2" name="Chart 1">
          <a:extLst>
            <a:ext uri="{FF2B5EF4-FFF2-40B4-BE49-F238E27FC236}">
              <a16:creationId xmlns:a16="http://schemas.microsoft.com/office/drawing/2014/main" id="{ACAD29C6-71B8-4AF5-8B46-3450D4AB9B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1243012</xdr:colOff>
      <xdr:row>12</xdr:row>
      <xdr:rowOff>161925</xdr:rowOff>
    </xdr:from>
    <xdr:to>
      <xdr:col>7</xdr:col>
      <xdr:colOff>138112</xdr:colOff>
      <xdr:row>28</xdr:row>
      <xdr:rowOff>47625</xdr:rowOff>
    </xdr:to>
    <xdr:graphicFrame macro="">
      <xdr:nvGraphicFramePr>
        <xdr:cNvPr id="2" name="Chart 1">
          <a:extLst>
            <a:ext uri="{FF2B5EF4-FFF2-40B4-BE49-F238E27FC236}">
              <a16:creationId xmlns:a16="http://schemas.microsoft.com/office/drawing/2014/main" id="{7C01191D-ADB1-4635-9754-E1FAF9EACE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1471612</xdr:colOff>
      <xdr:row>10</xdr:row>
      <xdr:rowOff>161925</xdr:rowOff>
    </xdr:from>
    <xdr:to>
      <xdr:col>8</xdr:col>
      <xdr:colOff>52387</xdr:colOff>
      <xdr:row>26</xdr:row>
      <xdr:rowOff>47625</xdr:rowOff>
    </xdr:to>
    <xdr:graphicFrame macro="">
      <xdr:nvGraphicFramePr>
        <xdr:cNvPr id="2" name="Chart 1">
          <a:extLst>
            <a:ext uri="{FF2B5EF4-FFF2-40B4-BE49-F238E27FC236}">
              <a16:creationId xmlns:a16="http://schemas.microsoft.com/office/drawing/2014/main" id="{E6360436-0EEB-4B72-B1EE-82F5BAE56C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1038225</xdr:colOff>
      <xdr:row>12</xdr:row>
      <xdr:rowOff>161925</xdr:rowOff>
    </xdr:from>
    <xdr:to>
      <xdr:col>13</xdr:col>
      <xdr:colOff>590550</xdr:colOff>
      <xdr:row>28</xdr:row>
      <xdr:rowOff>47625</xdr:rowOff>
    </xdr:to>
    <xdr:graphicFrame macro="">
      <xdr:nvGraphicFramePr>
        <xdr:cNvPr id="2" name="Chart 1">
          <a:extLst>
            <a:ext uri="{FF2B5EF4-FFF2-40B4-BE49-F238E27FC236}">
              <a16:creationId xmlns:a16="http://schemas.microsoft.com/office/drawing/2014/main" id="{141B30DF-F1DF-4CCF-B5AF-352C3CA088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147637</xdr:colOff>
      <xdr:row>12</xdr:row>
      <xdr:rowOff>161925</xdr:rowOff>
    </xdr:from>
    <xdr:to>
      <xdr:col>5</xdr:col>
      <xdr:colOff>576262</xdr:colOff>
      <xdr:row>28</xdr:row>
      <xdr:rowOff>47625</xdr:rowOff>
    </xdr:to>
    <xdr:graphicFrame macro="">
      <xdr:nvGraphicFramePr>
        <xdr:cNvPr id="2" name="Chart 1">
          <a:extLst>
            <a:ext uri="{FF2B5EF4-FFF2-40B4-BE49-F238E27FC236}">
              <a16:creationId xmlns:a16="http://schemas.microsoft.com/office/drawing/2014/main" id="{B9EAA7DC-CED2-440A-AE8A-FDEBF30867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1166812</xdr:colOff>
      <xdr:row>15</xdr:row>
      <xdr:rowOff>19050</xdr:rowOff>
    </xdr:from>
    <xdr:to>
      <xdr:col>8</xdr:col>
      <xdr:colOff>33337</xdr:colOff>
      <xdr:row>30</xdr:row>
      <xdr:rowOff>95250</xdr:rowOff>
    </xdr:to>
    <xdr:graphicFrame macro="">
      <xdr:nvGraphicFramePr>
        <xdr:cNvPr id="2" name="Chart 1">
          <a:extLst>
            <a:ext uri="{FF2B5EF4-FFF2-40B4-BE49-F238E27FC236}">
              <a16:creationId xmlns:a16="http://schemas.microsoft.com/office/drawing/2014/main" id="{1CD572FE-E686-45AB-86DC-B3F184DF70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219075</xdr:colOff>
      <xdr:row>77</xdr:row>
      <xdr:rowOff>85725</xdr:rowOff>
    </xdr:from>
    <xdr:to>
      <xdr:col>5</xdr:col>
      <xdr:colOff>285751</xdr:colOff>
      <xdr:row>98</xdr:row>
      <xdr:rowOff>171450</xdr:rowOff>
    </xdr:to>
    <xdr:graphicFrame macro="">
      <xdr:nvGraphicFramePr>
        <xdr:cNvPr id="2" name="Chart 1">
          <a:extLst>
            <a:ext uri="{FF2B5EF4-FFF2-40B4-BE49-F238E27FC236}">
              <a16:creationId xmlns:a16="http://schemas.microsoft.com/office/drawing/2014/main" id="{A0ED4910-6639-4A92-B488-A119C63D1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19050</xdr:colOff>
      <xdr:row>11</xdr:row>
      <xdr:rowOff>95250</xdr:rowOff>
    </xdr:from>
    <xdr:to>
      <xdr:col>8</xdr:col>
      <xdr:colOff>238125</xdr:colOff>
      <xdr:row>25</xdr:row>
      <xdr:rowOff>171450</xdr:rowOff>
    </xdr:to>
    <xdr:graphicFrame macro="">
      <xdr:nvGraphicFramePr>
        <xdr:cNvPr id="3" name="Chart 2">
          <a:extLst>
            <a:ext uri="{FF2B5EF4-FFF2-40B4-BE49-F238E27FC236}">
              <a16:creationId xmlns:a16="http://schemas.microsoft.com/office/drawing/2014/main" id="{7376BA8D-3CE2-4E2C-9F37-C5F585FF59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10</xdr:col>
      <xdr:colOff>261937</xdr:colOff>
      <xdr:row>77</xdr:row>
      <xdr:rowOff>95249</xdr:rowOff>
    </xdr:from>
    <xdr:to>
      <xdr:col>14</xdr:col>
      <xdr:colOff>247650</xdr:colOff>
      <xdr:row>96</xdr:row>
      <xdr:rowOff>57150</xdr:rowOff>
    </xdr:to>
    <xdr:graphicFrame macro="">
      <xdr:nvGraphicFramePr>
        <xdr:cNvPr id="4" name="Chart 3">
          <a:extLst>
            <a:ext uri="{FF2B5EF4-FFF2-40B4-BE49-F238E27FC236}">
              <a16:creationId xmlns:a16="http://schemas.microsoft.com/office/drawing/2014/main" id="{4A77887E-9398-4319-8EE2-DA95AEB33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176212</xdr:colOff>
      <xdr:row>12</xdr:row>
      <xdr:rowOff>123825</xdr:rowOff>
    </xdr:from>
    <xdr:to>
      <xdr:col>17</xdr:col>
      <xdr:colOff>352425</xdr:colOff>
      <xdr:row>27</xdr:row>
      <xdr:rowOff>9525</xdr:rowOff>
    </xdr:to>
    <xdr:graphicFrame macro="">
      <xdr:nvGraphicFramePr>
        <xdr:cNvPr id="5" name="Chart 4">
          <a:extLst>
            <a:ext uri="{FF2B5EF4-FFF2-40B4-BE49-F238E27FC236}">
              <a16:creationId xmlns:a16="http://schemas.microsoft.com/office/drawing/2014/main" id="{A7108241-D79A-499D-95D4-D6A4A5B84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523875</xdr:colOff>
      <xdr:row>12</xdr:row>
      <xdr:rowOff>161925</xdr:rowOff>
    </xdr:from>
    <xdr:to>
      <xdr:col>20</xdr:col>
      <xdr:colOff>428625</xdr:colOff>
      <xdr:row>27</xdr:row>
      <xdr:rowOff>47625</xdr:rowOff>
    </xdr:to>
    <xdr:graphicFrame macro="">
      <xdr:nvGraphicFramePr>
        <xdr:cNvPr id="6" name="Chart 5">
          <a:extLst>
            <a:ext uri="{FF2B5EF4-FFF2-40B4-BE49-F238E27FC236}">
              <a16:creationId xmlns:a16="http://schemas.microsoft.com/office/drawing/2014/main" id="{2162DE84-8183-4AD0-B05A-BF12AACCDF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581024</xdr:colOff>
      <xdr:row>11</xdr:row>
      <xdr:rowOff>171449</xdr:rowOff>
    </xdr:from>
    <xdr:to>
      <xdr:col>25</xdr:col>
      <xdr:colOff>447675</xdr:colOff>
      <xdr:row>25</xdr:row>
      <xdr:rowOff>142874</xdr:rowOff>
    </xdr:to>
    <xdr:graphicFrame macro="">
      <xdr:nvGraphicFramePr>
        <xdr:cNvPr id="7" name="Chart 6">
          <a:extLst>
            <a:ext uri="{FF2B5EF4-FFF2-40B4-BE49-F238E27FC236}">
              <a16:creationId xmlns:a16="http://schemas.microsoft.com/office/drawing/2014/main" id="{3A0BFFDA-2999-4006-A718-FEC11D8D5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9524</xdr:colOff>
      <xdr:row>14</xdr:row>
      <xdr:rowOff>85725</xdr:rowOff>
    </xdr:from>
    <xdr:to>
      <xdr:col>29</xdr:col>
      <xdr:colOff>1095374</xdr:colOff>
      <xdr:row>41</xdr:row>
      <xdr:rowOff>95250</xdr:rowOff>
    </xdr:to>
    <mc:AlternateContent xmlns:mc="http://schemas.openxmlformats.org/markup-compatibility/2006" xmlns:a14="http://schemas.microsoft.com/office/drawing/2010/main">
      <mc:Choice Requires="a14">
        <xdr:graphicFrame macro="">
          <xdr:nvGraphicFramePr>
            <xdr:cNvPr id="9" name="Месяц ">
              <a:extLst>
                <a:ext uri="{FF2B5EF4-FFF2-40B4-BE49-F238E27FC236}">
                  <a16:creationId xmlns:a16="http://schemas.microsoft.com/office/drawing/2014/main" id="{7FC7F441-21D5-4F81-AB51-B0E40FB23674}"/>
                </a:ext>
              </a:extLst>
            </xdr:cNvPr>
            <xdr:cNvGraphicFramePr/>
          </xdr:nvGraphicFramePr>
          <xdr:xfrm>
            <a:off x="0" y="0"/>
            <a:ext cx="0" cy="0"/>
          </xdr:xfrm>
          <a:graphic>
            <a:graphicData uri="http://schemas.microsoft.com/office/drawing/2010/slicer">
              <sle:slicer xmlns:sle="http://schemas.microsoft.com/office/drawing/2010/slicer" name="Месяц "/>
            </a:graphicData>
          </a:graphic>
        </xdr:graphicFrame>
      </mc:Choice>
      <mc:Fallback xmlns="">
        <xdr:sp macro="" textlink="">
          <xdr:nvSpPr>
            <xdr:cNvPr id="0" name=""/>
            <xdr:cNvSpPr>
              <a:spLocks noTextEdit="1"/>
            </xdr:cNvSpPr>
          </xdr:nvSpPr>
          <xdr:spPr>
            <a:xfrm>
              <a:off x="27355799" y="2752725"/>
              <a:ext cx="6448425" cy="515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1352550</xdr:colOff>
      <xdr:row>5</xdr:row>
      <xdr:rowOff>104774</xdr:rowOff>
    </xdr:from>
    <xdr:to>
      <xdr:col>33</xdr:col>
      <xdr:colOff>838200</xdr:colOff>
      <xdr:row>27</xdr:row>
      <xdr:rowOff>76199</xdr:rowOff>
    </xdr:to>
    <xdr:graphicFrame macro="">
      <xdr:nvGraphicFramePr>
        <xdr:cNvPr id="10" name="Chart 9">
          <a:extLst>
            <a:ext uri="{FF2B5EF4-FFF2-40B4-BE49-F238E27FC236}">
              <a16:creationId xmlns:a16="http://schemas.microsoft.com/office/drawing/2014/main" id="{70F5E64A-EEB0-49A8-A128-6F518402C4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36</xdr:col>
      <xdr:colOff>161925</xdr:colOff>
      <xdr:row>23</xdr:row>
      <xdr:rowOff>47625</xdr:rowOff>
    </xdr:from>
    <xdr:to>
      <xdr:col>37</xdr:col>
      <xdr:colOff>676275</xdr:colOff>
      <xdr:row>36</xdr:row>
      <xdr:rowOff>95250</xdr:rowOff>
    </xdr:to>
    <mc:AlternateContent xmlns:mc="http://schemas.openxmlformats.org/markup-compatibility/2006" xmlns:a14="http://schemas.microsoft.com/office/drawing/2010/main">
      <mc:Choice Requires="a14">
        <xdr:graphicFrame macro="">
          <xdr:nvGraphicFramePr>
            <xdr:cNvPr id="11" name="Месяц  1">
              <a:extLst>
                <a:ext uri="{FF2B5EF4-FFF2-40B4-BE49-F238E27FC236}">
                  <a16:creationId xmlns:a16="http://schemas.microsoft.com/office/drawing/2014/main" id="{880A98B2-AC24-43D5-A547-BBC2198C5506}"/>
                </a:ext>
              </a:extLst>
            </xdr:cNvPr>
            <xdr:cNvGraphicFramePr/>
          </xdr:nvGraphicFramePr>
          <xdr:xfrm>
            <a:off x="0" y="0"/>
            <a:ext cx="0" cy="0"/>
          </xdr:xfrm>
          <a:graphic>
            <a:graphicData uri="http://schemas.microsoft.com/office/drawing/2010/slicer">
              <sle:slicer xmlns:sle="http://schemas.microsoft.com/office/drawing/2010/slicer" name="Месяц  1"/>
            </a:graphicData>
          </a:graphic>
        </xdr:graphicFrame>
      </mc:Choice>
      <mc:Fallback xmlns="">
        <xdr:sp macro="" textlink="">
          <xdr:nvSpPr>
            <xdr:cNvPr id="0" name=""/>
            <xdr:cNvSpPr>
              <a:spLocks noTextEdit="1"/>
            </xdr:cNvSpPr>
          </xdr:nvSpPr>
          <xdr:spPr>
            <a:xfrm>
              <a:off x="45958125" y="4429125"/>
              <a:ext cx="3238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36</xdr:col>
      <xdr:colOff>214312</xdr:colOff>
      <xdr:row>3</xdr:row>
      <xdr:rowOff>9525</xdr:rowOff>
    </xdr:from>
    <xdr:to>
      <xdr:col>38</xdr:col>
      <xdr:colOff>361950</xdr:colOff>
      <xdr:row>22</xdr:row>
      <xdr:rowOff>28575</xdr:rowOff>
    </xdr:to>
    <xdr:graphicFrame macro="">
      <xdr:nvGraphicFramePr>
        <xdr:cNvPr id="12" name="Chart 11">
          <a:extLst>
            <a:ext uri="{FF2B5EF4-FFF2-40B4-BE49-F238E27FC236}">
              <a16:creationId xmlns:a16="http://schemas.microsoft.com/office/drawing/2014/main" id="{97FE4A7E-E4A6-4E7F-8192-84502D82F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38</xdr:col>
      <xdr:colOff>1919287</xdr:colOff>
      <xdr:row>23</xdr:row>
      <xdr:rowOff>47625</xdr:rowOff>
    </xdr:from>
    <xdr:to>
      <xdr:col>42</xdr:col>
      <xdr:colOff>1824037</xdr:colOff>
      <xdr:row>37</xdr:row>
      <xdr:rowOff>123825</xdr:rowOff>
    </xdr:to>
    <xdr:graphicFrame macro="">
      <xdr:nvGraphicFramePr>
        <xdr:cNvPr id="15" name="Chart 14">
          <a:extLst>
            <a:ext uri="{FF2B5EF4-FFF2-40B4-BE49-F238E27FC236}">
              <a16:creationId xmlns:a16="http://schemas.microsoft.com/office/drawing/2014/main" id="{9B0DFE91-3587-462A-8657-910C52FB2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871537</xdr:colOff>
      <xdr:row>109</xdr:row>
      <xdr:rowOff>57150</xdr:rowOff>
    </xdr:from>
    <xdr:to>
      <xdr:col>13</xdr:col>
      <xdr:colOff>1223962</xdr:colOff>
      <xdr:row>123</xdr:row>
      <xdr:rowOff>133350</xdr:rowOff>
    </xdr:to>
    <xdr:graphicFrame macro="">
      <xdr:nvGraphicFramePr>
        <xdr:cNvPr id="8" name="Chart 7">
          <a:extLst>
            <a:ext uri="{FF2B5EF4-FFF2-40B4-BE49-F238E27FC236}">
              <a16:creationId xmlns:a16="http://schemas.microsoft.com/office/drawing/2014/main" id="{A4D60DB3-8AD2-4701-8D24-3DC64D25FC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566737</xdr:colOff>
      <xdr:row>28</xdr:row>
      <xdr:rowOff>28575</xdr:rowOff>
    </xdr:from>
    <xdr:to>
      <xdr:col>20</xdr:col>
      <xdr:colOff>776287</xdr:colOff>
      <xdr:row>42</xdr:row>
      <xdr:rowOff>104775</xdr:rowOff>
    </xdr:to>
    <xdr:graphicFrame macro="">
      <xdr:nvGraphicFramePr>
        <xdr:cNvPr id="13" name="Chart 12">
          <a:extLst>
            <a:ext uri="{FF2B5EF4-FFF2-40B4-BE49-F238E27FC236}">
              <a16:creationId xmlns:a16="http://schemas.microsoft.com/office/drawing/2014/main" id="{007F8279-CE97-4407-ABD5-B18D2B19A1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1428750</xdr:colOff>
      <xdr:row>6</xdr:row>
      <xdr:rowOff>9524</xdr:rowOff>
    </xdr:from>
    <xdr:to>
      <xdr:col>45</xdr:col>
      <xdr:colOff>57150</xdr:colOff>
      <xdr:row>23</xdr:row>
      <xdr:rowOff>114299</xdr:rowOff>
    </xdr:to>
    <xdr:graphicFrame macro="">
      <xdr:nvGraphicFramePr>
        <xdr:cNvPr id="18" name="Chart 17">
          <a:extLst>
            <a:ext uri="{FF2B5EF4-FFF2-40B4-BE49-F238E27FC236}">
              <a16:creationId xmlns:a16="http://schemas.microsoft.com/office/drawing/2014/main" id="{B5B1574E-81C6-4F8B-A999-EF40F57098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219075</xdr:colOff>
      <xdr:row>22</xdr:row>
      <xdr:rowOff>47625</xdr:rowOff>
    </xdr:from>
    <xdr:to>
      <xdr:col>8</xdr:col>
      <xdr:colOff>1181100</xdr:colOff>
      <xdr:row>36</xdr:row>
      <xdr:rowOff>123825</xdr:rowOff>
    </xdr:to>
    <xdr:graphicFrame macro="">
      <xdr:nvGraphicFramePr>
        <xdr:cNvPr id="2" name="Chart 1">
          <a:extLst>
            <a:ext uri="{FF2B5EF4-FFF2-40B4-BE49-F238E27FC236}">
              <a16:creationId xmlns:a16="http://schemas.microsoft.com/office/drawing/2014/main" id="{BA354520-8BA9-4626-84C0-3F34134D20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923925</xdr:colOff>
      <xdr:row>18</xdr:row>
      <xdr:rowOff>133350</xdr:rowOff>
    </xdr:from>
    <xdr:to>
      <xdr:col>17</xdr:col>
      <xdr:colOff>190500</xdr:colOff>
      <xdr:row>38</xdr:row>
      <xdr:rowOff>38100</xdr:rowOff>
    </xdr:to>
    <xdr:graphicFrame macro="">
      <xdr:nvGraphicFramePr>
        <xdr:cNvPr id="3" name="Chart 2">
          <a:extLst>
            <a:ext uri="{FF2B5EF4-FFF2-40B4-BE49-F238E27FC236}">
              <a16:creationId xmlns:a16="http://schemas.microsoft.com/office/drawing/2014/main" id="{8B115BB5-9B6D-4949-AB2F-136A9CCBF0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xdr:row>
      <xdr:rowOff>104775</xdr:rowOff>
    </xdr:from>
    <xdr:to>
      <xdr:col>5</xdr:col>
      <xdr:colOff>342900</xdr:colOff>
      <xdr:row>20</xdr:row>
      <xdr:rowOff>180975</xdr:rowOff>
    </xdr:to>
    <xdr:graphicFrame macro="">
      <xdr:nvGraphicFramePr>
        <xdr:cNvPr id="4" name="Chart 3">
          <a:extLst>
            <a:ext uri="{FF2B5EF4-FFF2-40B4-BE49-F238E27FC236}">
              <a16:creationId xmlns:a16="http://schemas.microsoft.com/office/drawing/2014/main" id="{8771CAE9-9F31-46F1-A8CF-C4565B745C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38100</xdr:colOff>
      <xdr:row>8</xdr:row>
      <xdr:rowOff>133350</xdr:rowOff>
    </xdr:from>
    <xdr:to>
      <xdr:col>29</xdr:col>
      <xdr:colOff>523875</xdr:colOff>
      <xdr:row>23</xdr:row>
      <xdr:rowOff>19050</xdr:rowOff>
    </xdr:to>
    <xdr:graphicFrame macro="">
      <xdr:nvGraphicFramePr>
        <xdr:cNvPr id="5" name="Chart 4">
          <a:extLst>
            <a:ext uri="{FF2B5EF4-FFF2-40B4-BE49-F238E27FC236}">
              <a16:creationId xmlns:a16="http://schemas.microsoft.com/office/drawing/2014/main" id="{CDA21CC4-A244-4EF3-9B76-5361B6B7A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314325</xdr:colOff>
      <xdr:row>37</xdr:row>
      <xdr:rowOff>180975</xdr:rowOff>
    </xdr:from>
    <xdr:to>
      <xdr:col>5</xdr:col>
      <xdr:colOff>390525</xdr:colOff>
      <xdr:row>52</xdr:row>
      <xdr:rowOff>66675</xdr:rowOff>
    </xdr:to>
    <xdr:graphicFrame macro="">
      <xdr:nvGraphicFramePr>
        <xdr:cNvPr id="6" name="Chart 5">
          <a:extLst>
            <a:ext uri="{FF2B5EF4-FFF2-40B4-BE49-F238E27FC236}">
              <a16:creationId xmlns:a16="http://schemas.microsoft.com/office/drawing/2014/main" id="{479C18E6-1789-4E2D-9D59-A7701107BA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400050</xdr:colOff>
      <xdr:row>53</xdr:row>
      <xdr:rowOff>180975</xdr:rowOff>
    </xdr:from>
    <xdr:to>
      <xdr:col>5</xdr:col>
      <xdr:colOff>476250</xdr:colOff>
      <xdr:row>68</xdr:row>
      <xdr:rowOff>66675</xdr:rowOff>
    </xdr:to>
    <xdr:graphicFrame macro="">
      <xdr:nvGraphicFramePr>
        <xdr:cNvPr id="7" name="Chart 6">
          <a:extLst>
            <a:ext uri="{FF2B5EF4-FFF2-40B4-BE49-F238E27FC236}">
              <a16:creationId xmlns:a16="http://schemas.microsoft.com/office/drawing/2014/main" id="{EED2FC63-13ED-4EA2-9754-607B75DCB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1438275</xdr:colOff>
      <xdr:row>25</xdr:row>
      <xdr:rowOff>161926</xdr:rowOff>
    </xdr:from>
    <xdr:to>
      <xdr:col>8</xdr:col>
      <xdr:colOff>19050</xdr:colOff>
      <xdr:row>36</xdr:row>
      <xdr:rowOff>66676</xdr:rowOff>
    </xdr:to>
    <mc:AlternateContent xmlns:mc="http://schemas.openxmlformats.org/markup-compatibility/2006" xmlns:a14="http://schemas.microsoft.com/office/drawing/2010/main">
      <mc:Choice Requires="a14">
        <xdr:graphicFrame macro="">
          <xdr:nvGraphicFramePr>
            <xdr:cNvPr id="4" name="Years">
              <a:extLst>
                <a:ext uri="{FF2B5EF4-FFF2-40B4-BE49-F238E27FC236}">
                  <a16:creationId xmlns:a16="http://schemas.microsoft.com/office/drawing/2014/main" id="{E25BA031-B832-4C78-BFA6-9534E057517D}"/>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7058025" y="4924426"/>
              <a:ext cx="62865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909637</xdr:colOff>
      <xdr:row>8</xdr:row>
      <xdr:rowOff>133350</xdr:rowOff>
    </xdr:from>
    <xdr:to>
      <xdr:col>11</xdr:col>
      <xdr:colOff>109537</xdr:colOff>
      <xdr:row>23</xdr:row>
      <xdr:rowOff>19050</xdr:rowOff>
    </xdr:to>
    <xdr:graphicFrame macro="">
      <xdr:nvGraphicFramePr>
        <xdr:cNvPr id="6" name="Chart 5">
          <a:extLst>
            <a:ext uri="{FF2B5EF4-FFF2-40B4-BE49-F238E27FC236}">
              <a16:creationId xmlns:a16="http://schemas.microsoft.com/office/drawing/2014/main" id="{210998CB-3802-4595-8B4A-B50550F8AD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742950</xdr:colOff>
      <xdr:row>9</xdr:row>
      <xdr:rowOff>142875</xdr:rowOff>
    </xdr:from>
    <xdr:to>
      <xdr:col>10</xdr:col>
      <xdr:colOff>28575</xdr:colOff>
      <xdr:row>12</xdr:row>
      <xdr:rowOff>9524</xdr:rowOff>
    </xdr:to>
    <mc:AlternateContent xmlns:mc="http://schemas.openxmlformats.org/markup-compatibility/2006" xmlns:a14="http://schemas.microsoft.com/office/drawing/2010/main">
      <mc:Choice Requires="a14">
        <xdr:graphicFrame macro="">
          <xdr:nvGraphicFramePr>
            <xdr:cNvPr id="2" name="Years 2">
              <a:extLst>
                <a:ext uri="{FF2B5EF4-FFF2-40B4-BE49-F238E27FC236}">
                  <a16:creationId xmlns:a16="http://schemas.microsoft.com/office/drawing/2014/main" id="{E408C043-87A3-406A-A0CD-7EBBEEDF6AD1}"/>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7581900" y="1857375"/>
              <a:ext cx="4143375" cy="438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547687</xdr:colOff>
      <xdr:row>22</xdr:row>
      <xdr:rowOff>123825</xdr:rowOff>
    </xdr:from>
    <xdr:to>
      <xdr:col>5</xdr:col>
      <xdr:colOff>133350</xdr:colOff>
      <xdr:row>38</xdr:row>
      <xdr:rowOff>161924</xdr:rowOff>
    </xdr:to>
    <xdr:graphicFrame macro="">
      <xdr:nvGraphicFramePr>
        <xdr:cNvPr id="3" name="Chart 2">
          <a:extLst>
            <a:ext uri="{FF2B5EF4-FFF2-40B4-BE49-F238E27FC236}">
              <a16:creationId xmlns:a16="http://schemas.microsoft.com/office/drawing/2014/main" id="{9CB3F060-4A47-4412-A2A9-8BC73861A2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119062</xdr:colOff>
      <xdr:row>22</xdr:row>
      <xdr:rowOff>104775</xdr:rowOff>
    </xdr:from>
    <xdr:to>
      <xdr:col>14</xdr:col>
      <xdr:colOff>1490662</xdr:colOff>
      <xdr:row>36</xdr:row>
      <xdr:rowOff>180975</xdr:rowOff>
    </xdr:to>
    <xdr:graphicFrame macro="">
      <xdr:nvGraphicFramePr>
        <xdr:cNvPr id="4" name="Chart 3">
          <a:extLst>
            <a:ext uri="{FF2B5EF4-FFF2-40B4-BE49-F238E27FC236}">
              <a16:creationId xmlns:a16="http://schemas.microsoft.com/office/drawing/2014/main" id="{7C362E2D-A1F2-4DFA-B91A-D41B0B3DC4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11</xdr:row>
      <xdr:rowOff>26257</xdr:rowOff>
    </xdr:from>
    <xdr:to>
      <xdr:col>12</xdr:col>
      <xdr:colOff>341516</xdr:colOff>
      <xdr:row>49</xdr:row>
      <xdr:rowOff>47625</xdr:rowOff>
    </xdr:to>
    <xdr:graphicFrame macro="">
      <xdr:nvGraphicFramePr>
        <xdr:cNvPr id="3" name="Bubbles">
          <a:extLst>
            <a:ext uri="{FF2B5EF4-FFF2-40B4-BE49-F238E27FC236}">
              <a16:creationId xmlns:a16="http://schemas.microsoft.com/office/drawing/2014/main" id="{B907ADBC-F6D4-4AC0-B5FD-296442EBAC2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123825</xdr:colOff>
      <xdr:row>14</xdr:row>
      <xdr:rowOff>161925</xdr:rowOff>
    </xdr:from>
    <xdr:to>
      <xdr:col>2</xdr:col>
      <xdr:colOff>614363</xdr:colOff>
      <xdr:row>18</xdr:row>
      <xdr:rowOff>133350</xdr:rowOff>
    </xdr:to>
    <xdr:pic>
      <xdr:nvPicPr>
        <xdr:cNvPr id="4" name="logo">
          <a:extLst>
            <a:ext uri="{FF2B5EF4-FFF2-40B4-BE49-F238E27FC236}">
              <a16:creationId xmlns:a16="http://schemas.microsoft.com/office/drawing/2014/main" id="{05F0D19B-F0C9-49A4-8599-C675106C17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3425" y="2828925"/>
          <a:ext cx="1833563" cy="733425"/>
        </a:xfrm>
        <a:prstGeom prst="rect">
          <a:avLst/>
        </a:prstGeom>
        <a:noFill/>
        <a:ln w="57150" cmpd="sng">
          <a:no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ugene Arkhipov" refreshedDate="44940.086598263886" createdVersion="7" refreshedVersion="7" minRefreshableVersion="3" recordCount="78" xr:uid="{8346A77D-A0CA-4E8C-960F-B69CB6C73D90}">
  <cacheSource type="worksheet">
    <worksheetSource ref="A1:AD79" sheet="Long Data"/>
  </cacheSource>
  <cacheFields count="30">
    <cacheField name="Месяц " numFmtId="0">
      <sharedItems containsDate="1" containsMixedTypes="1" minDate="2017-01-01T00:00:00" maxDate="2022-12-02T00:00:00" count="78">
        <d v="2017-01-01T00:00:00"/>
        <d v="2017-02-01T00:00:00"/>
        <d v="2017-03-01T00:00:00"/>
        <d v="2017-04-01T00:00:00"/>
        <d v="2017-05-01T00:00:00"/>
        <d v="2017-06-01T00:00:00"/>
        <d v="2017-07-01T00:00:00"/>
        <d v="2017-08-01T00:00:00"/>
        <d v="2017-09-01T00:00:00"/>
        <d v="2017-10-01T00:00:00"/>
        <d v="2017-11-01T00:00:00"/>
        <d v="2017-12-01T00:00:00"/>
        <s v="ИТОГ 2017"/>
        <d v="2018-01-01T00:00:00"/>
        <d v="2018-02-01T00:00:00"/>
        <d v="2018-03-01T00:00:00"/>
        <d v="2018-04-01T00:00:00"/>
        <d v="2018-05-01T00:00:00"/>
        <d v="2018-06-01T00:00:00"/>
        <d v="2018-07-01T00:00:00"/>
        <d v="2018-08-01T00:00:00"/>
        <d v="2018-09-01T00:00:00"/>
        <d v="2018-10-01T00:00:00"/>
        <d v="2018-11-01T00:00:00"/>
        <d v="2018-12-01T00:00:00"/>
        <s v="ИТОГ 2018"/>
        <d v="2019-01-01T00:00:00"/>
        <d v="2019-02-01T00:00:00"/>
        <d v="2019-03-01T00:00:00"/>
        <d v="2019-04-01T00:00:00"/>
        <d v="2019-05-01T00:00:00"/>
        <d v="2019-06-01T00:00:00"/>
        <d v="2019-07-01T00:00:00"/>
        <d v="2019-08-01T00:00:00"/>
        <d v="2019-09-01T00:00:00"/>
        <d v="2019-10-01T00:00:00"/>
        <d v="2019-11-01T00:00:00"/>
        <d v="2019-12-01T00:00:00"/>
        <s v="ИТОГ 2019"/>
        <d v="2020-01-01T00:00:00"/>
        <d v="2020-02-01T00:00:00"/>
        <d v="2020-03-01T00:00:00"/>
        <d v="2020-04-01T00:00:00"/>
        <d v="2020-05-01T00:00:00"/>
        <d v="2020-06-01T00:00:00"/>
        <d v="2020-07-01T00:00:00"/>
        <d v="2020-08-01T00:00:00"/>
        <d v="2020-09-01T00:00:00"/>
        <d v="2020-10-01T00:00:00"/>
        <d v="2020-11-01T00:00:00"/>
        <d v="2020-12-01T00:00:00"/>
        <s v="ИТОГ 2020"/>
        <d v="2021-01-01T00:00:00"/>
        <d v="2021-02-01T00:00:00"/>
        <d v="2021-03-01T00:00:00"/>
        <d v="2021-04-01T00:00:00"/>
        <d v="2021-05-01T00:00:00"/>
        <d v="2021-06-01T00:00:00"/>
        <d v="2021-07-01T00:00:00"/>
        <d v="2021-08-01T00:00:00"/>
        <d v="2021-09-01T00:00:00"/>
        <d v="2021-10-01T00:00:00"/>
        <d v="2021-11-01T00:00:00"/>
        <d v="2021-12-01T00:00:00"/>
        <s v="ИТОГ 2021"/>
        <d v="2022-01-01T00:00:00"/>
        <d v="2022-02-01T00:00:00"/>
        <d v="2022-03-01T00:00:00"/>
        <d v="2022-04-01T00:00:00"/>
        <d v="2022-05-01T00:00:00"/>
        <d v="2022-06-01T00:00:00"/>
        <d v="2022-07-01T00:00:00"/>
        <d v="2022-08-01T00:00:00"/>
        <d v="2022-09-01T00:00:00"/>
        <d v="2022-10-01T00:00:00"/>
        <d v="2022-11-01T00:00:00"/>
        <d v="2022-12-01T00:00:00"/>
        <s v="ИТОГ 2022"/>
      </sharedItems>
    </cacheField>
    <cacheField name="Выручка" numFmtId="164">
      <sharedItems containsSemiMixedTypes="0" containsString="0" containsNumber="1" minValue="5978967" maxValue="159104486.56000003"/>
    </cacheField>
    <cacheField name="% прироста год к году" numFmtId="10">
      <sharedItems containsString="0" containsBlank="1" containsNumber="1" minValue="-0.36889804337133036" maxValue="0.83235889221243697"/>
    </cacheField>
    <cacheField name="Себестоимость" numFmtId="164">
      <sharedItems containsSemiMixedTypes="0" containsString="0" containsNumber="1" minValue="2537994.11" maxValue="67894674.179999992"/>
    </cacheField>
    <cacheField name="% прироста год к году2" numFmtId="10">
      <sharedItems containsString="0" containsBlank="1" containsNumber="1" minValue="-0.46001501524570509" maxValue="1.1477670319119815"/>
    </cacheField>
    <cacheField name="Валовая прибыль" numFmtId="164">
      <sharedItems containsSemiMixedTypes="0" containsString="0" containsNumber="1" minValue="3409234" maxValue="91209812.379999995"/>
    </cacheField>
    <cacheField name="% прироста год к году3" numFmtId="10">
      <sharedItems containsString="0" containsBlank="1" containsNumber="1" minValue="-0.36857655670190137" maxValue="0.60511931375580308"/>
    </cacheField>
    <cacheField name="Маржинальность" numFmtId="10">
      <sharedItems containsSemiMixedTypes="0" containsString="0" containsNumber="1" minValue="0.38825087051509349" maxValue="0.63530566357205642"/>
    </cacheField>
    <cacheField name="Расходы суммарно" numFmtId="164">
      <sharedItems containsSemiMixedTypes="0" containsString="0" containsNumber="1" minValue="2440127" maxValue="66318441"/>
    </cacheField>
    <cacheField name="% прироста год к году4" numFmtId="10">
      <sharedItems containsString="0" containsBlank="1" containsNumber="1" minValue="-0.45139804209876122" maxValue="0.92898894196900406"/>
    </cacheField>
    <cacheField name="Маркетинговые расходы" numFmtId="164">
      <sharedItems containsSemiMixedTypes="0" containsString="0" containsNumber="1" minValue="242045" maxValue="11620986"/>
    </cacheField>
    <cacheField name="% прироста год к году5" numFmtId="10">
      <sharedItems containsString="0" containsBlank="1" containsNumber="1" minValue="-0.65170919442434461" maxValue="1.8925947179979792"/>
    </cacheField>
    <cacheField name="Расходы на ФОТ" numFmtId="164">
      <sharedItems containsSemiMixedTypes="0" containsString="0" containsNumber="1" minValue="852043" maxValue="45982287"/>
    </cacheField>
    <cacheField name="% прироста год к году6" numFmtId="10">
      <sharedItems containsString="0" containsBlank="1" containsNumber="1" minValue="-0.59901968777112469" maxValue="2.1342009734250502"/>
    </cacheField>
    <cacheField name="Расходы на аренду" numFmtId="164">
      <sharedItems containsSemiMixedTypes="0" containsString="0" containsNumber="1" minValue="102515.87" maxValue="6923541"/>
    </cacheField>
    <cacheField name="% прироста год к году7" numFmtId="10">
      <sharedItems containsString="0" containsBlank="1" containsNumber="1" minValue="-0.80144858120657969" maxValue="0.79967257752385068"/>
    </cacheField>
    <cacheField name="Расходы на интернет и телефонию" numFmtId="164">
      <sharedItems containsSemiMixedTypes="0" containsString="0" containsNumber="1" minValue="63745" maxValue="3567662"/>
    </cacheField>
    <cacheField name="% прироста год к году8" numFmtId="10">
      <sharedItems containsString="0" containsBlank="1" containsNumber="1" minValue="-0.31189276659307252" maxValue="2.5128402227625695"/>
    </cacheField>
    <cacheField name="Транспортные расходы" numFmtId="164">
      <sharedItems containsSemiMixedTypes="0" containsString="0" containsNumber="1" minValue="163062" maxValue="4689423"/>
    </cacheField>
    <cacheField name="% прироста год к году9" numFmtId="10">
      <sharedItems containsString="0" containsBlank="1" containsNumber="1" minValue="-0.47908236647283808" maxValue="0.59691431688772201"/>
    </cacheField>
    <cacheField name="Офисные расходы" numFmtId="164">
      <sharedItems containsSemiMixedTypes="0" containsString="0" containsNumber="1" containsInteger="1" minValue="20680" maxValue="4410485"/>
    </cacheField>
    <cacheField name="% прироста год к году10" numFmtId="10">
      <sharedItems containsString="0" containsBlank="1" containsNumber="1" minValue="-0.89376741408114224" maxValue="4.8115381641017709"/>
    </cacheField>
    <cacheField name="Финансовые расходы" numFmtId="164">
      <sharedItems containsSemiMixedTypes="0" containsString="0" containsNumber="1" minValue="10288" maxValue="3252215"/>
    </cacheField>
    <cacheField name="% прироста год к году11" numFmtId="10">
      <sharedItems containsString="0" containsBlank="1" containsNumber="1" minValue="-0.80912735563991256" maxValue="8.3105363843720106"/>
    </cacheField>
    <cacheField name="EBITDA" numFmtId="164">
      <sharedItems containsSemiMixedTypes="0" containsString="0" containsNumber="1" minValue="-1342766.1099999999" maxValue="26997589.379999999"/>
    </cacheField>
    <cacheField name="% прироста год к году12" numFmtId="10">
      <sharedItems containsString="0" containsBlank="1" containsNumber="1" minValue="-18.299119257999774" maxValue="5.1253155490334805"/>
    </cacheField>
    <cacheField name="Налоги" numFmtId="164">
      <sharedItems containsSemiMixedTypes="0" containsString="0" containsNumber="1" minValue="66184" maxValue="7263825"/>
    </cacheField>
    <cacheField name="% прироста год к году13" numFmtId="10">
      <sharedItems containsString="0" containsBlank="1" containsNumber="1" minValue="-0.62047481747517153" maxValue="4.5763025654588736"/>
    </cacheField>
    <cacheField name="Чистая прибыль" numFmtId="164">
      <sharedItems containsSemiMixedTypes="0" containsString="0" containsNumber="1" minValue="-1650328.1099999999" maxValue="21192281.590000004"/>
    </cacheField>
    <cacheField name="% прироста год к году14" numFmtId="10">
      <sharedItems containsString="0" containsBlank="1" containsNumber="1" minValue="-15.056401291518654" maxValue="22.652114099008941"/>
    </cacheField>
  </cacheFields>
  <extLst>
    <ext xmlns:x14="http://schemas.microsoft.com/office/spreadsheetml/2009/9/main" uri="{725AE2AE-9491-48be-B2B4-4EB974FC3084}">
      <x14:pivotCacheDefinition pivotCacheId="9749993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ugene Arkhipov" refreshedDate="44940.086600462964" createdVersion="7" refreshedVersion="7" minRefreshableVersion="3" recordCount="6" xr:uid="{05AB3C75-29E2-4ED2-B8D9-89749A2F1FA6}">
  <cacheSource type="worksheet">
    <worksheetSource ref="A1:AD7" sheet="Only Totals"/>
  </cacheSource>
  <cacheFields count="34">
    <cacheField name="Месяц " numFmtId="168">
      <sharedItems containsSemiMixedTypes="0" containsNonDate="0" containsDate="1" containsString="0" minDate="2017-01-01T00:00:00" maxDate="2022-01-02T00:00:00" count="6">
        <d v="2017-01-01T00:00:00"/>
        <d v="2018-01-01T00:00:00"/>
        <d v="2019-01-01T00:00:00"/>
        <d v="2020-01-01T00:00:00"/>
        <d v="2021-01-01T00:00:00"/>
        <d v="2022-01-01T00:00:00"/>
      </sharedItems>
      <fieldGroup par="31" base="0">
        <rangePr groupBy="months" startDate="2017-01-01T00:00:00" endDate="2022-01-02T00:00:00"/>
        <groupItems count="14">
          <s v="&lt;1/1/2017"/>
          <s v="Jan"/>
          <s v="Feb"/>
          <s v="Mar"/>
          <s v="Apr"/>
          <s v="May"/>
          <s v="Jun"/>
          <s v="Jul"/>
          <s v="Aug"/>
          <s v="Sep"/>
          <s v="Oct"/>
          <s v="Nov"/>
          <s v="Dec"/>
          <s v="&gt;1/2/2022"/>
        </groupItems>
      </fieldGroup>
    </cacheField>
    <cacheField name="Выручка" numFmtId="164">
      <sharedItems containsSemiMixedTypes="0" containsString="0" containsNumber="1" minValue="128139927" maxValue="159104486.56000003"/>
    </cacheField>
    <cacheField name="% прироста год к году" numFmtId="10">
      <sharedItems containsString="0" containsBlank="1" containsNumber="1" minValue="-0.14669573851658013" maxValue="0.1184997853239047"/>
    </cacheField>
    <cacheField name="Себестоимость" numFmtId="164">
      <sharedItems containsSemiMixedTypes="0" containsString="0" containsNumber="1" minValue="53829247.719999999" maxValue="67894674.179999992"/>
    </cacheField>
    <cacheField name="% прироста год к году2" numFmtId="10">
      <sharedItems containsString="0" containsBlank="1" containsNumber="1" minValue="-0.15573664857584057" maxValue="0.11274687190149613"/>
    </cacheField>
    <cacheField name="Валовая прибыль" numFmtId="164">
      <sharedItems containsSemiMixedTypes="0" containsString="0" containsNumber="1" minValue="72988025" maxValue="91209812.379999995"/>
    </cacheField>
    <cacheField name="% прироста год к году3" numFmtId="10">
      <sharedItems containsString="0" containsBlank="1" containsNumber="1" minValue="-0.14002479566719961" maxValue="0.18389637204185205"/>
    </cacheField>
    <cacheField name="Маржинальность" numFmtId="10">
      <sharedItems containsSemiMixedTypes="0" containsString="0" containsNumber="1" minValue="0.51091155126629628" maxValue="0.58090882713926717"/>
    </cacheField>
    <cacheField name="Расходы суммарно" numFmtId="164">
      <sharedItems containsSemiMixedTypes="0" containsString="0" containsNumber="1" minValue="54318636.109999999" maxValue="66318441"/>
    </cacheField>
    <cacheField name="% прироста год к году4" numFmtId="10">
      <sharedItems containsString="0" containsBlank="1" containsNumber="1" minValue="-0.10936331955623546" maxValue="0.15280186457917022"/>
    </cacheField>
    <cacheField name="Маркетинговые расходы" numFmtId="164">
      <sharedItems containsSemiMixedTypes="0" containsString="0" containsNumber="1" minValue="4778080" maxValue="11620986"/>
    </cacheField>
    <cacheField name="% прироста год к году5" numFmtId="10">
      <sharedItems containsString="0" containsBlank="1" containsNumber="1" minValue="-0.44113038687078709" maxValue="0.348222150988301"/>
    </cacheField>
    <cacheField name="Расходы на ФОТ" numFmtId="164">
      <sharedItems containsSemiMixedTypes="0" containsString="0" containsNumber="1" minValue="30562705" maxValue="45982287"/>
    </cacheField>
    <cacheField name="% прироста год к году6" numFmtId="10">
      <sharedItems containsString="0" containsBlank="1" containsNumber="1" minValue="-1.3936098565360711E-2" maxValue="0.20142899654987989"/>
    </cacheField>
    <cacheField name="Расходы на аренду" numFmtId="164">
      <sharedItems containsSemiMixedTypes="0" containsString="0" containsNumber="1" minValue="2259991" maxValue="6923541"/>
    </cacheField>
    <cacheField name="% прироста год к году7" numFmtId="10">
      <sharedItems containsString="0" containsBlank="1" containsNumber="1" minValue="-0.53231998277081316" maxValue="0.10445936687183899"/>
    </cacheField>
    <cacheField name="Расходы на интернет и телефонию" numFmtId="164">
      <sharedItems containsSemiMixedTypes="0" containsString="0" containsNumber="1" minValue="2308141" maxValue="3567662"/>
    </cacheField>
    <cacheField name="% прироста год к году8" numFmtId="10">
      <sharedItems containsString="0" containsBlank="1" containsNumber="1" minValue="-4.6783131589984706E-2" maxValue="0.32722654291917186"/>
    </cacheField>
    <cacheField name="Транспортные расходы" numFmtId="164">
      <sharedItems containsSemiMixedTypes="0" containsString="0" containsNumber="1" minValue="3984742.71" maxValue="4689423"/>
    </cacheField>
    <cacheField name="% прироста год к году9" numFmtId="10">
      <sharedItems containsString="0" containsBlank="1" containsNumber="1" minValue="-0.10373750746465049" maxValue="0.17684461489359249"/>
    </cacheField>
    <cacheField name="Офисные расходы" numFmtId="164">
      <sharedItems containsSemiMixedTypes="0" containsString="0" containsNumber="1" containsInteger="1" minValue="459271" maxValue="4410485"/>
    </cacheField>
    <cacheField name="% прироста год к году10" numFmtId="10">
      <sharedItems containsString="0" containsBlank="1" containsNumber="1" minValue="-0.76905237104609836" maxValue="0.59207526710809089"/>
    </cacheField>
    <cacheField name="Финансовые расходы" numFmtId="164">
      <sharedItems containsSemiMixedTypes="0" containsString="0" containsNumber="1" minValue="893801" maxValue="3252215"/>
    </cacheField>
    <cacheField name="% прироста год к году11" numFmtId="10">
      <sharedItems containsString="0" containsBlank="1" containsNumber="1" minValue="-0.35931665034445759" maxValue="0.94413959510696954"/>
    </cacheField>
    <cacheField name="EBITDA" numFmtId="164">
      <sharedItems containsSemiMixedTypes="0" containsString="0" containsNumber="1" minValue="13322133.329999998" maxValue="26997589.379999999"/>
    </cacheField>
    <cacheField name="% прироста год к году12" numFmtId="10">
      <sharedItems containsString="0" containsBlank="1" containsNumber="1" minValue="-0.33693735464542618" maxValue="0.6678275272898806"/>
    </cacheField>
    <cacheField name="Налоги" numFmtId="164">
      <sharedItems containsSemiMixedTypes="0" containsString="0" containsNumber="1" minValue="3613178.0599999996" maxValue="7263825"/>
    </cacheField>
    <cacheField name="% прироста год к году13" numFmtId="10">
      <sharedItems containsString="0" containsBlank="1" containsNumber="1" minValue="-0.50257914253165525" maxValue="0.59002183246955742"/>
    </cacheField>
    <cacheField name="Чистая прибыль" numFmtId="164">
      <sharedItems containsSemiMixedTypes="0" containsString="0" containsNumber="1" minValue="6058308.3300000001" maxValue="21192281.590000004"/>
    </cacheField>
    <cacheField name="% прироста год к году14" numFmtId="10">
      <sharedItems containsString="0" containsBlank="1" containsNumber="1" minValue="-0.54864288860405885" maxValue="2.0711283771851212"/>
    </cacheField>
    <cacheField name="Quarters" numFmtId="0" databaseField="0">
      <fieldGroup base="0">
        <rangePr groupBy="quarters" startDate="2017-01-01T00:00:00" endDate="2022-01-02T00:00:00"/>
        <groupItems count="6">
          <s v="&lt;1/1/2017"/>
          <s v="Qtr1"/>
          <s v="Qtr2"/>
          <s v="Qtr3"/>
          <s v="Qtr4"/>
          <s v="&gt;1/2/2022"/>
        </groupItems>
      </fieldGroup>
    </cacheField>
    <cacheField name="Years" numFmtId="0" databaseField="0">
      <fieldGroup base="0">
        <rangePr groupBy="years" startDate="2017-01-01T00:00:00" endDate="2022-01-02T00:00:00"/>
        <groupItems count="8">
          <s v="&lt;1/1/2017"/>
          <s v="2017"/>
          <s v="2018"/>
          <s v="2019"/>
          <s v="2020"/>
          <s v="2021"/>
          <s v="2022"/>
          <s v="&gt;1/2/2022"/>
        </groupItems>
      </fieldGroup>
    </cacheField>
    <cacheField name="Field1" numFmtId="0" formula="'% прироста год к году14'" databaseField="0"/>
    <cacheField name="Margin" numFmtId="0" formula="'Валовая прибыль'/Выручка" databaseField="0"/>
  </cacheFields>
  <extLst>
    <ext xmlns:x14="http://schemas.microsoft.com/office/spreadsheetml/2009/9/main" uri="{725AE2AE-9491-48be-B2B4-4EB974FC3084}">
      <x14:pivotCacheDefinition pivotCacheId="13171366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ugene Arkhipov" refreshedDate="44941.845375231482" createdVersion="7" refreshedVersion="7" minRefreshableVersion="3" recordCount="72" xr:uid="{50DABCDE-817B-4246-9DD0-5008D366F6BF}">
  <cacheSource type="worksheet">
    <worksheetSource ref="A1:AD73" sheet="No Totals"/>
  </cacheSource>
  <cacheFields count="32">
    <cacheField name="Месяц " numFmtId="168">
      <sharedItems containsSemiMixedTypes="0" containsNonDate="0" containsDate="1" containsString="0" minDate="2017-01-01T00:00:00" maxDate="2022-12-02T00:00:00" count="72">
        <d v="2017-01-01T00:00:00"/>
        <d v="2017-02-01T00:00:00"/>
        <d v="2017-03-01T00:00:00"/>
        <d v="2017-04-01T00:00:00"/>
        <d v="2017-05-0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sharedItems>
      <fieldGroup par="31" base="0">
        <rangePr groupBy="months" startDate="2017-01-01T00:00:00" endDate="2022-12-02T00:00:00"/>
        <groupItems count="14">
          <s v="&lt;1/1/2017"/>
          <s v="Jan"/>
          <s v="Feb"/>
          <s v="Mar"/>
          <s v="Apr"/>
          <s v="May"/>
          <s v="Jun"/>
          <s v="Jul"/>
          <s v="Aug"/>
          <s v="Sep"/>
          <s v="Oct"/>
          <s v="Nov"/>
          <s v="Dec"/>
          <s v="&gt;12/2/2022"/>
        </groupItems>
      </fieldGroup>
    </cacheField>
    <cacheField name="Выручка" numFmtId="164">
      <sharedItems containsSemiMixedTypes="0" containsString="0" containsNumber="1" minValue="5978967" maxValue="22718925"/>
    </cacheField>
    <cacheField name="% прироста год к году" numFmtId="10">
      <sharedItems containsString="0" containsBlank="1" containsNumber="1" minValue="-0.36889804337133036" maxValue="0.83235889221243697"/>
    </cacheField>
    <cacheField name="Себестоимость" numFmtId="164">
      <sharedItems containsSemiMixedTypes="0" containsString="0" containsNumber="1" minValue="2537994.11" maxValue="11151425.91"/>
    </cacheField>
    <cacheField name="% прироста год к году2" numFmtId="10">
      <sharedItems containsString="0" containsBlank="1" containsNumber="1" minValue="-0.46001501524570509" maxValue="1.1477670319119815"/>
    </cacheField>
    <cacheField name="Валовая прибыль" numFmtId="164">
      <sharedItems containsSemiMixedTypes="0" containsString="0" containsNumber="1" minValue="3409234" maxValue="11567499.09"/>
    </cacheField>
    <cacheField name="% прироста год к году3" numFmtId="10">
      <sharedItems containsString="0" containsBlank="1" containsNumber="1" minValue="-0.36857655670190137" maxValue="0.60511931375580308"/>
    </cacheField>
    <cacheField name="Маржинальность" numFmtId="10">
      <sharedItems containsSemiMixedTypes="0" containsString="0" containsNumber="1" minValue="0.38825087051509349" maxValue="0.63530566357205642"/>
    </cacheField>
    <cacheField name="Расходы суммарно" numFmtId="164">
      <sharedItems containsSemiMixedTypes="0" containsString="0" containsNumber="1" minValue="2440127" maxValue="6752826"/>
    </cacheField>
    <cacheField name="% прироста год к году4" numFmtId="10">
      <sharedItems containsString="0" containsBlank="1" containsNumber="1" minValue="-0.45139804209876122" maxValue="0.92898894196900406"/>
    </cacheField>
    <cacheField name="Маркетинговые расходы" numFmtId="164">
      <sharedItems containsSemiMixedTypes="0" containsString="0" containsNumber="1" minValue="242045" maxValue="1367080" count="72">
        <n v="881803"/>
        <n v="474357"/>
        <n v="466134"/>
        <n v="468834"/>
        <n v="501208"/>
        <n v="591094"/>
        <n v="675842"/>
        <n v="756303"/>
        <n v="538149"/>
        <n v="1367080"/>
        <n v="912663"/>
        <n v="986022"/>
        <n v="880479"/>
        <n v="1257610"/>
        <n v="973120"/>
        <n v="918441"/>
        <n v="927335"/>
        <n v="939172"/>
        <n v="900000"/>
        <n v="1081408"/>
        <n v="1129953"/>
        <n v="945710"/>
        <n v="681267"/>
        <n v="986491"/>
        <n v="491760"/>
        <n v="438014"/>
        <n v="474578"/>
        <n v="438293"/>
        <n v="494429.63"/>
        <n v="516097.32"/>
        <n v="391802"/>
        <n v="560171"/>
        <n v="706233"/>
        <n v="643857"/>
        <n v="655275"/>
        <n v="684106"/>
        <n v="449153"/>
        <n v="532390"/>
        <n v="381400"/>
        <n v="350360"/>
        <n v="504597.5"/>
        <n v="443102"/>
        <n v="420860"/>
        <n v="474053"/>
        <n v="320636"/>
        <n v="537779"/>
        <n v="637156"/>
        <n v="642294"/>
        <n v="417771"/>
        <n v="487920"/>
        <n v="565755"/>
        <n v="600922.1"/>
        <n v="500932"/>
        <n v="597393.05000000005"/>
        <n v="639384"/>
        <n v="766357"/>
        <n v="927470"/>
        <n v="745236"/>
        <n v="591429"/>
        <n v="480614"/>
        <n v="242045"/>
        <n v="291579"/>
        <n v="289788"/>
        <n v="648404"/>
        <n v="423876"/>
        <n v="462917"/>
        <n v="448405"/>
        <n v="463731"/>
        <n v="454389"/>
        <n v="336427"/>
        <n v="365430"/>
        <n v="351089"/>
      </sharedItems>
    </cacheField>
    <cacheField name="% прироста год к году5" numFmtId="10">
      <sharedItems containsString="0" containsBlank="1" containsNumber="1" minValue="-0.65170919442434461" maxValue="1.8925947179979792" count="61">
        <m/>
        <n v="-1.5014691490049525E-3"/>
        <n v="1.6511888725158479"/>
        <n v="1.087640034839767"/>
        <n v="0.95898974903697254"/>
        <n v="0.85019991700052677"/>
        <n v="0.58887080565866001"/>
        <n v="0.33167219557233785"/>
        <n v="0.4298607833103929"/>
        <n v="1.0997028703946303"/>
        <n v="-0.30822629253591594"/>
        <n v="-0.25353936776225183"/>
        <n v="4.7564861635951416E-4"/>
        <n v="-0.44148582760065824"/>
        <n v="-0.65170919442434461"/>
        <n v="-0.51231297270634657"/>
        <n v="-0.52278589479345983"/>
        <n v="-0.46682738169054327"/>
        <n v="-0.45047624929192953"/>
        <n v="-0.56466444444444441"/>
        <n v="-0.48199846866307627"/>
        <n v="-0.3749890482170497"/>
        <n v="-0.31918135580674833"/>
        <n v="-3.8152442434464029E-2"/>
        <n v="-0.30652585781319852"/>
        <n v="-8.6641857816821211E-2"/>
        <n v="0.21546343267566792"/>
        <n v="-0.196338641909233"/>
        <n v="-0.20062606521208415"/>
        <n v="2.0564847620479387E-2"/>
        <n v="-0.14143712275041465"/>
        <n v="7.4165011919285817E-2"/>
        <n v="-0.1537351987161063"/>
        <n v="-0.54599119554028208"/>
        <n v="-0.16475397487330257"/>
        <n v="-2.765098622715656E-2"/>
        <n v="-6.1119183284461753E-2"/>
        <n v="-6.9869287302990246E-2"/>
        <n v="-8.3528991904430971E-2"/>
        <n v="0.4833639223911903"/>
        <n v="0.71515612512843929"/>
        <n v="-7.2642056292391288E-3"/>
        <n v="0.34820662059751495"/>
        <n v="0.51923204866226302"/>
        <n v="0.61660616007070934"/>
        <n v="1.8925947179979792"/>
        <n v="0.38576627201880331"/>
        <n v="-7.1767353677906209E-2"/>
        <n v="-0.25172273133487155"/>
        <n v="-0.42062756869193885"/>
        <n v="-0.40240408263649774"/>
        <n v="-0.48778534878171642"/>
        <n v="7.9015067011181772E-2"/>
        <n v="-0.15382526969728427"/>
        <n v="-0.22510481164787577"/>
        <n v="-0.29869217872201992"/>
        <n v="-0.39488906606190066"/>
        <n v="-0.51007687580191274"/>
        <n v="-0.54856313973023307"/>
        <n v="-0.38212363614229261"/>
        <n v="-0.26949901584223512"/>
      </sharedItems>
    </cacheField>
    <cacheField name="Расходы на ФОТ" numFmtId="164">
      <sharedItems containsSemiMixedTypes="0" containsString="0" containsNumber="1" minValue="852043" maxValue="4227841" count="72">
        <n v="852043"/>
        <n v="1519296"/>
        <n v="1842973"/>
        <n v="2345767"/>
        <n v="2502672"/>
        <n v="2726686"/>
        <n v="2646065"/>
        <n v="3036202"/>
        <n v="3032555"/>
        <n v="3298039"/>
        <n v="3245718"/>
        <n v="3514689"/>
        <n v="2670474"/>
        <n v="2850184"/>
        <n v="2689146"/>
        <n v="2808901"/>
        <n v="3097272"/>
        <n v="3166886"/>
        <n v="3200000"/>
        <n v="3257871"/>
        <n v="3298025"/>
        <n v="3330370"/>
        <n v="3318435"/>
        <n v="3031356"/>
        <n v="2447823"/>
        <n v="2771850"/>
        <n v="2228772"/>
        <n v="1126314"/>
        <n v="3161900"/>
        <n v="3367016"/>
        <n v="3448755"/>
        <n v="3745196"/>
        <n v="3593776"/>
        <n v="3818433"/>
        <n v="3602012"/>
        <n v="3903499"/>
        <n v="3186171"/>
        <n v="2910160"/>
        <n v="2862134"/>
        <n v="2906284.27"/>
        <n v="3138257"/>
        <n v="3031579"/>
        <n v="3080248"/>
        <n v="3193273"/>
        <n v="3088101"/>
        <n v="3035236"/>
        <n v="3251708"/>
        <n v="3013558"/>
        <n v="3101693"/>
        <n v="2791665"/>
        <n v="2737046"/>
        <n v="3221481"/>
        <n v="3535030"/>
        <n v="3589762"/>
        <n v="3235480"/>
        <n v="3210411"/>
        <n v="3313251"/>
        <n v="3631911"/>
        <n v="3545585"/>
        <n v="3046229"/>
        <n v="3294762"/>
        <n v="2794117"/>
        <n v="2985328"/>
        <n v="3894547"/>
        <n v="4166343"/>
        <n v="4182396"/>
        <n v="4156562"/>
        <n v="4209870"/>
        <n v="4227841"/>
        <n v="4068037"/>
        <n v="4094214"/>
        <n v="3908270"/>
      </sharedItems>
    </cacheField>
    <cacheField name="% прироста год к году6" numFmtId="10">
      <sharedItems containsString="0" containsBlank="1" containsNumber="1" minValue="-0.59901968777112469" maxValue="2.1342009734250502"/>
    </cacheField>
    <cacheField name="Расходы на аренду" numFmtId="164">
      <sharedItems containsSemiMixedTypes="0" containsString="0" containsNumber="1" minValue="102515.87" maxValue="820593" count="72">
        <n v="357806"/>
        <n v="465090"/>
        <n v="419491"/>
        <n v="485344"/>
        <n v="572366"/>
        <n v="491430"/>
        <n v="473256"/>
        <n v="820593"/>
        <n v="540964"/>
        <n v="541922"/>
        <n v="473318"/>
        <n v="627135"/>
        <n v="568343"/>
        <n v="527169"/>
        <n v="551787"/>
        <n v="653449"/>
        <n v="726813"/>
        <n v="598155"/>
        <n v="531615"/>
        <n v="524043"/>
        <n v="521425"/>
        <n v="610999"/>
        <n v="558966"/>
        <n v="550777"/>
        <n v="512541"/>
        <n v="509265"/>
        <n v="507652"/>
        <n v="531897"/>
        <n v="499402"/>
        <n v="516319"/>
        <n v="516997"/>
        <n v="517816"/>
        <n v="523843"/>
        <n v="510684"/>
        <n v="499658"/>
        <n v="510920"/>
        <n v="493935"/>
        <n v="484945"/>
        <n v="396413"/>
        <n v="169208.04"/>
        <n v="151786.15"/>
        <n v="102515.87"/>
        <n v="148229"/>
        <n v="169222"/>
        <n v="176127"/>
        <n v="171197"/>
        <n v="204734"/>
        <n v="211191"/>
        <n v="182692"/>
        <n v="188115"/>
        <n v="192535"/>
        <n v="192281"/>
        <n v="187538"/>
        <n v="184495"/>
        <n v="176660"/>
        <n v="177029"/>
        <n v="179776"/>
        <n v="188378"/>
        <n v="200122"/>
        <n v="210370"/>
        <n v="223469"/>
        <n v="228739"/>
        <n v="199610"/>
        <n v="210468"/>
        <n v="191348"/>
        <n v="191056"/>
        <n v="206430"/>
        <n v="174202"/>
        <n v="183254"/>
        <n v="195519"/>
        <n v="203505"/>
        <n v="206944"/>
      </sharedItems>
    </cacheField>
    <cacheField name="% прироста год к году7" numFmtId="10">
      <sharedItems containsString="0" containsBlank="1" containsNumber="1" minValue="-0.80144858120657969" maxValue="0.79967257752385068"/>
    </cacheField>
    <cacheField name="Расходы на интернет и телефонию" numFmtId="164">
      <sharedItems containsSemiMixedTypes="0" containsString="0" containsNumber="1" minValue="63745" maxValue="420201" count="72">
        <n v="63745"/>
        <n v="239229"/>
        <n v="152463"/>
        <n v="126285"/>
        <n v="147708"/>
        <n v="133170"/>
        <n v="206381"/>
        <n v="150548"/>
        <n v="280327"/>
        <n v="208827"/>
        <n v="285914"/>
        <n v="313544"/>
        <n v="223926"/>
        <n v="335670"/>
        <n v="221737"/>
        <n v="291311"/>
        <n v="244492"/>
        <n v="209951"/>
        <n v="307585"/>
        <n v="250549"/>
        <n v="232996"/>
        <n v="232634"/>
        <n v="243056"/>
        <n v="269519"/>
        <n v="178892"/>
        <n v="240180"/>
        <n v="265690"/>
        <n v="255437"/>
        <n v="254745"/>
        <n v="229055"/>
        <n v="257687"/>
        <n v="305278"/>
        <n v="284070"/>
        <n v="291915"/>
        <n v="213261"/>
        <n v="299480"/>
        <n v="224351"/>
        <n v="228241"/>
        <n v="224103"/>
        <n v="265794.71000000002"/>
        <n v="193755.46"/>
        <n v="289602.42"/>
        <n v="238405"/>
        <n v="210064"/>
        <n v="225869"/>
        <n v="295113"/>
        <n v="253648"/>
        <n v="282853"/>
        <n v="191758"/>
        <n v="216109"/>
        <n v="245078"/>
        <n v="217387"/>
        <n v="228492"/>
        <n v="336616"/>
        <n v="318651"/>
        <n v="269478"/>
        <n v="289792"/>
        <n v="243083"/>
        <n v="317288"/>
        <n v="345950"/>
        <n v="262379"/>
        <n v="225941"/>
        <n v="233460"/>
        <n v="258813"/>
        <n v="290330"/>
        <n v="420201"/>
        <n v="298979"/>
        <n v="332911"/>
        <n v="303809"/>
        <n v="300535"/>
        <n v="290354"/>
        <n v="349950"/>
      </sharedItems>
    </cacheField>
    <cacheField name="% прироста год к году8" numFmtId="10">
      <sharedItems containsString="0" containsBlank="1" containsNumber="1" minValue="-0.31189276659307252" maxValue="2.5128402227625695"/>
    </cacheField>
    <cacheField name="Транспортные расходы" numFmtId="164">
      <sharedItems containsSemiMixedTypes="0" containsString="0" containsNumber="1" minValue="163062" maxValue="827271" count="72">
        <n v="169921"/>
        <n v="189004"/>
        <n v="265392"/>
        <n v="480540"/>
        <n v="335269"/>
        <n v="827271"/>
        <n v="329704"/>
        <n v="333010"/>
        <n v="411488"/>
        <n v="412576"/>
        <n v="323642"/>
        <n v="386895"/>
        <n v="163062"/>
        <n v="242857"/>
        <n v="315518"/>
        <n v="326028"/>
        <n v="360452"/>
        <n v="431534"/>
        <n v="382631"/>
        <n v="374466"/>
        <n v="337240"/>
        <n v="430222"/>
        <n v="318363"/>
        <n v="348005"/>
        <n v="219073"/>
        <n v="258055"/>
        <n v="233029"/>
        <n v="343077"/>
        <n v="435398"/>
        <n v="547735"/>
        <n v="465758"/>
        <n v="429922"/>
        <n v="292137"/>
        <n v="394386"/>
        <n v="427588"/>
        <n v="399797"/>
        <n v="248481"/>
        <n v="309666"/>
        <n v="299601"/>
        <n v="344984.35"/>
        <n v="387867.54"/>
        <n v="285324.82"/>
        <n v="361306"/>
        <n v="353350"/>
        <n v="293290"/>
        <n v="368393"/>
        <n v="316062"/>
        <n v="416417"/>
        <n v="205543"/>
        <n v="317646"/>
        <n v="454905"/>
        <n v="495692"/>
        <n v="420345"/>
        <n v="411521"/>
        <n v="406042"/>
        <n v="355821"/>
        <n v="468359"/>
        <n v="353469"/>
        <n v="366354"/>
        <n v="433726"/>
        <n v="176710"/>
        <n v="261943"/>
        <n v="364138"/>
        <n v="362901"/>
        <n v="350630"/>
        <n v="370913"/>
        <n v="433228"/>
        <n v="404880"/>
        <n v="456571"/>
        <n v="531444"/>
        <n v="388398"/>
        <n v="507845"/>
      </sharedItems>
    </cacheField>
    <cacheField name="% прироста год к году9" numFmtId="10">
      <sharedItems containsString="0" containsBlank="1" containsNumber="1" minValue="-0.47908236647283808" maxValue="0.59691431688772201"/>
    </cacheField>
    <cacheField name="Офисные расходы" numFmtId="164">
      <sharedItems containsSemiMixedTypes="0" containsString="0" containsNumber="1" containsInteger="1" minValue="20680" maxValue="1001671" count="72">
        <n v="102894"/>
        <n v="112043"/>
        <n v="255411"/>
        <n v="342508"/>
        <n v="233592"/>
        <n v="374131"/>
        <n v="190993"/>
        <n v="536015"/>
        <n v="1001671"/>
        <n v="902149"/>
        <n v="194440"/>
        <n v="164638"/>
        <n v="106755"/>
        <n v="104685"/>
        <n v="167495"/>
        <n v="110783"/>
        <n v="342498"/>
        <n v="62111"/>
        <n v="403000"/>
        <n v="343596"/>
        <n v="158102"/>
        <n v="203312"/>
        <n v="280273"/>
        <n v="212643"/>
        <n v="354957"/>
        <n v="100583"/>
        <n v="248905"/>
        <n v="94387"/>
        <n v="120956"/>
        <n v="152369"/>
        <n v="198949"/>
        <n v="185692"/>
        <n v="194731"/>
        <n v="58241"/>
        <n v="103697"/>
        <n v="175170"/>
        <n v="37708"/>
        <n v="150661"/>
        <n v="31544"/>
        <n v="21493"/>
        <n v="31692"/>
        <n v="31065"/>
        <n v="21612"/>
        <n v="28716"/>
        <n v="26458"/>
        <n v="25862"/>
        <n v="20680"/>
        <n v="31780"/>
        <n v="25460"/>
        <n v="21090"/>
        <n v="33017"/>
        <n v="56531"/>
        <n v="47302"/>
        <n v="75265"/>
        <n v="115215"/>
        <n v="59221"/>
        <n v="74342"/>
        <n v="150298"/>
        <n v="48005"/>
        <n v="25448"/>
        <n v="34149"/>
        <n v="36972"/>
        <n v="41983"/>
        <n v="80672"/>
        <n v="113413"/>
        <n v="58970"/>
        <n v="66529"/>
        <n v="63543"/>
        <n v="75998"/>
        <n v="61317"/>
        <n v="67722"/>
        <n v="75141"/>
      </sharedItems>
    </cacheField>
    <cacheField name="% прироста год к году10" numFmtId="10">
      <sharedItems containsString="0" containsBlank="1" containsNumber="1" minValue="-0.89376741408114224" maxValue="4.8115381641017709"/>
    </cacheField>
    <cacheField name="Финансовые расходы" numFmtId="164">
      <sharedItems containsSemiMixedTypes="0" containsString="0" containsNumber="1" minValue="10288" maxValue="515713" count="72">
        <n v="11915"/>
        <n v="75339"/>
        <n v="21152"/>
        <n v="107697"/>
        <n v="488137"/>
        <n v="10288"/>
        <n v="27182"/>
        <n v="31308"/>
        <n v="31988"/>
        <n v="22233"/>
        <n v="29169"/>
        <n v="37393"/>
        <n v="93939"/>
        <n v="95921"/>
        <n v="97115"/>
        <n v="91145"/>
        <n v="93172"/>
        <n v="93337"/>
        <n v="253079"/>
        <n v="183341"/>
        <n v="119460"/>
        <n v="95010"/>
        <n v="91546"/>
        <n v="158872"/>
        <n v="128342"/>
        <n v="137055"/>
        <n v="107213"/>
        <n v="63357"/>
        <n v="59567"/>
        <n v="50268"/>
        <n v="438677"/>
        <n v="109855"/>
        <n v="118282"/>
        <n v="148953"/>
        <n v="99016"/>
        <n v="150723"/>
        <n v="143940"/>
        <n v="98489"/>
        <n v="100442"/>
        <n v="121607.32"/>
        <n v="103145.07"/>
        <n v="108291.59"/>
        <n v="118151"/>
        <n v="272448"/>
        <n v="142995"/>
        <n v="182289"/>
        <n v="154989"/>
        <n v="126043"/>
        <n v="143162"/>
        <n v="106788"/>
        <n v="374939"/>
        <n v="515713"/>
        <n v="304912"/>
        <n v="383372"/>
        <n v="234430"/>
        <n v="220402"/>
        <n v="173915"/>
        <n v="273128"/>
        <n v="241249"/>
        <n v="280205"/>
        <n v="193220"/>
        <n v="159156"/>
        <n v="201707"/>
        <n v="240508"/>
        <n v="246485"/>
        <n v="181717"/>
        <n v="144369"/>
        <n v="144710"/>
        <n v="239944"/>
        <n v="124578"/>
        <n v="106250"/>
        <n v="100996"/>
      </sharedItems>
    </cacheField>
    <cacheField name="% прироста год к году11" numFmtId="10">
      <sharedItems containsString="0" containsBlank="1" containsNumber="1" minValue="-0.80912735563991256" maxValue="8.3105363843720106"/>
    </cacheField>
    <cacheField name="EBITDA" numFmtId="164">
      <sharedItems containsSemiMixedTypes="0" containsString="0" containsNumber="1" minValue="-1342766.1099999999" maxValue="6744957.0899999999"/>
    </cacheField>
    <cacheField name="% прироста год к году12" numFmtId="10">
      <sharedItems containsString="0" containsBlank="1" containsNumber="1" minValue="-18.299119257999774" maxValue="5.1253155490334805"/>
    </cacheField>
    <cacheField name="Налоги" numFmtId="164">
      <sharedItems containsSemiMixedTypes="0" containsString="0" containsNumber="1" minValue="66184" maxValue="1131869"/>
    </cacheField>
    <cacheField name="% прироста год к году13" numFmtId="10">
      <sharedItems containsString="0" containsBlank="1" containsNumber="1" minValue="-0.62047481747517153" maxValue="4.5763025654588736"/>
    </cacheField>
    <cacheField name="Чистая прибыль" numFmtId="164">
      <sharedItems containsSemiMixedTypes="0" containsString="0" containsNumber="1" minValue="-1650328.1099999999" maxValue="6085063.0899999999"/>
    </cacheField>
    <cacheField name="% прироста год к году14" numFmtId="10">
      <sharedItems containsString="0" containsBlank="1" containsNumber="1" minValue="-15.056401291518654" maxValue="22.652114099008941"/>
    </cacheField>
    <cacheField name="Quarters" numFmtId="0" databaseField="0">
      <fieldGroup base="0">
        <rangePr groupBy="quarters" startDate="2017-01-01T00:00:00" endDate="2022-12-02T00:00:00"/>
        <groupItems count="6">
          <s v="&lt;1/1/2017"/>
          <s v="Qtr1"/>
          <s v="Qtr2"/>
          <s v="Qtr3"/>
          <s v="Qtr4"/>
          <s v="&gt;12/2/2022"/>
        </groupItems>
      </fieldGroup>
    </cacheField>
    <cacheField name="Years" numFmtId="0" databaseField="0">
      <fieldGroup base="0">
        <rangePr groupBy="years" startDate="2017-01-01T00:00:00" endDate="2022-12-02T00:00:00"/>
        <groupItems count="8">
          <s v="&lt;1/1/2017"/>
          <s v="2017"/>
          <s v="2018"/>
          <s v="2019"/>
          <s v="2020"/>
          <s v="2021"/>
          <s v="2022"/>
          <s v="&gt;12/2/2022"/>
        </groupItems>
      </fieldGroup>
    </cacheField>
  </cacheFields>
  <extLst>
    <ext xmlns:x14="http://schemas.microsoft.com/office/spreadsheetml/2009/9/main" uri="{725AE2AE-9491-48be-B2B4-4EB974FC3084}">
      <x14:pivotCacheDefinition pivotCacheId="11784624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8410477"/>
    <m/>
    <n v="4771814"/>
    <m/>
    <n v="3638663"/>
    <m/>
    <n v="0.43263455806371032"/>
    <n v="2440127"/>
    <m/>
    <n v="881803"/>
    <m/>
    <n v="852043"/>
    <m/>
    <n v="357806"/>
    <m/>
    <n v="63745"/>
    <m/>
    <n v="169921"/>
    <m/>
    <n v="102894"/>
    <m/>
    <n v="11915"/>
    <m/>
    <n v="1198536"/>
    <m/>
    <n v="614023"/>
    <m/>
    <n v="584513"/>
    <m/>
  </r>
  <r>
    <x v="1"/>
    <n v="8781008"/>
    <m/>
    <n v="5371774"/>
    <m/>
    <n v="3409234"/>
    <m/>
    <n v="0.38825087051509349"/>
    <n v="3074358"/>
    <m/>
    <n v="474357"/>
    <m/>
    <n v="1519296"/>
    <m/>
    <n v="465090"/>
    <m/>
    <n v="239229"/>
    <m/>
    <n v="189004"/>
    <m/>
    <n v="112043"/>
    <m/>
    <n v="75339"/>
    <m/>
    <n v="334876"/>
    <m/>
    <n v="108216"/>
    <m/>
    <n v="226660"/>
    <m/>
  </r>
  <r>
    <x v="2"/>
    <n v="9994730"/>
    <m/>
    <n v="5478590"/>
    <m/>
    <n v="4516140"/>
    <m/>
    <n v="0.45185212607043912"/>
    <n v="3423016"/>
    <m/>
    <n v="466134"/>
    <m/>
    <n v="1842973"/>
    <m/>
    <n v="419491"/>
    <m/>
    <n v="152463"/>
    <m/>
    <n v="265392"/>
    <m/>
    <n v="255411"/>
    <m/>
    <n v="21152"/>
    <m/>
    <n v="1093124"/>
    <m/>
    <n v="302156"/>
    <m/>
    <n v="790968"/>
    <m/>
  </r>
  <r>
    <x v="3"/>
    <n v="10482743"/>
    <m/>
    <n v="5528713"/>
    <m/>
    <n v="4954030"/>
    <m/>
    <n v="0.47258909237782515"/>
    <n v="4356975"/>
    <m/>
    <n v="468834"/>
    <m/>
    <n v="2345767"/>
    <m/>
    <n v="485344"/>
    <m/>
    <n v="126285"/>
    <m/>
    <n v="480540"/>
    <m/>
    <n v="342508"/>
    <m/>
    <n v="107697"/>
    <m/>
    <n v="597055"/>
    <m/>
    <n v="1131869"/>
    <m/>
    <n v="-534814"/>
    <m/>
  </r>
  <r>
    <x v="4"/>
    <n v="13324007"/>
    <m/>
    <n v="6361003"/>
    <m/>
    <n v="6963004"/>
    <m/>
    <n v="0.52259083922726846"/>
    <n v="4780952"/>
    <m/>
    <n v="501208"/>
    <m/>
    <n v="2502672"/>
    <m/>
    <n v="572366"/>
    <m/>
    <n v="147708"/>
    <m/>
    <n v="335269"/>
    <m/>
    <n v="233592"/>
    <m/>
    <n v="488137"/>
    <m/>
    <n v="2182052"/>
    <m/>
    <n v="336569"/>
    <m/>
    <n v="1845483"/>
    <m/>
  </r>
  <r>
    <x v="5"/>
    <n v="12665976"/>
    <m/>
    <n v="5823615"/>
    <m/>
    <n v="6842361"/>
    <m/>
    <n v="0.5402158507169128"/>
    <n v="5154070"/>
    <m/>
    <n v="591094"/>
    <m/>
    <n v="2726686"/>
    <m/>
    <n v="491430"/>
    <m/>
    <n v="133170"/>
    <m/>
    <n v="827271"/>
    <m/>
    <n v="374131"/>
    <m/>
    <n v="10288"/>
    <m/>
    <n v="1688291"/>
    <m/>
    <n v="66184"/>
    <m/>
    <n v="1622107"/>
    <m/>
  </r>
  <r>
    <x v="6"/>
    <n v="13362147"/>
    <m/>
    <n v="6061291"/>
    <m/>
    <n v="7300856"/>
    <m/>
    <n v="0.54638345170128721"/>
    <n v="4549423"/>
    <m/>
    <n v="675842"/>
    <m/>
    <n v="2646065"/>
    <m/>
    <n v="473256"/>
    <m/>
    <n v="206381"/>
    <m/>
    <n v="329704"/>
    <m/>
    <n v="190993"/>
    <m/>
    <n v="27182"/>
    <m/>
    <n v="2751433"/>
    <m/>
    <n v="650744"/>
    <m/>
    <n v="2100689"/>
    <m/>
  </r>
  <r>
    <x v="7"/>
    <n v="12258656"/>
    <m/>
    <n v="5159166"/>
    <m/>
    <n v="7099490"/>
    <m/>
    <n v="0.57914097597648551"/>
    <n v="5663979"/>
    <m/>
    <n v="756303"/>
    <m/>
    <n v="3036202"/>
    <m/>
    <n v="820593"/>
    <m/>
    <n v="150548"/>
    <m/>
    <n v="333010"/>
    <m/>
    <n v="536015"/>
    <m/>
    <n v="31308"/>
    <m/>
    <n v="1435511"/>
    <m/>
    <n v="229714"/>
    <m/>
    <n v="1205797"/>
    <m/>
  </r>
  <r>
    <x v="8"/>
    <n v="13790745"/>
    <m/>
    <n v="6149169"/>
    <m/>
    <n v="7641576"/>
    <m/>
    <n v="0.55410900571361443"/>
    <n v="5837142"/>
    <m/>
    <n v="538149"/>
    <m/>
    <n v="3032555"/>
    <m/>
    <n v="540964"/>
    <m/>
    <n v="280327"/>
    <m/>
    <n v="411488"/>
    <m/>
    <n v="1001671"/>
    <m/>
    <n v="31988"/>
    <m/>
    <n v="1804434"/>
    <m/>
    <n v="147459"/>
    <m/>
    <n v="1656975"/>
    <m/>
  </r>
  <r>
    <x v="9"/>
    <n v="13104174"/>
    <m/>
    <n v="5725361"/>
    <m/>
    <n v="7378813"/>
    <m/>
    <n v="0.5630887532476293"/>
    <n v="6752826"/>
    <m/>
    <n v="1367080"/>
    <m/>
    <n v="3298039"/>
    <m/>
    <n v="541922"/>
    <m/>
    <n v="208827"/>
    <m/>
    <n v="412576"/>
    <m/>
    <n v="902149"/>
    <m/>
    <n v="22233"/>
    <m/>
    <n v="625987"/>
    <m/>
    <n v="786728"/>
    <m/>
    <n v="-160741"/>
    <m/>
  </r>
  <r>
    <x v="10"/>
    <n v="10410288"/>
    <m/>
    <n v="4716458"/>
    <m/>
    <n v="5693830"/>
    <m/>
    <n v="0.54694260139584994"/>
    <n v="5464864"/>
    <m/>
    <n v="912663"/>
    <m/>
    <n v="3245718"/>
    <m/>
    <n v="473318"/>
    <m/>
    <n v="285914"/>
    <m/>
    <n v="323642"/>
    <m/>
    <n v="194440"/>
    <m/>
    <n v="29169"/>
    <m/>
    <n v="228966"/>
    <m/>
    <n v="302342"/>
    <m/>
    <n v="-73376"/>
    <m/>
  </r>
  <r>
    <x v="11"/>
    <n v="14161423"/>
    <m/>
    <n v="6611395"/>
    <m/>
    <n v="7550028"/>
    <m/>
    <n v="0.53314049018943932"/>
    <n v="6030316"/>
    <m/>
    <n v="986022"/>
    <m/>
    <n v="3514689"/>
    <m/>
    <n v="627135"/>
    <m/>
    <n v="313544"/>
    <m/>
    <n v="386895"/>
    <m/>
    <n v="164638"/>
    <m/>
    <n v="37393"/>
    <m/>
    <n v="1519712"/>
    <m/>
    <n v="416958"/>
    <m/>
    <n v="1102754"/>
    <m/>
  </r>
  <r>
    <x v="12"/>
    <n v="140746374"/>
    <m/>
    <n v="67758349"/>
    <m/>
    <n v="72988025"/>
    <m/>
    <n v="0.51091155126629628"/>
    <n v="57528048"/>
    <m/>
    <n v="8619489"/>
    <m/>
    <n v="30562705"/>
    <m/>
    <n v="6268715"/>
    <m/>
    <n v="2308141"/>
    <m/>
    <n v="4464712"/>
    <m/>
    <n v="4410485"/>
    <m/>
    <n v="893801"/>
    <m/>
    <n v="14261441"/>
    <m/>
    <n v="5092962"/>
    <m/>
    <n v="10367015"/>
    <m/>
  </r>
  <r>
    <x v="13"/>
    <n v="8666531"/>
    <n v="3.0444646599711245E-2"/>
    <n v="3756576"/>
    <n v="-0.21275724493871717"/>
    <n v="4909955"/>
    <n v="0.34938437552474633"/>
    <n v="0.5665421377942339"/>
    <n v="4706978"/>
    <n v="0.92898894196900406"/>
    <n v="880479"/>
    <n v="-1.5014691490049525E-3"/>
    <n v="2670474"/>
    <n v="2.1342009734250502"/>
    <n v="568343"/>
    <n v="0.58841103838392872"/>
    <n v="223926"/>
    <n v="2.5128402227625695"/>
    <n v="163062"/>
    <n v="-4.0365817056161379E-2"/>
    <n v="106755"/>
    <n v="3.7524053880692687E-2"/>
    <n v="93939"/>
    <n v="6.8840956777171636"/>
    <n v="202977"/>
    <n v="-0.83064588798333971"/>
    <n v="484781"/>
    <n v="-0.21048397209876502"/>
    <n v="-281804"/>
    <n v="-1.4821175919098464"/>
  </r>
  <r>
    <x v="14"/>
    <n v="9471679"/>
    <n v="7.8655092900496104E-2"/>
    <n v="4129429"/>
    <n v="-0.23127276017196552"/>
    <n v="5342250"/>
    <n v="0.56699422802893551"/>
    <n v="0.5640235485176387"/>
    <n v="5414096"/>
    <n v="0.76104929874790117"/>
    <n v="1257610"/>
    <n v="1.6511888725158479"/>
    <n v="2850184"/>
    <n v="0.87598993217911447"/>
    <n v="527169"/>
    <n v="0.13347739147261817"/>
    <n v="335670"/>
    <n v="0.40313256335979331"/>
    <n v="242857"/>
    <n v="0.28493047766184842"/>
    <n v="104685"/>
    <n v="-6.5671215515471726E-2"/>
    <n v="95921"/>
    <n v="0.27319183955189219"/>
    <n v="-71846"/>
    <n v="-1.2145450853450233"/>
    <n v="362816"/>
    <n v="2.3527020034006063"/>
    <n v="-434662"/>
    <n v="-2.9176828730256772"/>
  </r>
  <r>
    <x v="15"/>
    <n v="11074954"/>
    <n v="0.10807935782157196"/>
    <n v="4038973"/>
    <n v="-0.26277144301727273"/>
    <n v="7035981"/>
    <n v="0.55796343780307955"/>
    <n v="0.63530566357205642"/>
    <n v="5015918"/>
    <n v="0.4653504394954624"/>
    <n v="973120"/>
    <n v="1.087640034839767"/>
    <n v="2689146"/>
    <n v="0.45913477842594541"/>
    <n v="551787"/>
    <n v="0.31537267784052569"/>
    <n v="221737"/>
    <n v="0.45436597731908734"/>
    <n v="315518"/>
    <n v="0.18887532404895402"/>
    <n v="167495"/>
    <n v="-0.34421383573925945"/>
    <n v="97115"/>
    <n v="3.5912916036308626"/>
    <n v="2020063"/>
    <n v="0.84797241667002088"/>
    <n v="521032"/>
    <n v="0.72438078343637069"/>
    <n v="1499031"/>
    <n v="0.89518539308796319"/>
  </r>
  <r>
    <x v="16"/>
    <n v="13081063"/>
    <n v="0.24786642198516162"/>
    <n v="5184081"/>
    <n v="-6.2334941242202291E-2"/>
    <n v="7896982"/>
    <n v="0.59405211514665845"/>
    <n v="0.60369573940588772"/>
    <n v="5200058"/>
    <n v="0.1935019135983107"/>
    <n v="918441"/>
    <n v="0.95898974903697254"/>
    <n v="2808901"/>
    <n v="0.19743393099144124"/>
    <n v="653449"/>
    <n v="0.34636257994329789"/>
    <n v="291311"/>
    <n v="1.306774359583482"/>
    <n v="326028"/>
    <n v="-0.32153826944687225"/>
    <n v="110783"/>
    <n v="-0.67655354035526183"/>
    <n v="91145"/>
    <n v="-0.15369044634483786"/>
    <n v="2696924"/>
    <n v="3.5170444933883811"/>
    <n v="837208"/>
    <n v="-0.26033136343516783"/>
    <n v="1859716"/>
    <n v="-4.4773136080955247"/>
  </r>
  <r>
    <x v="17"/>
    <n v="13754112"/>
    <n v="3.2280454370821055E-2"/>
    <n v="6250507"/>
    <n v="-1.7370845446857963E-2"/>
    <n v="7503605"/>
    <n v="7.763904774433561E-2"/>
    <n v="0.5455535769957377"/>
    <n v="5792034"/>
    <n v="0.21148131167181772"/>
    <n v="927335"/>
    <n v="0.85019991700052677"/>
    <n v="3097272"/>
    <n v="0.23758606801051041"/>
    <n v="726813"/>
    <n v="0.26983957817200888"/>
    <n v="244492"/>
    <n v="0.65523871421994739"/>
    <n v="360452"/>
    <n v="7.5112819855101431E-2"/>
    <n v="342498"/>
    <n v="0.46622315832733996"/>
    <n v="93172"/>
    <n v="-0.80912735563991256"/>
    <n v="1711571"/>
    <n v="-0.21561401836436533"/>
    <n v="457820"/>
    <n v="0.3602559950559916"/>
    <n v="1253751"/>
    <n v="-0.32063801183755147"/>
  </r>
  <r>
    <x v="18"/>
    <n v="12515143"/>
    <n v="-1.1908517748651981E-2"/>
    <n v="5528409"/>
    <n v="-5.0691194386991545E-2"/>
    <n v="6986734"/>
    <n v="2.1099880582155839E-2"/>
    <n v="0.55826241857564074"/>
    <n v="5501146"/>
    <n v="6.7340179702642722E-2"/>
    <n v="939172"/>
    <n v="0.58887080565866001"/>
    <n v="3166886"/>
    <n v="0.16144139809277647"/>
    <n v="598155"/>
    <n v="0.21717233380135514"/>
    <n v="209951"/>
    <n v="0.57656379064353835"/>
    <n v="431534"/>
    <n v="-0.47836440537623104"/>
    <n v="62111"/>
    <n v="-0.83398595679053589"/>
    <n v="93337"/>
    <n v="8.0724144634525654"/>
    <n v="1485588"/>
    <n v="-0.12006401739984396"/>
    <n v="148538"/>
    <n v="1.244318868608727"/>
    <n v="1337050"/>
    <n v="-0.17573255031881374"/>
  </r>
  <r>
    <x v="19"/>
    <n v="13934231"/>
    <n v="4.2813778354631182E-2"/>
    <n v="5370909"/>
    <n v="-0.11390015757369176"/>
    <n v="8563322"/>
    <n v="0.17292027126682141"/>
    <n v="0.61455289495344234"/>
    <n v="5977910"/>
    <n v="0.31399300526682183"/>
    <n v="900000"/>
    <n v="0.33167219557233785"/>
    <n v="3200000"/>
    <n v="0.20934292997337556"/>
    <n v="531615"/>
    <n v="0.12331380901668432"/>
    <n v="307585"/>
    <n v="0.4903745984368717"/>
    <n v="382631"/>
    <n v="0.16052883798801343"/>
    <n v="403000"/>
    <n v="1.1100249747372941"/>
    <n v="253079"/>
    <n v="8.3105363843720106"/>
    <n v="2585412"/>
    <n v="-6.0339830190304422E-2"/>
    <n v="609538"/>
    <n v="-6.3321367542382268E-2"/>
    <n v="1975874"/>
    <n v="-5.9416220106831563E-2"/>
  </r>
  <r>
    <x v="20"/>
    <n v="12916943"/>
    <n v="5.3699769371128525E-2"/>
    <n v="6196649"/>
    <n v="0.20109509947925686"/>
    <n v="6720294"/>
    <n v="-5.3411723940733791E-2"/>
    <n v="0.52026969539154888"/>
    <n v="6015274"/>
    <n v="6.2022652273251655E-2"/>
    <n v="1081408"/>
    <n v="0.4298607833103929"/>
    <n v="3257871"/>
    <n v="7.3008646987255732E-2"/>
    <n v="524043"/>
    <n v="-0.36138499840968663"/>
    <n v="250549"/>
    <n v="0.664246619018519"/>
    <n v="374466"/>
    <n v="0.12448875409146876"/>
    <n v="343596"/>
    <n v="-0.35898062554219567"/>
    <n v="183341"/>
    <n v="4.8560431838507734"/>
    <n v="705020"/>
    <n v="-0.50887175368213833"/>
    <n v="314074"/>
    <n v="0.36723926273540131"/>
    <n v="390946"/>
    <n v="-0.67577792945246995"/>
  </r>
  <r>
    <x v="21"/>
    <n v="15072902"/>
    <n v="9.2972279597657748E-2"/>
    <n v="6726661"/>
    <n v="9.3913828031072066E-2"/>
    <n v="8346241"/>
    <n v="9.2214616461316457E-2"/>
    <n v="0.55372488987190394"/>
    <n v="5797201"/>
    <n v="-6.8425609656231901E-3"/>
    <n v="1129953"/>
    <n v="1.0997028703946303"/>
    <n v="3298025"/>
    <n v="8.7540044615843637E-2"/>
    <n v="521425"/>
    <n v="-3.6118854489393004E-2"/>
    <n v="232996"/>
    <n v="-0.16884210225914731"/>
    <n v="337240"/>
    <n v="-0.18043782564740651"/>
    <n v="158102"/>
    <n v="-0.84216174771956065"/>
    <n v="119460"/>
    <n v="2.7345254470426408"/>
    <n v="2549040"/>
    <n v="0.41265349688600406"/>
    <n v="822276"/>
    <n v="4.5763025654588736"/>
    <n v="1726764"/>
    <n v="4.2118318019282119E-2"/>
  </r>
  <r>
    <x v="22"/>
    <n v="14590559"/>
    <n v="0.11342836259652844"/>
    <n v="5737809"/>
    <n v="2.174186046958404E-3"/>
    <n v="8852750"/>
    <n v="0.19975258893266434"/>
    <n v="0.60674508769677704"/>
    <n v="5848257"/>
    <n v="-0.13395414008890505"/>
    <n v="945710"/>
    <n v="-0.30822629253591594"/>
    <n v="3330370"/>
    <n v="9.80309814407887E-3"/>
    <n v="610999"/>
    <n v="0.12746668339724176"/>
    <n v="232634"/>
    <n v="0.11400345740732765"/>
    <n v="430222"/>
    <n v="4.2770301714108339E-2"/>
    <n v="203312"/>
    <n v="-0.7746358971744135"/>
    <n v="95010"/>
    <n v="3.2733774119552015"/>
    <n v="3004493"/>
    <n v="3.799609257061249"/>
    <n v="745053"/>
    <n v="-5.2972564850875981E-2"/>
    <n v="2259440"/>
    <n v="-15.056401291518654"/>
  </r>
  <r>
    <x v="23"/>
    <n v="12189742"/>
    <n v="0.17093225470803497"/>
    <n v="5295347"/>
    <n v="0.12273808014404031"/>
    <n v="6894395"/>
    <n v="0.21085367845545089"/>
    <n v="0.56558990337941528"/>
    <n v="5491906"/>
    <n v="4.9483390620517209E-3"/>
    <n v="681267"/>
    <n v="-0.25353936776225183"/>
    <n v="3318435"/>
    <n v="2.2403979643333072E-2"/>
    <n v="558966"/>
    <n v="0.18095234070962851"/>
    <n v="243056"/>
    <n v="-0.14989822114342077"/>
    <n v="318363"/>
    <n v="-1.6311232781900942E-2"/>
    <n v="280273"/>
    <n v="0.44143694713022019"/>
    <n v="91546"/>
    <n v="2.1384689224862012"/>
    <n v="1402489"/>
    <n v="5.1253155490334805"/>
    <n v="765254"/>
    <n v="1.5310873117198405"/>
    <n v="637235"/>
    <n v="-9.6845153728739639"/>
  </r>
  <r>
    <x v="24"/>
    <n v="12901234"/>
    <n v="-8.8987455568554141E-2"/>
    <n v="5543485"/>
    <n v="-0.16152566893976228"/>
    <n v="7357749"/>
    <n v="-2.5467322770193701E-2"/>
    <n v="0.57031358395638743"/>
    <n v="5557663"/>
    <n v="-7.8379474641129931E-2"/>
    <n v="986491"/>
    <n v="4.7564861635951416E-4"/>
    <n v="3031356"/>
    <n v="-0.13751799945884258"/>
    <n v="550777"/>
    <n v="-0.12175687850303363"/>
    <n v="269519"/>
    <n v="-0.14041091521445159"/>
    <n v="348005"/>
    <n v="-0.10051822845991809"/>
    <n v="212643"/>
    <n v="0.29157910081512162"/>
    <n v="158872"/>
    <n v="3.2487096515390581"/>
    <n v="1800086"/>
    <n v="0.18449153523825568"/>
    <n v="600999"/>
    <n v="0.44138978026563835"/>
    <n v="1199087"/>
    <n v="8.735674502200852E-2"/>
  </r>
  <r>
    <x v="25"/>
    <n v="150169093"/>
    <n v="6.6948218502595358E-2"/>
    <n v="63758835"/>
    <n v="-5.9026143036631562E-2"/>
    <n v="86410258"/>
    <n v="0.18389637204185205"/>
    <n v="0.57538159500922248"/>
    <n v="66318441"/>
    <n v="0.15280186457917022"/>
    <n v="11620986"/>
    <n v="0.348222150988301"/>
    <n v="36718920"/>
    <n v="0.20142899654987989"/>
    <n v="6923541"/>
    <n v="0.10445936687183899"/>
    <n v="3063426"/>
    <n v="0.32722654291917186"/>
    <n v="4030378"/>
    <n v="-9.7281526781570649E-2"/>
    <n v="2495253"/>
    <n v="-0.43424521339489874"/>
    <n v="1465937"/>
    <n v="0.64011564095363505"/>
    <n v="20091817"/>
    <n v="0.40882095995769285"/>
    <n v="6669389"/>
    <n v="0.30953048540318973"/>
    <n v="13422428"/>
    <n v="0.29472446986909917"/>
  </r>
  <r>
    <x v="26"/>
    <n v="6550883"/>
    <n v="-0.24411705214000845"/>
    <n v="2707538"/>
    <n v="-0.27925376726039886"/>
    <n v="3843345"/>
    <n v="-0.21723417017060243"/>
    <n v="0.58669113766800596"/>
    <n v="4333388"/>
    <n v="-7.9369395820418132E-2"/>
    <n v="491760"/>
    <n v="-0.44148582760065824"/>
    <n v="2447823"/>
    <n v="-8.3375086220648487E-2"/>
    <n v="512541"/>
    <n v="-9.8183667257272456E-2"/>
    <n v="178892"/>
    <n v="-0.20111108133937106"/>
    <n v="219073"/>
    <n v="0.34349511228857743"/>
    <n v="354957"/>
    <n v="2.3249683855557115"/>
    <n v="128342"/>
    <n v="0.36622701966169546"/>
    <n v="-490043"/>
    <n v="-3.4142784650477642"/>
    <n v="728277"/>
    <n v="0.50228041115472766"/>
    <n v="-1218320"/>
    <n v="3.3232885267774765"/>
  </r>
  <r>
    <x v="27"/>
    <n v="8363283"/>
    <n v="-0.1170221245884705"/>
    <n v="3282247"/>
    <n v="-0.20515717790522614"/>
    <n v="5081036"/>
    <n v="-4.8895877205297422E-2"/>
    <n v="0.60754084251363971"/>
    <n v="4455002"/>
    <n v="-0.17714757920805246"/>
    <n v="438014"/>
    <n v="-0.65170919442434461"/>
    <n v="2771850"/>
    <n v="-2.7483839639826813E-2"/>
    <n v="509265"/>
    <n v="-3.3962543321022332E-2"/>
    <n v="240180"/>
    <n v="-0.28447582447046205"/>
    <n v="258055"/>
    <n v="6.2580036811786366E-2"/>
    <n v="100583"/>
    <n v="-3.9184219324640557E-2"/>
    <n v="137055"/>
    <n v="0.42883205971580773"/>
    <n v="626034"/>
    <n v="-9.7135539904796371"/>
    <n v="754886"/>
    <n v="1.0806304021873347"/>
    <n v="-128852"/>
    <n v="-0.70355816703553564"/>
  </r>
  <r>
    <x v="28"/>
    <n v="7935684"/>
    <n v="-0.28345670781115662"/>
    <n v="3493000.6500000004"/>
    <n v="-0.13517603361052422"/>
    <n v="4442683.3499999996"/>
    <n v="-0.36857655670190137"/>
    <n v="0.55983622205722905"/>
    <n v="4065839"/>
    <n v="-0.18941278545622153"/>
    <n v="474578"/>
    <n v="-0.51231297270634657"/>
    <n v="2228772"/>
    <n v="-0.17119710123585707"/>
    <n v="507652"/>
    <n v="-7.9985574143646043E-2"/>
    <n v="265690"/>
    <n v="0.19822131624401873"/>
    <n v="233029"/>
    <n v="-0.26143991784937781"/>
    <n v="248905"/>
    <n v="0.48604435953312031"/>
    <n v="107213"/>
    <n v="0.1039798177418525"/>
    <n v="376844.34999999963"/>
    <n v="-0.81344920925733522"/>
    <n v="724218"/>
    <n v="0.38996837046476984"/>
    <n v="-347373.65000000037"/>
    <n v="-1.2317321322907935"/>
  </r>
  <r>
    <x v="29"/>
    <n v="11031285"/>
    <n v="-0.15669812155174234"/>
    <n v="4464229.42"/>
    <n v="-0.13885808883001638"/>
    <n v="6567055.5800000001"/>
    <n v="-0.16840945313032241"/>
    <n v="0.5953119314748917"/>
    <n v="2852762"/>
    <n v="-0.45139804209876122"/>
    <n v="438293"/>
    <n v="-0.52278589479345983"/>
    <n v="1126314"/>
    <n v="-0.59901968777112469"/>
    <n v="531897"/>
    <n v="-0.18601604715899789"/>
    <n v="255437"/>
    <n v="-0.12314674008190563"/>
    <n v="343077"/>
    <n v="5.2293054584268805E-2"/>
    <n v="94387"/>
    <n v="-0.14800104709206285"/>
    <n v="63357"/>
    <n v="-0.30487684458829334"/>
    <n v="3714293.58"/>
    <n v="0.37723331469481525"/>
    <n v="587589"/>
    <n v="-0.29815649157676472"/>
    <n v="3126704.58"/>
    <n v="0.6812806794155668"/>
  </r>
  <r>
    <x v="30"/>
    <n v="12192533"/>
    <n v="-0.1135354285322091"/>
    <n v="4655800.57"/>
    <n v="-0.2551323324651904"/>
    <n v="7536732.4299999997"/>
    <n v="4.4148685864993098E-3"/>
    <n v="0.61814328737104918"/>
    <n v="5026397.63"/>
    <n v="-0.13218782382838223"/>
    <n v="494429.63"/>
    <n v="-0.46682738169054327"/>
    <n v="3161900"/>
    <n v="2.0866104107098105E-2"/>
    <n v="499402"/>
    <n v="-0.31288790926964705"/>
    <n v="254745"/>
    <n v="4.1935932464047809E-2"/>
    <n v="435398"/>
    <n v="0.20792227536537466"/>
    <n v="120956"/>
    <n v="-0.64684173338238471"/>
    <n v="59567"/>
    <n v="-0.36067702743313446"/>
    <n v="2510334.7999999998"/>
    <n v="0.46668458392903345"/>
    <n v="587392"/>
    <n v="0.28301952732514968"/>
    <n v="1922942.7999999998"/>
    <n v="0.53375175772541739"/>
  </r>
  <r>
    <x v="31"/>
    <n v="10036330"/>
    <n v="-0.19806509602007749"/>
    <n v="3822094.3499999996"/>
    <n v="-0.30864479274236045"/>
    <n v="6214235.6500000004"/>
    <n v="-0.11056644635390434"/>
    <n v="0.61917410547481"/>
    <n v="5378859.3200000003"/>
    <n v="-2.2229310038308303E-2"/>
    <n v="516097.32"/>
    <n v="-0.45047624929192953"/>
    <n v="3367016"/>
    <n v="6.3194570312919307E-2"/>
    <n v="516319"/>
    <n v="-0.13681403649555712"/>
    <n v="229055"/>
    <n v="9.0992660192140029E-2"/>
    <n v="547735"/>
    <n v="0.26927426344158278"/>
    <n v="152369"/>
    <n v="1.4531725459258427"/>
    <n v="50268"/>
    <n v="-0.4614354436075726"/>
    <n v="835376.33000000007"/>
    <n v="-0.4376796729645096"/>
    <n v="589450"/>
    <n v="2.968344800657071"/>
    <n v="245926.33000000007"/>
    <n v="-0.81606796305298968"/>
  </r>
  <r>
    <x v="32"/>
    <n v="13989437"/>
    <n v="3.9618978614608391E-3"/>
    <n v="5293727.68"/>
    <n v="-1.4370252782164084E-2"/>
    <n v="8695709.3200000003"/>
    <n v="1.5459808705079681E-2"/>
    <n v="0.62159108475916514"/>
    <n v="5718625"/>
    <n v="-4.3373854741874718E-2"/>
    <n v="391802"/>
    <n v="-0.56466444444444441"/>
    <n v="3448755"/>
    <n v="7.7735937499999963E-2"/>
    <n v="516997"/>
    <n v="-2.7497343001984476E-2"/>
    <n v="257687"/>
    <n v="-0.16222507599525338"/>
    <n v="465758"/>
    <n v="0.21725108524923487"/>
    <n v="198949"/>
    <n v="-0.50633002481389577"/>
    <n v="438677"/>
    <n v="0.73335993899138208"/>
    <n v="2977084.3200000003"/>
    <n v="0.15149319334790756"/>
    <n v="830298"/>
    <n v="0.36217594309132495"/>
    <n v="2146786.3200000003"/>
    <n v="8.6499604731880897E-2"/>
  </r>
  <r>
    <x v="33"/>
    <n v="11808377"/>
    <n v="-8.5822628465574202E-2"/>
    <n v="4807554.03"/>
    <n v="-0.22416873539230631"/>
    <n v="7000822.9699999997"/>
    <n v="4.1743556159894224E-2"/>
    <n v="0.5928691953178663"/>
    <n v="5853930"/>
    <n v="-2.6822385813181526E-2"/>
    <n v="560171"/>
    <n v="-0.48199846866307627"/>
    <n v="3745196"/>
    <n v="0.14958388469033923"/>
    <n v="517816"/>
    <n v="-1.1882612686363481E-2"/>
    <n v="305278"/>
    <n v="0.21843631385477491"/>
    <n v="429922"/>
    <n v="0.14809355188455031"/>
    <n v="185692"/>
    <n v="-0.45956297512194555"/>
    <n v="109855"/>
    <n v="-0.40081596587779056"/>
    <n v="1146892.9699999997"/>
    <n v="0.62675239000312022"/>
    <n v="408628"/>
    <n v="0.30105643892840539"/>
    <n v="738264.96999999974"/>
    <n v="0.88840650626940731"/>
  </r>
  <r>
    <x v="34"/>
    <n v="13561815"/>
    <n v="-0.10025189575305404"/>
    <n v="6528658"/>
    <n v="-2.943555502499684E-2"/>
    <n v="7033157"/>
    <n v="-0.15732639400180271"/>
    <n v="0.51859998090226123"/>
    <n v="5713072"/>
    <n v="-1.4512003292623477E-2"/>
    <n v="706233"/>
    <n v="-0.3749890482170497"/>
    <n v="3593776"/>
    <n v="8.9675184390658025E-2"/>
    <n v="523843"/>
    <n v="4.6372920362467429E-3"/>
    <n v="284070"/>
    <n v="0.21920547992240214"/>
    <n v="292137"/>
    <n v="-0.13374154904519042"/>
    <n v="194731"/>
    <n v="0.23167954864581097"/>
    <n v="118282"/>
    <n v="-9.8610413527540075E-3"/>
    <n v="1320085"/>
    <n v="-0.48212464300285596"/>
    <n v="408628"/>
    <n v="-0.50305250305250304"/>
    <n v="911457"/>
    <n v="-0.47215890532811666"/>
  </r>
  <r>
    <x v="35"/>
    <n v="9864028"/>
    <n v="-0.32394447669893933"/>
    <n v="4192589.75"/>
    <n v="-0.26930475552602051"/>
    <n v="5671438.25"/>
    <n v="-0.35935858913896812"/>
    <n v="0.57496169414766463"/>
    <n v="5866469"/>
    <n v="3.1140902323547603E-3"/>
    <n v="643857"/>
    <n v="-0.31918135580674833"/>
    <n v="3818433"/>
    <n v="0.14654918222299629"/>
    <n v="510684"/>
    <n v="-0.16418193810464499"/>
    <n v="291915"/>
    <n v="0.2548251760275797"/>
    <n v="394386"/>
    <n v="-8.3296530628373278E-2"/>
    <n v="58241"/>
    <n v="-0.71353879751318172"/>
    <n v="148953"/>
    <n v="0.5677612882854437"/>
    <n v="-195030.75"/>
    <n v="-1.0649130319158673"/>
    <n v="541856"/>
    <n v="-0.27272824886283253"/>
    <n v="-736886.75"/>
    <n v="-1.3261368967531777"/>
  </r>
  <r>
    <x v="36"/>
    <n v="10806325"/>
    <n v="-0.11349026090954184"/>
    <n v="4562052.2699999996"/>
    <n v="-0.13847907039897489"/>
    <n v="6244272.7300000004"/>
    <n v="-9.429721824757642E-2"/>
    <n v="0.57783499293237994"/>
    <n v="5600507"/>
    <n v="1.9774737586550017E-2"/>
    <n v="655275"/>
    <n v="-3.8152442434464029E-2"/>
    <n v="3602012"/>
    <n v="8.5455041307122226E-2"/>
    <n v="499658"/>
    <n v="-0.10610305456861424"/>
    <n v="213261"/>
    <n v="-0.12258491870186294"/>
    <n v="427588"/>
    <n v="0.34308321004639364"/>
    <n v="103697"/>
    <n v="-0.63001430747877962"/>
    <n v="99016"/>
    <n v="8.1598322154982306E-2"/>
    <n v="643765.73000000045"/>
    <n v="-0.54098340165234782"/>
    <n v="544676"/>
    <n v="-0.28824155117124506"/>
    <n v="99089.730000000447"/>
    <n v="-0.84450049039993025"/>
  </r>
  <r>
    <x v="37"/>
    <n v="11999947"/>
    <n v="-6.9860526520176269E-2"/>
    <n v="6019756"/>
    <n v="8.5915448494944924E-2"/>
    <n v="5980191"/>
    <n v="-0.18722546800658735"/>
    <n v="0.49835145105224216"/>
    <n v="6123695"/>
    <n v="0.10184712531148432"/>
    <n v="684106"/>
    <n v="-0.30652585781319852"/>
    <n v="3903499"/>
    <n v="0.28770721749606443"/>
    <n v="510920"/>
    <n v="-7.2365040660739233E-2"/>
    <n v="299480"/>
    <n v="0.1111647045291797"/>
    <n v="399797"/>
    <n v="0.14882544791023111"/>
    <n v="175170"/>
    <n v="-0.17622494039305314"/>
    <n v="150723"/>
    <n v="-5.129286469610761E-2"/>
    <n v="-143504"/>
    <n v="-1.0797206355696338"/>
    <n v="557927"/>
    <n v="-7.1667340544659841E-2"/>
    <n v="-701431"/>
    <n v="-1.5849708986920881"/>
  </r>
  <r>
    <x v="38"/>
    <n v="128139927"/>
    <n v="-0.14669573851658013"/>
    <n v="53829247.719999999"/>
    <n v="-0.15573664857584057"/>
    <n v="74310679.280000001"/>
    <n v="-0.14002479566719961"/>
    <n v="0.58090882713926717"/>
    <n v="60988545.950000003"/>
    <n v="-8.0368219904324856E-2"/>
    <n v="6494615.9499999993"/>
    <n v="-0.44113038687078709"/>
    <n v="37215346"/>
    <n v="1.3519624215527104E-2"/>
    <n v="6156994"/>
    <n v="-0.11071603389075046"/>
    <n v="3075690"/>
    <n v="4.0033609429441785E-3"/>
    <n v="4445955"/>
    <n v="0.10311117220270649"/>
    <n v="1988637"/>
    <n v="-0.20303191700400725"/>
    <n v="1611308"/>
    <n v="9.9165925957254597E-2"/>
    <n v="13322133.329999998"/>
    <n v="-0.33693735464542618"/>
    <n v="7263825"/>
    <n v="8.9129004171146775E-2"/>
    <n v="6058308.3300000001"/>
    <n v="-0.54864288860405885"/>
  </r>
  <r>
    <x v="39"/>
    <n v="5978967"/>
    <n v="-8.73036505155107E-2"/>
    <n v="2537994.11"/>
    <n v="-6.2619209776557216E-2"/>
    <n v="3440972.89"/>
    <n v="-0.10469320604837706"/>
    <n v="0.5755129422858497"/>
    <n v="4783739"/>
    <n v="0.1039258427816756"/>
    <n v="449153"/>
    <n v="-8.6641857816821211E-2"/>
    <n v="3186171"/>
    <n v="0.30163455445920717"/>
    <n v="493935"/>
    <n v="-3.6301486125012383E-2"/>
    <n v="224351"/>
    <n v="0.25411421416273505"/>
    <n v="248481"/>
    <n v="0.13423835890319658"/>
    <n v="37708"/>
    <n v="-0.89376741408114224"/>
    <n v="143940"/>
    <n v="0.12153464960807847"/>
    <n v="-1342766.1099999999"/>
    <n v="1.7400985423728117"/>
    <n v="307562"/>
    <n v="-0.57768541365441994"/>
    <n v="-1650328.1099999999"/>
    <n v="0.35459330061067695"/>
  </r>
  <r>
    <x v="40"/>
    <n v="7583876"/>
    <n v="-9.3193904833783536E-2"/>
    <n v="3369768.9299999997"/>
    <n v="2.6665247923145285E-2"/>
    <n v="4214107.07"/>
    <n v="-0.17062050534576012"/>
    <n v="0.55566666306252899"/>
    <n v="4714552"/>
    <n v="5.8260355438673139E-2"/>
    <n v="532390"/>
    <n v="0.21546343267566792"/>
    <n v="2910160"/>
    <n v="4.989808250807215E-2"/>
    <n v="484945"/>
    <n v="-4.7755098033440357E-2"/>
    <n v="228241"/>
    <n v="-4.9708551919393829E-2"/>
    <n v="309666"/>
    <n v="0.19999999999999996"/>
    <n v="150661"/>
    <n v="0.49787737490430795"/>
    <n v="98489"/>
    <n v="-0.28139068257268984"/>
    <n v="-500444.9299999997"/>
    <n v="-1.7993893782126844"/>
    <n v="321769"/>
    <n v="-0.57375153334410767"/>
    <n v="-822213.9299999997"/>
    <n v="5.3810723155247855"/>
  </r>
  <r>
    <x v="41"/>
    <n v="12524631"/>
    <n v="0.5782673554037685"/>
    <n v="6179149.96"/>
    <n v="0.76900910682624679"/>
    <n v="6345481.04"/>
    <n v="0.42829919219878687"/>
    <n v="0.50664015889969138"/>
    <n v="4295637"/>
    <n v="5.6519207966670537E-2"/>
    <n v="381400"/>
    <n v="-0.196338641909233"/>
    <n v="2862134"/>
    <n v="0.28417532165694825"/>
    <n v="396413"/>
    <n v="-0.21912451837085245"/>
    <n v="224103"/>
    <n v="-0.15652452105837633"/>
    <n v="299601"/>
    <n v="0.28568118131219711"/>
    <n v="31544"/>
    <n v="-0.87326891786022776"/>
    <n v="100442"/>
    <n v="-6.3154654752688555E-2"/>
    <n v="2049844.04"/>
    <n v="4.4394978722647744"/>
    <n v="330504"/>
    <n v="-0.54364017464354664"/>
    <n v="1719340.04"/>
    <n v="-5.9495407610795992"/>
  </r>
  <r>
    <x v="42"/>
    <n v="11577352.359999999"/>
    <n v="4.9501699937949173E-2"/>
    <n v="4832467.2699999996"/>
    <n v="8.2486318545877957E-2"/>
    <n v="6744885.0899999999"/>
    <n v="2.7079032274613279E-2"/>
    <n v="0.58259305584441934"/>
    <n v="4179731.69"/>
    <n v="0.46515260999690833"/>
    <n v="350360"/>
    <n v="-0.20062606521208415"/>
    <n v="2906284.27"/>
    <n v="1.5803499468176727"/>
    <n v="169208.04"/>
    <n v="-0.68187818318208215"/>
    <n v="265794.71000000002"/>
    <n v="4.0548980766294651E-2"/>
    <n v="344984.35"/>
    <n v="5.559539112210965E-3"/>
    <n v="21493"/>
    <n v="-0.77228855668683183"/>
    <n v="121607.32"/>
    <n v="0.91939833009770044"/>
    <n v="2565153.4"/>
    <n v="-0.3093832394368784"/>
    <n v="330700.74"/>
    <n v="-0.43719038307388325"/>
    <n v="2234452.66"/>
    <n v="-0.28536495763216618"/>
  </r>
  <r>
    <x v="43"/>
    <n v="12947927.33"/>
    <n v="6.1955487838335266E-2"/>
    <n v="5343250.26"/>
    <n v="0.14765445376454323"/>
    <n v="7604677.0700000003"/>
    <n v="9.0151323044913578E-3"/>
    <n v="0.58732775340653698"/>
    <n v="4511100.72"/>
    <n v="-0.10251813484163208"/>
    <n v="504597.5"/>
    <n v="2.0564847620479387E-2"/>
    <n v="3138257"/>
    <n v="-7.4774660805212445E-3"/>
    <n v="151786.15"/>
    <n v="-0.69606419277455833"/>
    <n v="193755.46"/>
    <n v="-0.2394140807474141"/>
    <n v="387867.54"/>
    <n v="-0.10916554508748322"/>
    <n v="31692"/>
    <n v="-0.73798736730712"/>
    <n v="103145.07"/>
    <n v="0.73158074101432002"/>
    <n v="3093576.3500000006"/>
    <n v="0.23233616089774189"/>
    <n v="295714.65999999997"/>
    <n v="-0.49656335122030948"/>
    <n v="2797861.6900000004"/>
    <n v="0.45498955559156551"/>
  </r>
  <r>
    <x v="44"/>
    <n v="11902556"/>
    <n v="0.18594705435154091"/>
    <n v="5123673.03"/>
    <n v="0.340540698583226"/>
    <n v="6778882.9699999997"/>
    <n v="9.0863519152190486E-2"/>
    <n v="0.5695317014261474"/>
    <n v="4291480.7"/>
    <n v="-0.20215784710279427"/>
    <n v="443102"/>
    <n v="-0.14143712275041465"/>
    <n v="3031579"/>
    <n v="-9.9624415209194184E-2"/>
    <n v="102515.87"/>
    <n v="-0.80144858120657969"/>
    <n v="289602.42"/>
    <n v="0.2643357272270852"/>
    <n v="285324.82"/>
    <n v="-0.47908236647283808"/>
    <n v="31065"/>
    <n v="-0.79611994565823752"/>
    <n v="108291.59"/>
    <n v="1.1542848332935467"/>
    <n v="2487402.2699999996"/>
    <n v="1.9775828936881648"/>
    <n v="301305.65999999997"/>
    <n v="-0.48883593180083129"/>
    <n v="2186096.6099999994"/>
    <n v="7.8892336579007161"/>
  </r>
  <r>
    <x v="45"/>
    <n v="11413037"/>
    <n v="-0.18416752582680773"/>
    <n v="4802246.5999999996"/>
    <n v="-9.2842153905430935E-2"/>
    <n v="6610790.4000000004"/>
    <n v="-0.23976410011828686"/>
    <n v="0.57923148763996823"/>
    <n v="4388811"/>
    <n v="-0.23254086428118648"/>
    <n v="420860"/>
    <n v="7.4165011919285817E-2"/>
    <n v="3080248"/>
    <n v="-0.10685218288918752"/>
    <n v="148229"/>
    <n v="-0.71328847169325926"/>
    <n v="238405"/>
    <n v="-7.4827212859011172E-2"/>
    <n v="361306"/>
    <n v="-0.22426238518715724"/>
    <n v="21612"/>
    <n v="-0.89136914485621943"/>
    <n v="118151"/>
    <n v="-0.73066515910339502"/>
    <n v="2221979.4000000004"/>
    <n v="-0.25363907731037993"/>
    <n v="315119"/>
    <n v="-0.62047481747517153"/>
    <n v="1906860.4000000004"/>
    <n v="-0.11176050348597333"/>
  </r>
  <r>
    <x v="46"/>
    <n v="11491012"/>
    <n v="-2.6876259116727086E-2"/>
    <n v="4670223.21"/>
    <n v="-2.8565632157856458E-2"/>
    <n v="6820788.79"/>
    <n v="-2.571614519771237E-2"/>
    <n v="0.59357598704100212"/>
    <n v="4701126"/>
    <n v="-0.19692821745391553"/>
    <n v="474053"/>
    <n v="-0.1537351987161063"/>
    <n v="3193273"/>
    <n v="-0.1473682552261617"/>
    <n v="169222"/>
    <n v="-0.6732005191033108"/>
    <n v="210064"/>
    <n v="-0.31189276659307252"/>
    <n v="353350"/>
    <n v="-0.17810672633640523"/>
    <n v="28716"/>
    <n v="-0.84535682743467677"/>
    <n v="272448"/>
    <n v="1.4800691821036822"/>
    <n v="2119662.79"/>
    <n v="0.84817837884209935"/>
    <n v="308251"/>
    <n v="-0.24564395978738607"/>
    <n v="1811411.79"/>
    <n v="1.4536065824713322"/>
  </r>
  <r>
    <x v="47"/>
    <n v="10323500"/>
    <n v="-0.23878182971821982"/>
    <n v="4316448.34"/>
    <n v="-0.33884600173573198"/>
    <n v="6007051.6600000001"/>
    <n v="-0.14589541225938796"/>
    <n v="0.58188130575870589"/>
    <n v="4273476"/>
    <n v="-0.25198282115121251"/>
    <n v="320636"/>
    <n v="-0.54599119554028208"/>
    <n v="3088101"/>
    <n v="-0.14070854722164094"/>
    <n v="176127"/>
    <n v="-0.66377903303088903"/>
    <n v="225869"/>
    <n v="-0.20488259935931286"/>
    <n v="293290"/>
    <n v="3.9467783950679625E-3"/>
    <n v="26458"/>
    <n v="-0.86413051851014988"/>
    <n v="142995"/>
    <n v="0.2089328891970037"/>
    <n v="1733575.6600000001"/>
    <n v="0.31323032986512245"/>
    <n v="307784"/>
    <n v="-0.24678680853979662"/>
    <n v="1425791.6600000001"/>
    <n v="0.56429942388944321"/>
  </r>
  <r>
    <x v="48"/>
    <n v="12795408"/>
    <n v="0.29717879957356153"/>
    <n v="5478261.5899999999"/>
    <n v="0.30665338529723773"/>
    <n v="7317146.4100000001"/>
    <n v="0.29017474711992142"/>
    <n v="0.57185721705786952"/>
    <n v="4615869"/>
    <n v="-0.21317763717834359"/>
    <n v="537779"/>
    <n v="-0.16475397487330257"/>
    <n v="3035236"/>
    <n v="-0.20510953053255088"/>
    <n v="171197"/>
    <n v="-0.664769211488905"/>
    <n v="295113"/>
    <n v="1.0955243820975236E-2"/>
    <n v="368393"/>
    <n v="-6.5907511929936713E-2"/>
    <n v="25862"/>
    <n v="-0.5559485585755739"/>
    <n v="182289"/>
    <n v="0.22380213892972955"/>
    <n v="2701277.41"/>
    <n v="-14.850520546119011"/>
    <n v="259099"/>
    <n v="-0.52183052323864643"/>
    <n v="2442178.41"/>
    <n v="-4.314184180947751"/>
  </r>
  <r>
    <x v="49"/>
    <n v="12202888"/>
    <n v="0.12923570223919789"/>
    <n v="4756643.4000000004"/>
    <n v="4.2654296462061536E-2"/>
    <n v="7446244.5999999996"/>
    <n v="0.19249189168583913"/>
    <n v="0.61020346986713303"/>
    <n v="4838977"/>
    <n v="-0.13597518938910347"/>
    <n v="637156"/>
    <n v="-2.765098622715656E-2"/>
    <n v="3251708"/>
    <n v="-9.7252313429272319E-2"/>
    <n v="204734"/>
    <n v="-0.59025173218481441"/>
    <n v="253648"/>
    <n v="0.18937827357088266"/>
    <n v="316062"/>
    <n v="-0.26082584169808321"/>
    <n v="20680"/>
    <n v="-0.80057282274318453"/>
    <n v="154989"/>
    <n v="0.56529247798335613"/>
    <n v="2607267.5999999996"/>
    <n v="3.0500254650088285"/>
    <n v="263586"/>
    <n v="-0.51606826810801287"/>
    <n v="2343681.5999999996"/>
    <n v="22.652114099008941"/>
  </r>
  <r>
    <x v="50"/>
    <n v="12398731"/>
    <n v="3.3232146775314941E-2"/>
    <n v="5192102.1900000004"/>
    <n v="-0.13748959426262453"/>
    <n v="7206628.8099999996"/>
    <n v="0.20508338446046293"/>
    <n v="0.58123922601433964"/>
    <n v="4724136"/>
    <n v="-0.22854812331443675"/>
    <n v="642294"/>
    <n v="-6.1119183284461753E-2"/>
    <n v="3013558"/>
    <n v="-0.22798545612538901"/>
    <n v="211191"/>
    <n v="-0.58664565881155561"/>
    <n v="282853"/>
    <n v="-5.5519567249899815E-2"/>
    <n v="416417"/>
    <n v="4.1571097331895901E-2"/>
    <n v="31780"/>
    <n v="-0.81857624022378261"/>
    <n v="126043"/>
    <n v="-0.16374408683478969"/>
    <n v="2482492.8099999996"/>
    <n v="-18.299119257999774"/>
    <n v="271783"/>
    <n v="-0.51286996327476531"/>
    <n v="2210709.8099999996"/>
    <n v="-4.1517138677931253"/>
  </r>
  <r>
    <x v="51"/>
    <n v="133139885.69"/>
    <n v="3.9019521916849431E-2"/>
    <n v="56602228.890000008"/>
    <n v="5.1514395750504205E-2"/>
    <n v="76537656.799999997"/>
    <n v="2.9968472117026801E-2"/>
    <n v="0.57460508069201599"/>
    <n v="54318636.109999999"/>
    <n v="-0.10936331955623546"/>
    <n v="5693780.5"/>
    <n v="-0.12330759142116776"/>
    <n v="36696709.269999996"/>
    <n v="-1.3936098565360711E-2"/>
    <n v="2879503.06"/>
    <n v="-0.53231998277081316"/>
    <n v="2931799.59"/>
    <n v="-4.6783131589984706E-2"/>
    <n v="3984742.71"/>
    <n v="-0.10373750746465049"/>
    <n v="459271"/>
    <n v="-0.76905237104609836"/>
    <n v="1672829.98"/>
    <n v="3.8181390522482372E-2"/>
    <n v="22219020.690000001"/>
    <n v="0.6678275272898806"/>
    <n v="3613178.0599999996"/>
    <n v="-0.50257914253165525"/>
    <n v="18605842.630000003"/>
    <n v="2.0711283771851212"/>
  </r>
  <r>
    <x v="52"/>
    <n v="6667726"/>
    <n v="0.11519698971410941"/>
    <n v="2665663.61"/>
    <n v="5.0303308229505683E-2"/>
    <n v="4002062.39"/>
    <n v="0.16306129630681276"/>
    <n v="0.60021398449786334"/>
    <n v="4268079"/>
    <n v="-0.10779434245890085"/>
    <n v="417771"/>
    <n v="-6.9869287302990246E-2"/>
    <n v="3101693"/>
    <n v="-2.6513956721092469E-2"/>
    <n v="182692"/>
    <n v="-0.63012947047688461"/>
    <n v="191758"/>
    <n v="-0.14527682069614134"/>
    <n v="205543"/>
    <n v="-0.1728019446154837"/>
    <n v="25460"/>
    <n v="-0.32481171104274953"/>
    <n v="143162"/>
    <n v="-5.4050298735583979E-3"/>
    <n v="-266016.60999999987"/>
    <n v="-0.80188909444549517"/>
    <n v="310968"/>
    <n v="1.1074189919430877E-2"/>
    <n v="-576984.60999999987"/>
    <n v="-0.65038188072794823"/>
  </r>
  <r>
    <x v="53"/>
    <n v="7611996"/>
    <n v="3.7078665315730674E-3"/>
    <n v="2796197.7800000003"/>
    <n v="-0.17021082510841468"/>
    <n v="4815798.22"/>
    <n v="0.14278022366432164"/>
    <n v="0.63265905814979406"/>
    <n v="4129333"/>
    <n v="-0.12413035215222989"/>
    <n v="487920"/>
    <n v="-8.3528991904430971E-2"/>
    <n v="2791665"/>
    <n v="-4.0717692498006941E-2"/>
    <n v="188115"/>
    <n v="-0.61209003082823821"/>
    <n v="216109"/>
    <n v="-5.3154341244561643E-2"/>
    <n v="317646"/>
    <n v="2.5769700257697092E-2"/>
    <n v="21090"/>
    <n v="-0.86001685904115865"/>
    <n v="106788"/>
    <n v="8.4263217212074526E-2"/>
    <n v="686465.21999999974"/>
    <n v="-2.3717098103081993"/>
    <n v="348625"/>
    <n v="8.3463602770931899E-2"/>
    <n v="337840.21999999974"/>
    <n v="-1.4108908979442853"/>
  </r>
  <r>
    <x v="54"/>
    <n v="12074039"/>
    <n v="-3.5976469087193097E-2"/>
    <n v="5524938.8700000001"/>
    <n v="-0.10587396231438928"/>
    <n v="6549100.1299999999"/>
    <n v="3.2088834355732399E-2"/>
    <n v="0.54241170912235748"/>
    <n v="4603275"/>
    <n v="7.1616386580150904E-2"/>
    <n v="565755"/>
    <n v="0.4833639223911903"/>
    <n v="2737046"/>
    <n v="-4.3704452691593065E-2"/>
    <n v="192535"/>
    <n v="-0.51430704845703845"/>
    <n v="245078"/>
    <n v="9.3595355706973971E-2"/>
    <n v="454905"/>
    <n v="0.51836943134368707"/>
    <n v="33017"/>
    <n v="4.6696677656606678E-2"/>
    <n v="374939"/>
    <n v="2.7328906234443759"/>
    <n v="1945825.13"/>
    <n v="-5.0744792272098938E-2"/>
    <n v="483963"/>
    <n v="0.46431813230702201"/>
    <n v="1461862.13"/>
    <n v="-0.14975391953298556"/>
  </r>
  <r>
    <x v="55"/>
    <n v="13512832"/>
    <n v="0.16717808872148732"/>
    <n v="5642977.1600000001"/>
    <n v="0.16772175468867712"/>
    <n v="7869854.8399999999"/>
    <n v="0.16678857163450944"/>
    <n v="0.5823986296876924"/>
    <n v="5300007.0999999996"/>
    <n v="0.26802567559067403"/>
    <n v="600922.1"/>
    <n v="0.71515612512843929"/>
    <n v="3221481"/>
    <n v="0.10845350995207359"/>
    <n v="192281"/>
    <n v="0.13635853237233886"/>
    <n v="217387"/>
    <n v="-0.18212442979019416"/>
    <n v="495692"/>
    <n v="0.43685358480754277"/>
    <n v="56531"/>
    <n v="1.6302051830828641"/>
    <n v="515713"/>
    <n v="3.2408055699278631"/>
    <n v="2569847.7400000002"/>
    <n v="1.8300426009612014E-3"/>
    <n v="408264"/>
    <n v="0.23454214224014147"/>
    <n v="2161583.7400000002"/>
    <n v="-3.2611530020063118E-2"/>
  </r>
  <r>
    <x v="56"/>
    <n v="11412354.42"/>
    <n v="-0.11859604018954595"/>
    <n v="4805563.43"/>
    <n v="-0.10062916835940983"/>
    <n v="6606790.9900000002"/>
    <n v="-0.13122004666530829"/>
    <n v="0.57891568618143219"/>
    <n v="5224551"/>
    <n v="0.15815436725606968"/>
    <n v="500932"/>
    <n v="-7.2642056292391288E-3"/>
    <n v="3535030"/>
    <n v="0.12643100931504336"/>
    <n v="187538"/>
    <n v="0.23554092385899517"/>
    <n v="228492"/>
    <n v="0.17928031550697976"/>
    <n v="420345"/>
    <n v="8.3733379699677979E-2"/>
    <n v="47302"/>
    <n v="0.49255332576044419"/>
    <n v="304912"/>
    <n v="1.9561471042678042"/>
    <n v="1382239.9900000002"/>
    <n v="-0.55319027765388751"/>
    <n v="401314"/>
    <n v="0.35709876541122454"/>
    <n v="980925.99000000022"/>
    <n v="-0.64940154350517587"/>
  </r>
  <r>
    <x v="57"/>
    <n v="11694165"/>
    <n v="-1.7508088178707193E-2"/>
    <n v="5254086.76"/>
    <n v="2.545317182349538E-2"/>
    <n v="6440078.2400000002"/>
    <n v="-4.9979433410988539E-2"/>
    <n v="0.55070868591301736"/>
    <n v="5578424.0499999998"/>
    <n v="0.29988328969998612"/>
    <n v="597393.05000000005"/>
    <n v="0.34820662059751495"/>
    <n v="3589762"/>
    <n v="0.18412286138675582"/>
    <n v="184495"/>
    <n v="0.79967257752385068"/>
    <n v="336616"/>
    <n v="0.16233835338806912"/>
    <n v="411521"/>
    <n v="0.44228952812447231"/>
    <n v="75265"/>
    <n v="1.4228231128279414"/>
    <n v="383372"/>
    <n v="2.5401825755813543"/>
    <n v="861654.19000000041"/>
    <n v="-0.65359274597751305"/>
    <n v="401290"/>
    <n v="0.33183691272178573"/>
    <n v="460364.19000000041"/>
    <n v="-0.7894126966328352"/>
  </r>
  <r>
    <x v="58"/>
    <n v="10900540"/>
    <n v="-4.4904524536282464E-2"/>
    <n v="4983518.63"/>
    <n v="3.7747338922578422E-2"/>
    <n v="5917021.3700000001"/>
    <n v="-0.1049449442535646"/>
    <n v="0.54281910529203137"/>
    <n v="5125862"/>
    <n v="0.16793865126568441"/>
    <n v="639384"/>
    <n v="0.51923204866226302"/>
    <n v="3235480"/>
    <n v="5.0395942144918271E-2"/>
    <n v="176660"/>
    <n v="0.19180457265447393"/>
    <n v="318651"/>
    <n v="0.33659528952832374"/>
    <n v="406042"/>
    <n v="0.12381748434844697"/>
    <n v="115215"/>
    <n v="4.3310660744031093"/>
    <n v="234430"/>
    <n v="0.9841558683379743"/>
    <n v="791159.37000000011"/>
    <n v="-0.64393937675569812"/>
    <n v="441007"/>
    <n v="0.39949352466845856"/>
    <n v="350152.37000000011"/>
    <n v="-0.8163723102121162"/>
  </r>
  <r>
    <x v="59"/>
    <n v="11301926"/>
    <n v="-1.6455121620271518E-2"/>
    <n v="4879147.9400000004"/>
    <n v="4.4735491347104306E-2"/>
    <n v="6422778.0599999996"/>
    <n v="-5.8352595609400204E-2"/>
    <n v="0.56829057808377081"/>
    <n v="5058719"/>
    <n v="7.6065393695042394E-2"/>
    <n v="766357"/>
    <n v="0.61660616007070934"/>
    <n v="3210411"/>
    <n v="5.3669072453248479E-3"/>
    <n v="177029"/>
    <n v="4.6134663341645954E-2"/>
    <n v="269478"/>
    <n v="0.28283761139462249"/>
    <n v="355821"/>
    <n v="6.9930663647941316E-3"/>
    <n v="59221"/>
    <n v="1.062299763198217"/>
    <n v="220402"/>
    <n v="-0.19103094902513507"/>
    <n v="1364059.0599999996"/>
    <n v="-0.35647355492804611"/>
    <n v="506969"/>
    <n v="0.64466295324264955"/>
    <n v="857090.05999999959"/>
    <n v="-0.52683864335452979"/>
  </r>
  <r>
    <x v="60"/>
    <n v="12700295"/>
    <n v="0.23023151063108438"/>
    <n v="5821550.7800000003"/>
    <n v="0.34869001582907866"/>
    <n v="6878744.2199999997"/>
    <n v="0.14511154711794161"/>
    <n v="0.54162082219350016"/>
    <n v="5426905"/>
    <n v="0.26990417168599978"/>
    <n v="927470"/>
    <n v="1.8925947179979792"/>
    <n v="3313251"/>
    <n v="7.2908884780646721E-2"/>
    <n v="179776"/>
    <n v="2.0718004621665065E-2"/>
    <n v="289792"/>
    <n v="0.28300917788629687"/>
    <n v="468359"/>
    <n v="0.59691431688772201"/>
    <n v="74342"/>
    <n v="1.8098117771562476"/>
    <n v="173915"/>
    <n v="0.21623133676002659"/>
    <n v="1451839.2199999997"/>
    <n v="-0.16251753326993545"/>
    <n v="567649"/>
    <n v="0.84430964572557388"/>
    <n v="884190.21999999974"/>
    <n v="-0.37986015432296771"/>
  </r>
  <r>
    <x v="61"/>
    <n v="11905965"/>
    <n v="-6.9512672046096569E-2"/>
    <n v="5198650.71"/>
    <n v="-5.1040074557666348E-2"/>
    <n v="6707314.29"/>
    <n v="-8.3342888857133035E-2"/>
    <n v="0.56335746745433912"/>
    <n v="5585503"/>
    <n v="0.2100653203113001"/>
    <n v="745236"/>
    <n v="0.38576627201880331"/>
    <n v="3631911"/>
    <n v="0.19658273689426453"/>
    <n v="188378"/>
    <n v="0.1003580670222024"/>
    <n v="243083"/>
    <n v="-0.17630534744318282"/>
    <n v="353469"/>
    <n v="-4.0511084629729632E-2"/>
    <n v="150298"/>
    <n v="4.8115381641017709"/>
    <n v="273128"/>
    <n v="0.49832408976954179"/>
    <n v="1121811.29"/>
    <n v="-0.58471081650218215"/>
    <n v="565638"/>
    <n v="1.1830960366500833"/>
    <n v="556173.29"/>
    <n v="-0.77226344818927461"/>
  </r>
  <r>
    <x v="62"/>
    <n v="9747352"/>
    <n v="-0.20122580818573443"/>
    <n v="4260231.5599999996"/>
    <n v="-0.10436179428544101"/>
    <n v="5487120.4400000004"/>
    <n v="-0.26310231066006073"/>
    <n v="0.56293447081833103"/>
    <n v="5310032"/>
    <n v="9.7345988625281654E-2"/>
    <n v="591429"/>
    <n v="-7.1767353677906209E-2"/>
    <n v="3545585"/>
    <n v="9.0376196140612874E-2"/>
    <n v="200122"/>
    <n v="-2.2526790860335821E-2"/>
    <n v="317288"/>
    <n v="0.25089888349208356"/>
    <n v="366354"/>
    <n v="0.15912067885414882"/>
    <n v="48005"/>
    <n v="1.3213249516441006"/>
    <n v="241249"/>
    <n v="0.55655562652833424"/>
    <n v="177088.44000000041"/>
    <n v="-0.93207891664054721"/>
    <n v="649451"/>
    <n v="1.4639055185025001"/>
    <n v="-472362.55999999959"/>
    <n v="-1.2015472408880112"/>
  </r>
  <r>
    <x v="63"/>
    <n v="22718925"/>
    <n v="0.83235889221243697"/>
    <n v="11151425.91"/>
    <n v="1.1477670319119815"/>
    <n v="11567499.09"/>
    <n v="0.60511931375580308"/>
    <n v="0.50915697331629906"/>
    <n v="4822542"/>
    <n v="2.0830475667931614E-2"/>
    <n v="480614"/>
    <n v="-0.25172273133487155"/>
    <n v="3046229"/>
    <n v="1.0841337714422528E-2"/>
    <n v="210370"/>
    <n v="-3.8874762655605188E-3"/>
    <n v="345950"/>
    <n v="0.22307346925788307"/>
    <n v="433726"/>
    <n v="4.1566506650785096E-2"/>
    <n v="25448"/>
    <n v="-0.1992448080553807"/>
    <n v="280205"/>
    <n v="1.2230905325960189"/>
    <n v="6744957.0899999999"/>
    <n v="1.7170097181469788"/>
    <n v="659894"/>
    <n v="1.42801794078364"/>
    <n v="6085063.0899999999"/>
    <n v="1.7525381497266714"/>
  </r>
  <r>
    <x v="64"/>
    <n v="142248115.42000002"/>
    <n v="6.8410977542878726E-2"/>
    <n v="62983953.140000001"/>
    <n v="0.11274687190149613"/>
    <n v="79264162.280000001"/>
    <n v="3.5623059210247554E-2"/>
    <n v="0.56462393089253571"/>
    <n v="60433232.150000006"/>
    <n v="0.11256902746264497"/>
    <n v="7321183.1500000004"/>
    <n v="0.28582110778594294"/>
    <n v="38959544"/>
    <n v="6.166315113845644E-2"/>
    <n v="2259991"/>
    <n v="-0.21514547721994781"/>
    <n v="3219682"/>
    <n v="9.8193072603574683E-2"/>
    <n v="4689423"/>
    <n v="0.17684461489359249"/>
    <n v="731194"/>
    <n v="0.59207526710809089"/>
    <n v="3252215"/>
    <n v="0.94413959510696954"/>
    <n v="18830930.129999999"/>
    <n v="-0.15248604370420626"/>
    <n v="5745032"/>
    <n v="0.59002183246955742"/>
    <n v="13085898.130000001"/>
    <n v="-0.29667801721055409"/>
  </r>
  <r>
    <x v="65"/>
    <n v="6179301.2800000003"/>
    <n v="-7.3252068246355662E-2"/>
    <n v="2606104.4900000002"/>
    <n v="-2.2343074263597607E-2"/>
    <n v="3573196.79"/>
    <n v="-0.10716114798000442"/>
    <n v="0.57825256094326571"/>
    <n v="4426734"/>
    <n v="3.7172460959602693E-2"/>
    <n v="242045"/>
    <n v="-0.42062756869193885"/>
    <n v="3294762"/>
    <n v="6.2246328053743527E-2"/>
    <n v="223469"/>
    <n v="0.22320079696976336"/>
    <n v="262379"/>
    <n v="0.36828189697431135"/>
    <n v="176710"/>
    <n v="-0.14027721693270989"/>
    <n v="34149"/>
    <n v="0.34128043990573453"/>
    <n v="193220"/>
    <n v="0.34965982593146228"/>
    <n v="-853537.21"/>
    <n v="2.2085861480604554"/>
    <n v="242149"/>
    <n v="-0.22130572920686375"/>
    <n v="-1095686.21"/>
    <n v="0.89898688978896724"/>
  </r>
  <r>
    <x v="66"/>
    <n v="8244750.7699999996"/>
    <n v="8.3125998752495267E-2"/>
    <n v="3452192.7699999996"/>
    <n v="0.23460250011356476"/>
    <n v="4792558"/>
    <n v="-4.8258292682370474E-3"/>
    <n v="0.58128597621635569"/>
    <n v="3998447"/>
    <n v="-3.1696644470184387E-2"/>
    <n v="291579"/>
    <n v="-0.40240408263649774"/>
    <n v="2794117"/>
    <n v="8.7832888258443376E-4"/>
    <n v="228739"/>
    <n v="0.21595300746883561"/>
    <n v="225941"/>
    <n v="4.549556011086997E-2"/>
    <n v="261943"/>
    <n v="-0.1753618808358991"/>
    <n v="36972"/>
    <n v="0.75305832147937402"/>
    <n v="159156"/>
    <n v="0.49039217889650533"/>
    <n v="794111"/>
    <n v="0.15681170271088218"/>
    <n v="403970.69"/>
    <n v="0.1587542201505916"/>
    <n v="390140.31"/>
    <n v="0.1548071748236497"/>
  </r>
  <r>
    <x v="67"/>
    <n v="17640985.559999999"/>
    <n v="0.46106746549352695"/>
    <n v="8741360.8699999992"/>
    <n v="0.58216426926729037"/>
    <n v="8899624.6899999995"/>
    <n v="0.35890801993280874"/>
    <n v="0.50448568532244753"/>
    <n v="4316014"/>
    <n v="-6.2403614817711284E-2"/>
    <n v="289788"/>
    <n v="-0.48778534878171642"/>
    <n v="2985328"/>
    <n v="9.0711665057876312E-2"/>
    <n v="199610"/>
    <n v="3.6746565559508726E-2"/>
    <n v="233460"/>
    <n v="-4.7405315858624619E-2"/>
    <n v="364138"/>
    <n v="-0.19952957210846223"/>
    <n v="41983"/>
    <n v="0.27155707665747952"/>
    <n v="201707"/>
    <n v="-0.46202715641744385"/>
    <n v="4583610.6899999995"/>
    <n v="1.355612855097621"/>
    <n v="412537.98"/>
    <n v="-0.14758363759213"/>
    <n v="4171072.7099999995"/>
    <n v="1.8532599787642079"/>
  </r>
  <r>
    <x v="68"/>
    <n v="16545016.859999999"/>
    <n v="0.22439299622758568"/>
    <n v="7306042.8899999987"/>
    <n v="0.29471424087777076"/>
    <n v="9238973.9700000007"/>
    <n v="0.17397006143508498"/>
    <n v="0.55841429768116901"/>
    <n v="5696313"/>
    <n v="7.4774597943463306E-2"/>
    <n v="648404"/>
    <n v="7.9015067011181772E-2"/>
    <n v="3894547"/>
    <n v="0.2089306129696249"/>
    <n v="210468"/>
    <n v="9.4585528471351932E-2"/>
    <n v="258813"/>
    <n v="0.19056337315478844"/>
    <n v="362901"/>
    <n v="-0.26789014145880907"/>
    <n v="80672"/>
    <n v="0.42704003113336042"/>
    <n v="240508"/>
    <n v="-0.53363983455914432"/>
    <n v="3542660.9700000007"/>
    <n v="0.37854897582375857"/>
    <n v="399448.49"/>
    <n v="-2.1592670428938199E-2"/>
    <n v="3143212.4800000004"/>
    <n v="0.45412477982462995"/>
  </r>
  <r>
    <x v="69"/>
    <n v="14569736.24"/>
    <n v="0.27666349149363345"/>
    <n v="6047198.2599999998"/>
    <n v="0.25837445454340835"/>
    <n v="8522537.9800000004"/>
    <n v="0.28996633810569516"/>
    <n v="0.58494799354034155"/>
    <n v="5782425"/>
    <n v="0.10677931940945729"/>
    <n v="423876"/>
    <n v="-0.15382526969728427"/>
    <n v="4166343"/>
    <n v="0.17858773475755507"/>
    <n v="191348"/>
    <n v="2.031588264778339E-2"/>
    <n v="290330"/>
    <n v="0.27063529576527845"/>
    <n v="350630"/>
    <n v="-0.16585185978184591"/>
    <n v="113413"/>
    <n v="1.3976364635744787"/>
    <n v="246485"/>
    <n v="-0.19161922128351783"/>
    <n v="2740112.9800000004"/>
    <n v="0.98237136808637704"/>
    <n v="428315.87"/>
    <n v="6.7283648215611613E-2"/>
    <n v="2311797.1100000003"/>
    <n v="1.3567497788492684"/>
  </r>
  <r>
    <x v="70"/>
    <n v="14177801.85"/>
    <n v="0.21238257284722772"/>
    <n v="5720184.2699999996"/>
    <n v="8.8711422420439723E-2"/>
    <n v="8457617.5800000001"/>
    <n v="0.31327870016684756"/>
    <n v="0.59653941206689953"/>
    <n v="5868170"/>
    <n v="5.1940466949621733E-2"/>
    <n v="462917"/>
    <n v="-0.22510481164787577"/>
    <n v="4182396"/>
    <n v="0.16509005332386928"/>
    <n v="191056"/>
    <n v="3.5561939347949822E-2"/>
    <n v="420201"/>
    <n v="0.24830964660028054"/>
    <n v="370913"/>
    <n v="-9.8677831750992095E-2"/>
    <n v="58970"/>
    <n v="-0.21650169401448216"/>
    <n v="181717"/>
    <n v="-0.52600346399841413"/>
    <n v="2589447.58"/>
    <n v="2.0052051159874229"/>
    <n v="387657.79"/>
    <n v="-3.3970968626180653E-2"/>
    <n v="2201789.79"/>
    <n v="3.7827129864292832"/>
  </r>
  <r>
    <x v="71"/>
    <n v="12722329.810000001"/>
    <n v="0.16712840006091456"/>
    <n v="5137360.5900000008"/>
    <n v="3.0870148467770697E-2"/>
    <n v="7584969.2199999997"/>
    <n v="0.28188977962065387"/>
    <n v="0.59619341215616539"/>
    <n v="5754502"/>
    <n v="0.12264083582429652"/>
    <n v="448405"/>
    <n v="-0.29869217872201992"/>
    <n v="4156562"/>
    <n v="0.2846817164686537"/>
    <n v="206430"/>
    <n v="0.16851579304879438"/>
    <n v="298979"/>
    <n v="-6.1735252674556151E-2"/>
    <n v="433228"/>
    <n v="6.6953664891809206E-2"/>
    <n v="66529"/>
    <n v="-0.4225665060972964"/>
    <n v="144369"/>
    <n v="-0.38417011474640617"/>
    <n v="1830467.2199999997"/>
    <n v="1.3136516982665571"/>
    <n v="613459.22"/>
    <n v="0.39104191089937346"/>
    <n v="1217007.9999999998"/>
    <n v="2.4756526137464081"/>
  </r>
  <r>
    <x v="72"/>
    <n v="14065414.59"/>
    <n v="0.24451483667474028"/>
    <n v="6105535.5199999996"/>
    <n v="0.25135281714782343"/>
    <n v="7959879.0700000003"/>
    <n v="0.2393202747535077"/>
    <n v="0.56591855284942583"/>
    <n v="5793847"/>
    <n v="0.14531900269613707"/>
    <n v="463731"/>
    <n v="-0.39488906606190066"/>
    <n v="4209870"/>
    <n v="0.31131808357247714"/>
    <n v="174202"/>
    <n v="-1.5969135000480139E-2"/>
    <n v="332911"/>
    <n v="0.23539212848544233"/>
    <n v="404880"/>
    <n v="0.13787550481843391"/>
    <n v="63543"/>
    <n v="7.2980868273078814E-2"/>
    <n v="144710"/>
    <n v="-0.34342701064418657"/>
    <n v="2166032.0700000003"/>
    <n v="0.58793129529156962"/>
    <n v="586597.53"/>
    <n v="0.15706784832997678"/>
    <n v="1579434.5400000003"/>
    <n v="0.84278713954517337"/>
  </r>
  <r>
    <x v="73"/>
    <n v="13465585.890000001"/>
    <n v="6.0257725509525573E-2"/>
    <n v="5783694.9200000009"/>
    <n v="-6.5027106059185602E-3"/>
    <n v="7681890.9699999997"/>
    <n v="0.11675775756639495"/>
    <n v="0.57048323279455904"/>
    <n v="5941806"/>
    <n v="9.4879309661768607E-2"/>
    <n v="454389"/>
    <n v="-0.51007687580191274"/>
    <n v="4227841"/>
    <n v="0.27604005854069014"/>
    <n v="183254"/>
    <n v="1.9346297614809549E-2"/>
    <n v="303809"/>
    <n v="4.8369175132508824E-2"/>
    <n v="456571"/>
    <n v="-2.5168727407821723E-2"/>
    <n v="75998"/>
    <n v="2.2275429770520105E-2"/>
    <n v="239944"/>
    <n v="0.37966247879711346"/>
    <n v="1740084.9699999997"/>
    <n v="0.19853834090526923"/>
    <n v="574510.71"/>
    <n v="1.2087945191482596E-2"/>
    <n v="1165574.2599999998"/>
    <n v="0.31823925851611445"/>
  </r>
  <r>
    <x v="74"/>
    <n v="16183936.4"/>
    <n v="0.35931328539937768"/>
    <n v="6579027.4199999999"/>
    <n v="0.26552595798458634"/>
    <n v="9604908.9800000004"/>
    <n v="0.43200520576768753"/>
    <n v="0.59348410316293632"/>
    <n v="5617857"/>
    <n v="5.7924953222654452E-3"/>
    <n v="336427"/>
    <n v="-0.54856313973023307"/>
    <n v="4068037"/>
    <n v="0.12008168702371846"/>
    <n v="195519"/>
    <n v="3.7907823631209592E-2"/>
    <n v="300535"/>
    <n v="0.23634725587556504"/>
    <n v="531444"/>
    <n v="0.50350950154044627"/>
    <n v="61317"/>
    <n v="-0.59203049940784314"/>
    <n v="124578"/>
    <n v="-0.54388418616912215"/>
    <n v="3987051.9800000004"/>
    <n v="2.5541200338605972"/>
    <n v="578696.47"/>
    <n v="2.3086267188555221E-2"/>
    <n v="3408355.5100000007"/>
    <n v="5.1282258089021147"/>
  </r>
  <r>
    <x v="75"/>
    <n v="10971669.289999999"/>
    <n v="0.12560511716412814"/>
    <n v="4394369.629999999"/>
    <n v="3.14860983753662E-2"/>
    <n v="6577299.6600000001"/>
    <n v="0.19867965938068588"/>
    <n v="0.59948030569922517"/>
    <n v="5515873"/>
    <n v="3.8764549818155469E-2"/>
    <n v="365430"/>
    <n v="-0.38212363614229261"/>
    <n v="4094214"/>
    <n v="0.15473581933587832"/>
    <n v="203505"/>
    <n v="1.6904688140234381E-2"/>
    <n v="290354"/>
    <n v="-8.4888177302639867E-2"/>
    <n v="388398"/>
    <n v="6.0171309716831267E-2"/>
    <n v="67722"/>
    <n v="0.41072804916154571"/>
    <n v="106250"/>
    <n v="-0.55958366666804837"/>
    <n v="1061426.6600000001"/>
    <n v="4.9937659397756153"/>
    <n v="597853.85"/>
    <n v="-7.9447333209125892E-2"/>
    <n v="463572.81000000017"/>
    <n v="-1.9813919418168973"/>
  </r>
  <r>
    <x v="76"/>
    <n v="14337958.02"/>
    <n v="-0.36889804337133036"/>
    <n v="6021602.5499999998"/>
    <n v="-0.46001501524570509"/>
    <n v="8316355.4699999997"/>
    <n v="-0.28105847207808166"/>
    <n v="0.58002370061340158"/>
    <n v="5500235"/>
    <n v="0.14052609598838117"/>
    <n v="351089"/>
    <n v="-0.26949901584223512"/>
    <n v="3908270"/>
    <n v="0.28298627581839719"/>
    <n v="206944"/>
    <n v="-1.6285592052098674E-2"/>
    <n v="349950"/>
    <n v="1.1562364503540978E-2"/>
    <n v="507845"/>
    <n v="0.17088899443427419"/>
    <n v="75141"/>
    <n v="1.9527271298333857"/>
    <n v="100996"/>
    <n v="-0.63956389072286357"/>
    <n v="2816120.4699999997"/>
    <n v="-0.58248504291077707"/>
    <n v="580110.18999999994"/>
    <n v="-0.12090397851776202"/>
    <n v="2236010.2799999998"/>
    <n v="-0.63254115085929208"/>
  </r>
  <r>
    <x v="77"/>
    <n v="159104486.56000003"/>
    <n v="0.1184997853239047"/>
    <n v="67894674.179999992"/>
    <n v="7.796781235824457E-2"/>
    <n v="91209812.379999995"/>
    <n v="0.15070682331571339"/>
    <n v="0.57579243608718267"/>
    <n v="64212223"/>
    <n v="6.2531668678919017E-2"/>
    <n v="4778080"/>
    <n v="-0.34736231807013329"/>
    <n v="45982287"/>
    <n v="0.18025732026021668"/>
    <n v="2414544"/>
    <n v="6.838655552168138E-2"/>
    <n v="3567662"/>
    <n v="0.10807899662140552"/>
    <n v="4609601"/>
    <n v="-1.7021710346880603E-2"/>
    <n v="776409"/>
    <n v="6.1837214200335389E-2"/>
    <n v="2083640"/>
    <n v="-0.35931665034445759"/>
    <n v="26997589.379999999"/>
    <n v="0.43368326437521554"/>
    <n v="5805307.7899999991"/>
    <n v="1.0491811011670515E-2"/>
    <n v="21192281.590000004"/>
    <n v="0.6194747490365799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140746374"/>
    <m/>
    <n v="67758349"/>
    <m/>
    <n v="72988025"/>
    <m/>
    <n v="0.51091155126629628"/>
    <n v="57528048"/>
    <m/>
    <n v="8619489"/>
    <m/>
    <n v="30562705"/>
    <m/>
    <n v="6268715"/>
    <m/>
    <n v="2308141"/>
    <m/>
    <n v="4464712"/>
    <m/>
    <n v="4410485"/>
    <m/>
    <n v="893801"/>
    <m/>
    <n v="14261441"/>
    <m/>
    <n v="5092962"/>
    <m/>
    <n v="10367015"/>
    <m/>
  </r>
  <r>
    <x v="1"/>
    <n v="150169093"/>
    <n v="6.6948218502595358E-2"/>
    <n v="63758835"/>
    <n v="-5.9026143036631562E-2"/>
    <n v="86410258"/>
    <n v="0.18389637204185205"/>
    <n v="0.57538159500922248"/>
    <n v="66318441"/>
    <n v="0.15280186457917022"/>
    <n v="11620986"/>
    <n v="0.348222150988301"/>
    <n v="36718920"/>
    <n v="0.20142899654987989"/>
    <n v="6923541"/>
    <n v="0.10445936687183899"/>
    <n v="3063426"/>
    <n v="0.32722654291917186"/>
    <n v="4030378"/>
    <n v="-9.7281526781570649E-2"/>
    <n v="2495253"/>
    <n v="-0.43424521339489874"/>
    <n v="1465937"/>
    <n v="0.64011564095363505"/>
    <n v="20091817"/>
    <n v="0.40882095995769285"/>
    <n v="6669389"/>
    <n v="0.30953048540318973"/>
    <n v="13422428"/>
    <n v="0.29472446986909917"/>
  </r>
  <r>
    <x v="2"/>
    <n v="128139927"/>
    <n v="-0.14669573851658013"/>
    <n v="53829247.719999999"/>
    <n v="-0.15573664857584057"/>
    <n v="74310679.280000001"/>
    <n v="-0.14002479566719961"/>
    <n v="0.58090882713926717"/>
    <n v="60988545.950000003"/>
    <n v="-8.0368219904324856E-2"/>
    <n v="6494615.9499999993"/>
    <n v="-0.44113038687078709"/>
    <n v="37215346"/>
    <n v="1.3519624215527104E-2"/>
    <n v="6156994"/>
    <n v="-0.11071603389075046"/>
    <n v="3075690"/>
    <n v="4.0033609429441785E-3"/>
    <n v="4445955"/>
    <n v="0.10311117220270649"/>
    <n v="1988637"/>
    <n v="-0.20303191700400725"/>
    <n v="1611308"/>
    <n v="9.9165925957254597E-2"/>
    <n v="13322133.329999998"/>
    <n v="-0.33693735464542618"/>
    <n v="7263825"/>
    <n v="8.9129004171146775E-2"/>
    <n v="6058308.3300000001"/>
    <n v="-0.54864288860405885"/>
  </r>
  <r>
    <x v="3"/>
    <n v="133139885.69"/>
    <n v="3.9019521916849431E-2"/>
    <n v="56602228.890000008"/>
    <n v="5.1514395750504205E-2"/>
    <n v="76537656.799999997"/>
    <n v="2.9968472117026801E-2"/>
    <n v="0.57460508069201599"/>
    <n v="54318636.109999999"/>
    <n v="-0.10936331955623546"/>
    <n v="5693780.5"/>
    <n v="-0.12330759142116776"/>
    <n v="36696709.269999996"/>
    <n v="-1.3936098565360711E-2"/>
    <n v="2879503.06"/>
    <n v="-0.53231998277081316"/>
    <n v="2931799.59"/>
    <n v="-4.6783131589984706E-2"/>
    <n v="3984742.71"/>
    <n v="-0.10373750746465049"/>
    <n v="459271"/>
    <n v="-0.76905237104609836"/>
    <n v="1672829.98"/>
    <n v="3.8181390522482372E-2"/>
    <n v="22219020.690000001"/>
    <n v="0.6678275272898806"/>
    <n v="3613178.0599999996"/>
    <n v="-0.50257914253165525"/>
    <n v="18605842.630000003"/>
    <n v="2.0711283771851212"/>
  </r>
  <r>
    <x v="4"/>
    <n v="142248115.42000002"/>
    <n v="6.8410977542878726E-2"/>
    <n v="62983953.140000001"/>
    <n v="0.11274687190149613"/>
    <n v="79264162.280000001"/>
    <n v="3.5623059210247554E-2"/>
    <n v="0.56462393089253571"/>
    <n v="60433232.150000006"/>
    <n v="0.11256902746264497"/>
    <n v="7321183.1500000004"/>
    <n v="0.28582110778594294"/>
    <n v="38959544"/>
    <n v="6.166315113845644E-2"/>
    <n v="2259991"/>
    <n v="-0.21514547721994781"/>
    <n v="3219682"/>
    <n v="9.8193072603574683E-2"/>
    <n v="4689423"/>
    <n v="0.17684461489359249"/>
    <n v="731194"/>
    <n v="0.59207526710809089"/>
    <n v="3252215"/>
    <n v="0.94413959510696954"/>
    <n v="18830930.129999999"/>
    <n v="-0.15248604370420626"/>
    <n v="5745032"/>
    <n v="0.59002183246955742"/>
    <n v="13085898.130000001"/>
    <n v="-0.29667801721055409"/>
  </r>
  <r>
    <x v="5"/>
    <n v="159104486.56000003"/>
    <n v="0.1184997853239047"/>
    <n v="67894674.179999992"/>
    <n v="7.796781235824457E-2"/>
    <n v="91209812.379999995"/>
    <n v="0.15070682331571339"/>
    <n v="0.57579243608718267"/>
    <n v="64212223"/>
    <n v="6.2531668678919017E-2"/>
    <n v="4778080"/>
    <n v="-0.34736231807013329"/>
    <n v="45982287"/>
    <n v="0.18025732026021668"/>
    <n v="2414544"/>
    <n v="6.838655552168138E-2"/>
    <n v="3567662"/>
    <n v="0.10807899662140552"/>
    <n v="4609601"/>
    <n v="-1.7021710346880603E-2"/>
    <n v="776409"/>
    <n v="6.1837214200335389E-2"/>
    <n v="2083640"/>
    <n v="-0.35931665034445759"/>
    <n v="26997589.379999999"/>
    <n v="0.43368326437521554"/>
    <n v="5805307.7899999991"/>
    <n v="1.0491811011670515E-2"/>
    <n v="21192281.590000004"/>
    <n v="0.619474749036579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n v="8410477"/>
    <m/>
    <n v="4771814"/>
    <m/>
    <n v="3638663"/>
    <m/>
    <n v="0.43263455806371032"/>
    <n v="2440127"/>
    <m/>
    <x v="0"/>
    <x v="0"/>
    <x v="0"/>
    <m/>
    <x v="0"/>
    <m/>
    <x v="0"/>
    <m/>
    <x v="0"/>
    <m/>
    <x v="0"/>
    <m/>
    <x v="0"/>
    <m/>
    <n v="1198536"/>
    <m/>
    <n v="614023"/>
    <m/>
    <n v="584513"/>
    <m/>
  </r>
  <r>
    <x v="1"/>
    <n v="8781008"/>
    <m/>
    <n v="5371774"/>
    <m/>
    <n v="3409234"/>
    <m/>
    <n v="0.38825087051509349"/>
    <n v="3074358"/>
    <m/>
    <x v="1"/>
    <x v="0"/>
    <x v="1"/>
    <m/>
    <x v="1"/>
    <m/>
    <x v="1"/>
    <m/>
    <x v="1"/>
    <m/>
    <x v="1"/>
    <m/>
    <x v="1"/>
    <m/>
    <n v="334876"/>
    <m/>
    <n v="108216"/>
    <m/>
    <n v="226660"/>
    <m/>
  </r>
  <r>
    <x v="2"/>
    <n v="9994730"/>
    <m/>
    <n v="5478590"/>
    <m/>
    <n v="4516140"/>
    <m/>
    <n v="0.45185212607043912"/>
    <n v="3423016"/>
    <m/>
    <x v="2"/>
    <x v="0"/>
    <x v="2"/>
    <m/>
    <x v="2"/>
    <m/>
    <x v="2"/>
    <m/>
    <x v="2"/>
    <m/>
    <x v="2"/>
    <m/>
    <x v="2"/>
    <m/>
    <n v="1093124"/>
    <m/>
    <n v="302156"/>
    <m/>
    <n v="790968"/>
    <m/>
  </r>
  <r>
    <x v="3"/>
    <n v="10482743"/>
    <m/>
    <n v="5528713"/>
    <m/>
    <n v="4954030"/>
    <m/>
    <n v="0.47258909237782515"/>
    <n v="4356975"/>
    <m/>
    <x v="3"/>
    <x v="0"/>
    <x v="3"/>
    <m/>
    <x v="3"/>
    <m/>
    <x v="3"/>
    <m/>
    <x v="3"/>
    <m/>
    <x v="3"/>
    <m/>
    <x v="3"/>
    <m/>
    <n v="597055"/>
    <m/>
    <n v="1131869"/>
    <m/>
    <n v="-534814"/>
    <m/>
  </r>
  <r>
    <x v="4"/>
    <n v="13324007"/>
    <m/>
    <n v="6361003"/>
    <m/>
    <n v="6963004"/>
    <m/>
    <n v="0.52259083922726846"/>
    <n v="4780952"/>
    <m/>
    <x v="4"/>
    <x v="0"/>
    <x v="4"/>
    <m/>
    <x v="4"/>
    <m/>
    <x v="4"/>
    <m/>
    <x v="4"/>
    <m/>
    <x v="4"/>
    <m/>
    <x v="4"/>
    <m/>
    <n v="2182052"/>
    <m/>
    <n v="336569"/>
    <m/>
    <n v="1845483"/>
    <m/>
  </r>
  <r>
    <x v="5"/>
    <n v="12665976"/>
    <m/>
    <n v="5823615"/>
    <m/>
    <n v="6842361"/>
    <m/>
    <n v="0.5402158507169128"/>
    <n v="5154070"/>
    <m/>
    <x v="5"/>
    <x v="0"/>
    <x v="5"/>
    <m/>
    <x v="5"/>
    <m/>
    <x v="5"/>
    <m/>
    <x v="5"/>
    <m/>
    <x v="5"/>
    <m/>
    <x v="5"/>
    <m/>
    <n v="1688291"/>
    <m/>
    <n v="66184"/>
    <m/>
    <n v="1622107"/>
    <m/>
  </r>
  <r>
    <x v="6"/>
    <n v="13362147"/>
    <m/>
    <n v="6061291"/>
    <m/>
    <n v="7300856"/>
    <m/>
    <n v="0.54638345170128721"/>
    <n v="4549423"/>
    <m/>
    <x v="6"/>
    <x v="0"/>
    <x v="6"/>
    <m/>
    <x v="6"/>
    <m/>
    <x v="6"/>
    <m/>
    <x v="6"/>
    <m/>
    <x v="6"/>
    <m/>
    <x v="6"/>
    <m/>
    <n v="2751433"/>
    <m/>
    <n v="650744"/>
    <m/>
    <n v="2100689"/>
    <m/>
  </r>
  <r>
    <x v="7"/>
    <n v="12258656"/>
    <m/>
    <n v="5159166"/>
    <m/>
    <n v="7099490"/>
    <m/>
    <n v="0.57914097597648551"/>
    <n v="5663979"/>
    <m/>
    <x v="7"/>
    <x v="0"/>
    <x v="7"/>
    <m/>
    <x v="7"/>
    <m/>
    <x v="7"/>
    <m/>
    <x v="7"/>
    <m/>
    <x v="7"/>
    <m/>
    <x v="7"/>
    <m/>
    <n v="1435511"/>
    <m/>
    <n v="229714"/>
    <m/>
    <n v="1205797"/>
    <m/>
  </r>
  <r>
    <x v="8"/>
    <n v="13790745"/>
    <m/>
    <n v="6149169"/>
    <m/>
    <n v="7641576"/>
    <m/>
    <n v="0.55410900571361443"/>
    <n v="5837142"/>
    <m/>
    <x v="8"/>
    <x v="0"/>
    <x v="8"/>
    <m/>
    <x v="8"/>
    <m/>
    <x v="8"/>
    <m/>
    <x v="8"/>
    <m/>
    <x v="8"/>
    <m/>
    <x v="8"/>
    <m/>
    <n v="1804434"/>
    <m/>
    <n v="147459"/>
    <m/>
    <n v="1656975"/>
    <m/>
  </r>
  <r>
    <x v="9"/>
    <n v="13104174"/>
    <m/>
    <n v="5725361"/>
    <m/>
    <n v="7378813"/>
    <m/>
    <n v="0.5630887532476293"/>
    <n v="6752826"/>
    <m/>
    <x v="9"/>
    <x v="0"/>
    <x v="9"/>
    <m/>
    <x v="9"/>
    <m/>
    <x v="9"/>
    <m/>
    <x v="9"/>
    <m/>
    <x v="9"/>
    <m/>
    <x v="9"/>
    <m/>
    <n v="625987"/>
    <m/>
    <n v="786728"/>
    <m/>
    <n v="-160741"/>
    <m/>
  </r>
  <r>
    <x v="10"/>
    <n v="10410288"/>
    <m/>
    <n v="4716458"/>
    <m/>
    <n v="5693830"/>
    <m/>
    <n v="0.54694260139584994"/>
    <n v="5464864"/>
    <m/>
    <x v="10"/>
    <x v="0"/>
    <x v="10"/>
    <m/>
    <x v="10"/>
    <m/>
    <x v="10"/>
    <m/>
    <x v="10"/>
    <m/>
    <x v="10"/>
    <m/>
    <x v="10"/>
    <m/>
    <n v="228966"/>
    <m/>
    <n v="302342"/>
    <m/>
    <n v="-73376"/>
    <m/>
  </r>
  <r>
    <x v="11"/>
    <n v="14161423"/>
    <m/>
    <n v="6611395"/>
    <m/>
    <n v="7550028"/>
    <m/>
    <n v="0.53314049018943932"/>
    <n v="6030316"/>
    <m/>
    <x v="11"/>
    <x v="0"/>
    <x v="11"/>
    <m/>
    <x v="11"/>
    <m/>
    <x v="11"/>
    <m/>
    <x v="11"/>
    <m/>
    <x v="11"/>
    <m/>
    <x v="11"/>
    <m/>
    <n v="1519712"/>
    <m/>
    <n v="416958"/>
    <m/>
    <n v="1102754"/>
    <m/>
  </r>
  <r>
    <x v="12"/>
    <n v="8666531"/>
    <n v="3.0444646599711245E-2"/>
    <n v="3756576"/>
    <n v="-0.21275724493871717"/>
    <n v="4909955"/>
    <n v="0.34938437552474633"/>
    <n v="0.5665421377942339"/>
    <n v="4706978"/>
    <n v="0.92898894196900406"/>
    <x v="12"/>
    <x v="1"/>
    <x v="12"/>
    <n v="2.1342009734250502"/>
    <x v="12"/>
    <n v="0.58841103838392872"/>
    <x v="12"/>
    <n v="2.5128402227625695"/>
    <x v="12"/>
    <n v="-4.0365817056161379E-2"/>
    <x v="12"/>
    <n v="3.7524053880692687E-2"/>
    <x v="12"/>
    <n v="6.8840956777171636"/>
    <n v="202977"/>
    <n v="-0.83064588798333971"/>
    <n v="484781"/>
    <n v="-0.21048397209876502"/>
    <n v="-281804"/>
    <n v="-1.4821175919098464"/>
  </r>
  <r>
    <x v="13"/>
    <n v="9471679"/>
    <n v="7.8655092900496104E-2"/>
    <n v="4129429"/>
    <n v="-0.23127276017196552"/>
    <n v="5342250"/>
    <n v="0.56699422802893551"/>
    <n v="0.5640235485176387"/>
    <n v="5414096"/>
    <n v="0.76104929874790117"/>
    <x v="13"/>
    <x v="2"/>
    <x v="13"/>
    <n v="0.87598993217911447"/>
    <x v="13"/>
    <n v="0.13347739147261817"/>
    <x v="13"/>
    <n v="0.40313256335979331"/>
    <x v="13"/>
    <n v="0.28493047766184842"/>
    <x v="13"/>
    <n v="-6.5671215515471726E-2"/>
    <x v="13"/>
    <n v="0.27319183955189219"/>
    <n v="-71846"/>
    <n v="-1.2145450853450233"/>
    <n v="362816"/>
    <n v="2.3527020034006063"/>
    <n v="-434662"/>
    <n v="-2.9176828730256772"/>
  </r>
  <r>
    <x v="14"/>
    <n v="11074954"/>
    <n v="0.10807935782157196"/>
    <n v="4038973"/>
    <n v="-0.26277144301727273"/>
    <n v="7035981"/>
    <n v="0.55796343780307955"/>
    <n v="0.63530566357205642"/>
    <n v="5015918"/>
    <n v="0.4653504394954624"/>
    <x v="14"/>
    <x v="3"/>
    <x v="14"/>
    <n v="0.45913477842594541"/>
    <x v="14"/>
    <n v="0.31537267784052569"/>
    <x v="14"/>
    <n v="0.45436597731908734"/>
    <x v="14"/>
    <n v="0.18887532404895402"/>
    <x v="14"/>
    <n v="-0.34421383573925945"/>
    <x v="14"/>
    <n v="3.5912916036308626"/>
    <n v="2020063"/>
    <n v="0.84797241667002088"/>
    <n v="521032"/>
    <n v="0.72438078343637069"/>
    <n v="1499031"/>
    <n v="0.89518539308796319"/>
  </r>
  <r>
    <x v="15"/>
    <n v="13081063"/>
    <n v="0.24786642198516162"/>
    <n v="5184081"/>
    <n v="-6.2334941242202291E-2"/>
    <n v="7896982"/>
    <n v="0.59405211514665845"/>
    <n v="0.60369573940588772"/>
    <n v="5200058"/>
    <n v="0.1935019135983107"/>
    <x v="15"/>
    <x v="4"/>
    <x v="15"/>
    <n v="0.19743393099144124"/>
    <x v="15"/>
    <n v="0.34636257994329789"/>
    <x v="15"/>
    <n v="1.306774359583482"/>
    <x v="15"/>
    <n v="-0.32153826944687225"/>
    <x v="15"/>
    <n v="-0.67655354035526183"/>
    <x v="15"/>
    <n v="-0.15369044634483786"/>
    <n v="2696924"/>
    <n v="3.5170444933883811"/>
    <n v="837208"/>
    <n v="-0.26033136343516783"/>
    <n v="1859716"/>
    <n v="-4.4773136080955247"/>
  </r>
  <r>
    <x v="16"/>
    <n v="13754112"/>
    <n v="3.2280454370821055E-2"/>
    <n v="6250507"/>
    <n v="-1.7370845446857963E-2"/>
    <n v="7503605"/>
    <n v="7.763904774433561E-2"/>
    <n v="0.5455535769957377"/>
    <n v="5792034"/>
    <n v="0.21148131167181772"/>
    <x v="16"/>
    <x v="5"/>
    <x v="16"/>
    <n v="0.23758606801051041"/>
    <x v="16"/>
    <n v="0.26983957817200888"/>
    <x v="16"/>
    <n v="0.65523871421994739"/>
    <x v="16"/>
    <n v="7.5112819855101431E-2"/>
    <x v="16"/>
    <n v="0.46622315832733996"/>
    <x v="16"/>
    <n v="-0.80912735563991256"/>
    <n v="1711571"/>
    <n v="-0.21561401836436533"/>
    <n v="457820"/>
    <n v="0.3602559950559916"/>
    <n v="1253751"/>
    <n v="-0.32063801183755147"/>
  </r>
  <r>
    <x v="17"/>
    <n v="12515143"/>
    <n v="-1.1908517748651981E-2"/>
    <n v="5528409"/>
    <n v="-5.0691194386991545E-2"/>
    <n v="6986734"/>
    <n v="2.1099880582155839E-2"/>
    <n v="0.55826241857564074"/>
    <n v="5501146"/>
    <n v="6.7340179702642722E-2"/>
    <x v="17"/>
    <x v="6"/>
    <x v="17"/>
    <n v="0.16144139809277647"/>
    <x v="17"/>
    <n v="0.21717233380135514"/>
    <x v="17"/>
    <n v="0.57656379064353835"/>
    <x v="17"/>
    <n v="-0.47836440537623104"/>
    <x v="17"/>
    <n v="-0.83398595679053589"/>
    <x v="17"/>
    <n v="8.0724144634525654"/>
    <n v="1485588"/>
    <n v="-0.12006401739984396"/>
    <n v="148538"/>
    <n v="1.244318868608727"/>
    <n v="1337050"/>
    <n v="-0.17573255031881374"/>
  </r>
  <r>
    <x v="18"/>
    <n v="13934231"/>
    <n v="4.2813778354631182E-2"/>
    <n v="5370909"/>
    <n v="-0.11390015757369176"/>
    <n v="8563322"/>
    <n v="0.17292027126682141"/>
    <n v="0.61455289495344234"/>
    <n v="5977910"/>
    <n v="0.31399300526682183"/>
    <x v="18"/>
    <x v="7"/>
    <x v="18"/>
    <n v="0.20934292997337556"/>
    <x v="18"/>
    <n v="0.12331380901668432"/>
    <x v="18"/>
    <n v="0.4903745984368717"/>
    <x v="18"/>
    <n v="0.16052883798801343"/>
    <x v="18"/>
    <n v="1.1100249747372941"/>
    <x v="18"/>
    <n v="8.3105363843720106"/>
    <n v="2585412"/>
    <n v="-6.0339830190304422E-2"/>
    <n v="609538"/>
    <n v="-6.3321367542382268E-2"/>
    <n v="1975874"/>
    <n v="-5.9416220106831563E-2"/>
  </r>
  <r>
    <x v="19"/>
    <n v="12916943"/>
    <n v="5.3699769371128525E-2"/>
    <n v="6196649"/>
    <n v="0.20109509947925686"/>
    <n v="6720294"/>
    <n v="-5.3411723940733791E-2"/>
    <n v="0.52026969539154888"/>
    <n v="6015274"/>
    <n v="6.2022652273251655E-2"/>
    <x v="19"/>
    <x v="8"/>
    <x v="19"/>
    <n v="7.3008646987255732E-2"/>
    <x v="19"/>
    <n v="-0.36138499840968663"/>
    <x v="19"/>
    <n v="0.664246619018519"/>
    <x v="19"/>
    <n v="0.12448875409146876"/>
    <x v="19"/>
    <n v="-0.35898062554219567"/>
    <x v="19"/>
    <n v="4.8560431838507734"/>
    <n v="705020"/>
    <n v="-0.50887175368213833"/>
    <n v="314074"/>
    <n v="0.36723926273540131"/>
    <n v="390946"/>
    <n v="-0.67577792945246995"/>
  </r>
  <r>
    <x v="20"/>
    <n v="15072902"/>
    <n v="9.2972279597657748E-2"/>
    <n v="6726661"/>
    <n v="9.3913828031072066E-2"/>
    <n v="8346241"/>
    <n v="9.2214616461316457E-2"/>
    <n v="0.55372488987190394"/>
    <n v="5797201"/>
    <n v="-6.8425609656231901E-3"/>
    <x v="20"/>
    <x v="9"/>
    <x v="20"/>
    <n v="8.7540044615843637E-2"/>
    <x v="20"/>
    <n v="-3.6118854489393004E-2"/>
    <x v="20"/>
    <n v="-0.16884210225914731"/>
    <x v="20"/>
    <n v="-0.18043782564740651"/>
    <x v="20"/>
    <n v="-0.84216174771956065"/>
    <x v="20"/>
    <n v="2.7345254470426408"/>
    <n v="2549040"/>
    <n v="0.41265349688600406"/>
    <n v="822276"/>
    <n v="4.5763025654588736"/>
    <n v="1726764"/>
    <n v="4.2118318019282119E-2"/>
  </r>
  <r>
    <x v="21"/>
    <n v="14590559"/>
    <n v="0.11342836259652844"/>
    <n v="5737809"/>
    <n v="2.174186046958404E-3"/>
    <n v="8852750"/>
    <n v="0.19975258893266434"/>
    <n v="0.60674508769677704"/>
    <n v="5848257"/>
    <n v="-0.13395414008890505"/>
    <x v="21"/>
    <x v="10"/>
    <x v="21"/>
    <n v="9.80309814407887E-3"/>
    <x v="21"/>
    <n v="0.12746668339724176"/>
    <x v="21"/>
    <n v="0.11400345740732765"/>
    <x v="21"/>
    <n v="4.2770301714108339E-2"/>
    <x v="21"/>
    <n v="-0.7746358971744135"/>
    <x v="21"/>
    <n v="3.2733774119552015"/>
    <n v="3004493"/>
    <n v="3.799609257061249"/>
    <n v="745053"/>
    <n v="-5.2972564850875981E-2"/>
    <n v="2259440"/>
    <n v="-15.056401291518654"/>
  </r>
  <r>
    <x v="22"/>
    <n v="12189742"/>
    <n v="0.17093225470803497"/>
    <n v="5295347"/>
    <n v="0.12273808014404031"/>
    <n v="6894395"/>
    <n v="0.21085367845545089"/>
    <n v="0.56558990337941528"/>
    <n v="5491906"/>
    <n v="4.9483390620517209E-3"/>
    <x v="22"/>
    <x v="11"/>
    <x v="22"/>
    <n v="2.2403979643333072E-2"/>
    <x v="22"/>
    <n v="0.18095234070962851"/>
    <x v="22"/>
    <n v="-0.14989822114342077"/>
    <x v="22"/>
    <n v="-1.6311232781900942E-2"/>
    <x v="22"/>
    <n v="0.44143694713022019"/>
    <x v="22"/>
    <n v="2.1384689224862012"/>
    <n v="1402489"/>
    <n v="5.1253155490334805"/>
    <n v="765254"/>
    <n v="1.5310873117198405"/>
    <n v="637235"/>
    <n v="-9.6845153728739639"/>
  </r>
  <r>
    <x v="23"/>
    <n v="12901234"/>
    <n v="-8.8987455568554141E-2"/>
    <n v="5543485"/>
    <n v="-0.16152566893976228"/>
    <n v="7357749"/>
    <n v="-2.5467322770193701E-2"/>
    <n v="0.57031358395638743"/>
    <n v="5557663"/>
    <n v="-7.8379474641129931E-2"/>
    <x v="23"/>
    <x v="12"/>
    <x v="23"/>
    <n v="-0.13751799945884258"/>
    <x v="23"/>
    <n v="-0.12175687850303363"/>
    <x v="23"/>
    <n v="-0.14041091521445159"/>
    <x v="23"/>
    <n v="-0.10051822845991809"/>
    <x v="23"/>
    <n v="0.29157910081512162"/>
    <x v="23"/>
    <n v="3.2487096515390581"/>
    <n v="1800086"/>
    <n v="0.18449153523825568"/>
    <n v="600999"/>
    <n v="0.44138978026563835"/>
    <n v="1199087"/>
    <n v="8.735674502200852E-2"/>
  </r>
  <r>
    <x v="24"/>
    <n v="6550883"/>
    <n v="-0.24411705214000845"/>
    <n v="2707538"/>
    <n v="-0.27925376726039886"/>
    <n v="3843345"/>
    <n v="-0.21723417017060243"/>
    <n v="0.58669113766800596"/>
    <n v="4333388"/>
    <n v="-7.9369395820418132E-2"/>
    <x v="24"/>
    <x v="13"/>
    <x v="24"/>
    <n v="-8.3375086220648487E-2"/>
    <x v="24"/>
    <n v="-9.8183667257272456E-2"/>
    <x v="24"/>
    <n v="-0.20111108133937106"/>
    <x v="24"/>
    <n v="0.34349511228857743"/>
    <x v="24"/>
    <n v="2.3249683855557115"/>
    <x v="24"/>
    <n v="0.36622701966169546"/>
    <n v="-490043"/>
    <n v="-3.4142784650477642"/>
    <n v="728277"/>
    <n v="0.50228041115472766"/>
    <n v="-1218320"/>
    <n v="3.3232885267774765"/>
  </r>
  <r>
    <x v="25"/>
    <n v="8363283"/>
    <n v="-0.1170221245884705"/>
    <n v="3282247"/>
    <n v="-0.20515717790522614"/>
    <n v="5081036"/>
    <n v="-4.8895877205297422E-2"/>
    <n v="0.60754084251363971"/>
    <n v="4455002"/>
    <n v="-0.17714757920805246"/>
    <x v="25"/>
    <x v="14"/>
    <x v="25"/>
    <n v="-2.7483839639826813E-2"/>
    <x v="25"/>
    <n v="-3.3962543321022332E-2"/>
    <x v="25"/>
    <n v="-0.28447582447046205"/>
    <x v="25"/>
    <n v="6.2580036811786366E-2"/>
    <x v="25"/>
    <n v="-3.9184219324640557E-2"/>
    <x v="25"/>
    <n v="0.42883205971580773"/>
    <n v="626034"/>
    <n v="-9.7135539904796371"/>
    <n v="754886"/>
    <n v="1.0806304021873347"/>
    <n v="-128852"/>
    <n v="-0.70355816703553564"/>
  </r>
  <r>
    <x v="26"/>
    <n v="7935684"/>
    <n v="-0.28345670781115662"/>
    <n v="3493000.6500000004"/>
    <n v="-0.13517603361052422"/>
    <n v="4442683.3499999996"/>
    <n v="-0.36857655670190137"/>
    <n v="0.55983622205722905"/>
    <n v="4065839"/>
    <n v="-0.18941278545622153"/>
    <x v="26"/>
    <x v="15"/>
    <x v="26"/>
    <n v="-0.17119710123585707"/>
    <x v="26"/>
    <n v="-7.9985574143646043E-2"/>
    <x v="26"/>
    <n v="0.19822131624401873"/>
    <x v="26"/>
    <n v="-0.26143991784937781"/>
    <x v="26"/>
    <n v="0.48604435953312031"/>
    <x v="26"/>
    <n v="0.1039798177418525"/>
    <n v="376844.34999999963"/>
    <n v="-0.81344920925733522"/>
    <n v="724218"/>
    <n v="0.38996837046476984"/>
    <n v="-347373.65000000037"/>
    <n v="-1.2317321322907935"/>
  </r>
  <r>
    <x v="27"/>
    <n v="11031285"/>
    <n v="-0.15669812155174234"/>
    <n v="4464229.42"/>
    <n v="-0.13885808883001638"/>
    <n v="6567055.5800000001"/>
    <n v="-0.16840945313032241"/>
    <n v="0.5953119314748917"/>
    <n v="2852762"/>
    <n v="-0.45139804209876122"/>
    <x v="27"/>
    <x v="16"/>
    <x v="27"/>
    <n v="-0.59901968777112469"/>
    <x v="27"/>
    <n v="-0.18601604715899789"/>
    <x v="27"/>
    <n v="-0.12314674008190563"/>
    <x v="27"/>
    <n v="5.2293054584268805E-2"/>
    <x v="27"/>
    <n v="-0.14800104709206285"/>
    <x v="27"/>
    <n v="-0.30487684458829334"/>
    <n v="3714293.58"/>
    <n v="0.37723331469481525"/>
    <n v="587589"/>
    <n v="-0.29815649157676472"/>
    <n v="3126704.58"/>
    <n v="0.6812806794155668"/>
  </r>
  <r>
    <x v="28"/>
    <n v="12192533"/>
    <n v="-0.1135354285322091"/>
    <n v="4655800.57"/>
    <n v="-0.2551323324651904"/>
    <n v="7536732.4299999997"/>
    <n v="4.4148685864993098E-3"/>
    <n v="0.61814328737104918"/>
    <n v="5026397.63"/>
    <n v="-0.13218782382838223"/>
    <x v="28"/>
    <x v="17"/>
    <x v="28"/>
    <n v="2.0866104107098105E-2"/>
    <x v="28"/>
    <n v="-0.31288790926964705"/>
    <x v="28"/>
    <n v="4.1935932464047809E-2"/>
    <x v="28"/>
    <n v="0.20792227536537466"/>
    <x v="28"/>
    <n v="-0.64684173338238471"/>
    <x v="28"/>
    <n v="-0.36067702743313446"/>
    <n v="2510334.7999999998"/>
    <n v="0.46668458392903345"/>
    <n v="587392"/>
    <n v="0.28301952732514968"/>
    <n v="1922942.7999999998"/>
    <n v="0.53375175772541739"/>
  </r>
  <r>
    <x v="29"/>
    <n v="10036330"/>
    <n v="-0.19806509602007749"/>
    <n v="3822094.3499999996"/>
    <n v="-0.30864479274236045"/>
    <n v="6214235.6500000004"/>
    <n v="-0.11056644635390434"/>
    <n v="0.61917410547481"/>
    <n v="5378859.3200000003"/>
    <n v="-2.2229310038308303E-2"/>
    <x v="29"/>
    <x v="18"/>
    <x v="29"/>
    <n v="6.3194570312919307E-2"/>
    <x v="29"/>
    <n v="-0.13681403649555712"/>
    <x v="29"/>
    <n v="9.0992660192140029E-2"/>
    <x v="29"/>
    <n v="0.26927426344158278"/>
    <x v="29"/>
    <n v="1.4531725459258427"/>
    <x v="29"/>
    <n v="-0.4614354436075726"/>
    <n v="835376.33000000007"/>
    <n v="-0.4376796729645096"/>
    <n v="589450"/>
    <n v="2.968344800657071"/>
    <n v="245926.33000000007"/>
    <n v="-0.81606796305298968"/>
  </r>
  <r>
    <x v="30"/>
    <n v="13989437"/>
    <n v="3.9618978614608391E-3"/>
    <n v="5293727.68"/>
    <n v="-1.4370252782164084E-2"/>
    <n v="8695709.3200000003"/>
    <n v="1.5459808705079681E-2"/>
    <n v="0.62159108475916514"/>
    <n v="5718625"/>
    <n v="-4.3373854741874718E-2"/>
    <x v="30"/>
    <x v="19"/>
    <x v="30"/>
    <n v="7.7735937499999963E-2"/>
    <x v="30"/>
    <n v="-2.7497343001984476E-2"/>
    <x v="30"/>
    <n v="-0.16222507599525338"/>
    <x v="30"/>
    <n v="0.21725108524923487"/>
    <x v="30"/>
    <n v="-0.50633002481389577"/>
    <x v="30"/>
    <n v="0.73335993899138208"/>
    <n v="2977084.3200000003"/>
    <n v="0.15149319334790756"/>
    <n v="830298"/>
    <n v="0.36217594309132495"/>
    <n v="2146786.3200000003"/>
    <n v="8.6499604731880897E-2"/>
  </r>
  <r>
    <x v="31"/>
    <n v="11808377"/>
    <n v="-8.5822628465574202E-2"/>
    <n v="4807554.03"/>
    <n v="-0.22416873539230631"/>
    <n v="7000822.9699999997"/>
    <n v="4.1743556159894224E-2"/>
    <n v="0.5928691953178663"/>
    <n v="5853930"/>
    <n v="-2.6822385813181526E-2"/>
    <x v="31"/>
    <x v="20"/>
    <x v="31"/>
    <n v="0.14958388469033923"/>
    <x v="31"/>
    <n v="-1.1882612686363481E-2"/>
    <x v="31"/>
    <n v="0.21843631385477491"/>
    <x v="31"/>
    <n v="0.14809355188455031"/>
    <x v="31"/>
    <n v="-0.45956297512194555"/>
    <x v="31"/>
    <n v="-0.40081596587779056"/>
    <n v="1146892.9699999997"/>
    <n v="0.62675239000312022"/>
    <n v="408628"/>
    <n v="0.30105643892840539"/>
    <n v="738264.96999999974"/>
    <n v="0.88840650626940731"/>
  </r>
  <r>
    <x v="32"/>
    <n v="13561815"/>
    <n v="-0.10025189575305404"/>
    <n v="6528658"/>
    <n v="-2.943555502499684E-2"/>
    <n v="7033157"/>
    <n v="-0.15732639400180271"/>
    <n v="0.51859998090226123"/>
    <n v="5713072"/>
    <n v="-1.4512003292623477E-2"/>
    <x v="32"/>
    <x v="21"/>
    <x v="32"/>
    <n v="8.9675184390658025E-2"/>
    <x v="32"/>
    <n v="4.6372920362467429E-3"/>
    <x v="32"/>
    <n v="0.21920547992240214"/>
    <x v="32"/>
    <n v="-0.13374154904519042"/>
    <x v="32"/>
    <n v="0.23167954864581097"/>
    <x v="32"/>
    <n v="-9.8610413527540075E-3"/>
    <n v="1320085"/>
    <n v="-0.48212464300285596"/>
    <n v="408628"/>
    <n v="-0.50305250305250304"/>
    <n v="911457"/>
    <n v="-0.47215890532811666"/>
  </r>
  <r>
    <x v="33"/>
    <n v="9864028"/>
    <n v="-0.32394447669893933"/>
    <n v="4192589.75"/>
    <n v="-0.26930475552602051"/>
    <n v="5671438.25"/>
    <n v="-0.35935858913896812"/>
    <n v="0.57496169414766463"/>
    <n v="5866469"/>
    <n v="3.1140902323547603E-3"/>
    <x v="33"/>
    <x v="22"/>
    <x v="33"/>
    <n v="0.14654918222299629"/>
    <x v="33"/>
    <n v="-0.16418193810464499"/>
    <x v="33"/>
    <n v="0.2548251760275797"/>
    <x v="33"/>
    <n v="-8.3296530628373278E-2"/>
    <x v="33"/>
    <n v="-0.71353879751318172"/>
    <x v="33"/>
    <n v="0.5677612882854437"/>
    <n v="-195030.75"/>
    <n v="-1.0649130319158673"/>
    <n v="541856"/>
    <n v="-0.27272824886283253"/>
    <n v="-736886.75"/>
    <n v="-1.3261368967531777"/>
  </r>
  <r>
    <x v="34"/>
    <n v="10806325"/>
    <n v="-0.11349026090954184"/>
    <n v="4562052.2699999996"/>
    <n v="-0.13847907039897489"/>
    <n v="6244272.7300000004"/>
    <n v="-9.429721824757642E-2"/>
    <n v="0.57783499293237994"/>
    <n v="5600507"/>
    <n v="1.9774737586550017E-2"/>
    <x v="34"/>
    <x v="23"/>
    <x v="34"/>
    <n v="8.5455041307122226E-2"/>
    <x v="34"/>
    <n v="-0.10610305456861424"/>
    <x v="34"/>
    <n v="-0.12258491870186294"/>
    <x v="34"/>
    <n v="0.34308321004639364"/>
    <x v="34"/>
    <n v="-0.63001430747877962"/>
    <x v="34"/>
    <n v="8.1598322154982306E-2"/>
    <n v="643765.73000000045"/>
    <n v="-0.54098340165234782"/>
    <n v="544676"/>
    <n v="-0.28824155117124506"/>
    <n v="99089.730000000447"/>
    <n v="-0.84450049039993025"/>
  </r>
  <r>
    <x v="35"/>
    <n v="11999947"/>
    <n v="-6.9860526520176269E-2"/>
    <n v="6019756"/>
    <n v="8.5915448494944924E-2"/>
    <n v="5980191"/>
    <n v="-0.18722546800658735"/>
    <n v="0.49835145105224216"/>
    <n v="6123695"/>
    <n v="0.10184712531148432"/>
    <x v="35"/>
    <x v="24"/>
    <x v="35"/>
    <n v="0.28770721749606443"/>
    <x v="35"/>
    <n v="-7.2365040660739233E-2"/>
    <x v="35"/>
    <n v="0.1111647045291797"/>
    <x v="35"/>
    <n v="0.14882544791023111"/>
    <x v="35"/>
    <n v="-0.17622494039305314"/>
    <x v="35"/>
    <n v="-5.129286469610761E-2"/>
    <n v="-143504"/>
    <n v="-1.0797206355696338"/>
    <n v="557927"/>
    <n v="-7.1667340544659841E-2"/>
    <n v="-701431"/>
    <n v="-1.5849708986920881"/>
  </r>
  <r>
    <x v="36"/>
    <n v="5978967"/>
    <n v="-8.73036505155107E-2"/>
    <n v="2537994.11"/>
    <n v="-6.2619209776557216E-2"/>
    <n v="3440972.89"/>
    <n v="-0.10469320604837706"/>
    <n v="0.5755129422858497"/>
    <n v="4783739"/>
    <n v="0.1039258427816756"/>
    <x v="36"/>
    <x v="25"/>
    <x v="36"/>
    <n v="0.30163455445920717"/>
    <x v="36"/>
    <n v="-3.6301486125012383E-2"/>
    <x v="36"/>
    <n v="0.25411421416273505"/>
    <x v="36"/>
    <n v="0.13423835890319658"/>
    <x v="36"/>
    <n v="-0.89376741408114224"/>
    <x v="36"/>
    <n v="0.12153464960807847"/>
    <n v="-1342766.1099999999"/>
    <n v="1.7400985423728117"/>
    <n v="307562"/>
    <n v="-0.57768541365441994"/>
    <n v="-1650328.1099999999"/>
    <n v="0.35459330061067695"/>
  </r>
  <r>
    <x v="37"/>
    <n v="7583876"/>
    <n v="-9.3193904833783536E-2"/>
    <n v="3369768.9299999997"/>
    <n v="2.6665247923145285E-2"/>
    <n v="4214107.07"/>
    <n v="-0.17062050534576012"/>
    <n v="0.55566666306252899"/>
    <n v="4714552"/>
    <n v="5.8260355438673139E-2"/>
    <x v="37"/>
    <x v="26"/>
    <x v="37"/>
    <n v="4.989808250807215E-2"/>
    <x v="37"/>
    <n v="-4.7755098033440357E-2"/>
    <x v="37"/>
    <n v="-4.9708551919393829E-2"/>
    <x v="37"/>
    <n v="0.19999999999999996"/>
    <x v="37"/>
    <n v="0.49787737490430795"/>
    <x v="37"/>
    <n v="-0.28139068257268984"/>
    <n v="-500444.9299999997"/>
    <n v="-1.7993893782126844"/>
    <n v="321769"/>
    <n v="-0.57375153334410767"/>
    <n v="-822213.9299999997"/>
    <n v="5.3810723155247855"/>
  </r>
  <r>
    <x v="38"/>
    <n v="12524631"/>
    <n v="0.5782673554037685"/>
    <n v="6179149.96"/>
    <n v="0.76900910682624679"/>
    <n v="6345481.04"/>
    <n v="0.42829919219878687"/>
    <n v="0.50664015889969138"/>
    <n v="4295637"/>
    <n v="5.6519207966670537E-2"/>
    <x v="38"/>
    <x v="27"/>
    <x v="38"/>
    <n v="0.28417532165694825"/>
    <x v="38"/>
    <n v="-0.21912451837085245"/>
    <x v="38"/>
    <n v="-0.15652452105837633"/>
    <x v="38"/>
    <n v="0.28568118131219711"/>
    <x v="38"/>
    <n v="-0.87326891786022776"/>
    <x v="38"/>
    <n v="-6.3154654752688555E-2"/>
    <n v="2049844.04"/>
    <n v="4.4394978722647744"/>
    <n v="330504"/>
    <n v="-0.54364017464354664"/>
    <n v="1719340.04"/>
    <n v="-5.9495407610795992"/>
  </r>
  <r>
    <x v="39"/>
    <n v="11577352.359999999"/>
    <n v="4.9501699937949173E-2"/>
    <n v="4832467.2699999996"/>
    <n v="8.2486318545877957E-2"/>
    <n v="6744885.0899999999"/>
    <n v="2.7079032274613279E-2"/>
    <n v="0.58259305584441934"/>
    <n v="4179731.69"/>
    <n v="0.46515260999690833"/>
    <x v="39"/>
    <x v="28"/>
    <x v="39"/>
    <n v="1.5803499468176727"/>
    <x v="39"/>
    <n v="-0.68187818318208215"/>
    <x v="39"/>
    <n v="4.0548980766294651E-2"/>
    <x v="39"/>
    <n v="5.559539112210965E-3"/>
    <x v="39"/>
    <n v="-0.77228855668683183"/>
    <x v="39"/>
    <n v="0.91939833009770044"/>
    <n v="2565153.4"/>
    <n v="-0.3093832394368784"/>
    <n v="330700.74"/>
    <n v="-0.43719038307388325"/>
    <n v="2234452.66"/>
    <n v="-0.28536495763216618"/>
  </r>
  <r>
    <x v="40"/>
    <n v="12947927.33"/>
    <n v="6.1955487838335266E-2"/>
    <n v="5343250.26"/>
    <n v="0.14765445376454323"/>
    <n v="7604677.0700000003"/>
    <n v="9.0151323044913578E-3"/>
    <n v="0.58732775340653698"/>
    <n v="4511100.72"/>
    <n v="-0.10251813484163208"/>
    <x v="40"/>
    <x v="29"/>
    <x v="40"/>
    <n v="-7.4774660805212445E-3"/>
    <x v="40"/>
    <n v="-0.69606419277455833"/>
    <x v="40"/>
    <n v="-0.2394140807474141"/>
    <x v="40"/>
    <n v="-0.10916554508748322"/>
    <x v="40"/>
    <n v="-0.73798736730712"/>
    <x v="40"/>
    <n v="0.73158074101432002"/>
    <n v="3093576.3500000006"/>
    <n v="0.23233616089774189"/>
    <n v="295714.65999999997"/>
    <n v="-0.49656335122030948"/>
    <n v="2797861.6900000004"/>
    <n v="0.45498955559156551"/>
  </r>
  <r>
    <x v="41"/>
    <n v="11902556"/>
    <n v="0.18594705435154091"/>
    <n v="5123673.03"/>
    <n v="0.340540698583226"/>
    <n v="6778882.9699999997"/>
    <n v="9.0863519152190486E-2"/>
    <n v="0.5695317014261474"/>
    <n v="4291480.7"/>
    <n v="-0.20215784710279427"/>
    <x v="41"/>
    <x v="30"/>
    <x v="41"/>
    <n v="-9.9624415209194184E-2"/>
    <x v="41"/>
    <n v="-0.80144858120657969"/>
    <x v="41"/>
    <n v="0.2643357272270852"/>
    <x v="41"/>
    <n v="-0.47908236647283808"/>
    <x v="41"/>
    <n v="-0.79611994565823752"/>
    <x v="41"/>
    <n v="1.1542848332935467"/>
    <n v="2487402.2699999996"/>
    <n v="1.9775828936881648"/>
    <n v="301305.65999999997"/>
    <n v="-0.48883593180083129"/>
    <n v="2186096.6099999994"/>
    <n v="7.8892336579007161"/>
  </r>
  <r>
    <x v="42"/>
    <n v="11413037"/>
    <n v="-0.18416752582680773"/>
    <n v="4802246.5999999996"/>
    <n v="-9.2842153905430935E-2"/>
    <n v="6610790.4000000004"/>
    <n v="-0.23976410011828686"/>
    <n v="0.57923148763996823"/>
    <n v="4388811"/>
    <n v="-0.23254086428118648"/>
    <x v="42"/>
    <x v="31"/>
    <x v="42"/>
    <n v="-0.10685218288918752"/>
    <x v="42"/>
    <n v="-0.71328847169325926"/>
    <x v="42"/>
    <n v="-7.4827212859011172E-2"/>
    <x v="42"/>
    <n v="-0.22426238518715724"/>
    <x v="42"/>
    <n v="-0.89136914485621943"/>
    <x v="42"/>
    <n v="-0.73066515910339502"/>
    <n v="2221979.4000000004"/>
    <n v="-0.25363907731037993"/>
    <n v="315119"/>
    <n v="-0.62047481747517153"/>
    <n v="1906860.4000000004"/>
    <n v="-0.11176050348597333"/>
  </r>
  <r>
    <x v="43"/>
    <n v="11491012"/>
    <n v="-2.6876259116727086E-2"/>
    <n v="4670223.21"/>
    <n v="-2.8565632157856458E-2"/>
    <n v="6820788.79"/>
    <n v="-2.571614519771237E-2"/>
    <n v="0.59357598704100212"/>
    <n v="4701126"/>
    <n v="-0.19692821745391553"/>
    <x v="43"/>
    <x v="32"/>
    <x v="43"/>
    <n v="-0.1473682552261617"/>
    <x v="43"/>
    <n v="-0.6732005191033108"/>
    <x v="43"/>
    <n v="-0.31189276659307252"/>
    <x v="43"/>
    <n v="-0.17810672633640523"/>
    <x v="43"/>
    <n v="-0.84535682743467677"/>
    <x v="43"/>
    <n v="1.4800691821036822"/>
    <n v="2119662.79"/>
    <n v="0.84817837884209935"/>
    <n v="308251"/>
    <n v="-0.24564395978738607"/>
    <n v="1811411.79"/>
    <n v="1.4536065824713322"/>
  </r>
  <r>
    <x v="44"/>
    <n v="10323500"/>
    <n v="-0.23878182971821982"/>
    <n v="4316448.34"/>
    <n v="-0.33884600173573198"/>
    <n v="6007051.6600000001"/>
    <n v="-0.14589541225938796"/>
    <n v="0.58188130575870589"/>
    <n v="4273476"/>
    <n v="-0.25198282115121251"/>
    <x v="44"/>
    <x v="33"/>
    <x v="44"/>
    <n v="-0.14070854722164094"/>
    <x v="44"/>
    <n v="-0.66377903303088903"/>
    <x v="44"/>
    <n v="-0.20488259935931286"/>
    <x v="44"/>
    <n v="3.9467783950679625E-3"/>
    <x v="44"/>
    <n v="-0.86413051851014988"/>
    <x v="44"/>
    <n v="0.2089328891970037"/>
    <n v="1733575.6600000001"/>
    <n v="0.31323032986512245"/>
    <n v="307784"/>
    <n v="-0.24678680853979662"/>
    <n v="1425791.6600000001"/>
    <n v="0.56429942388944321"/>
  </r>
  <r>
    <x v="45"/>
    <n v="12795408"/>
    <n v="0.29717879957356153"/>
    <n v="5478261.5899999999"/>
    <n v="0.30665338529723773"/>
    <n v="7317146.4100000001"/>
    <n v="0.29017474711992142"/>
    <n v="0.57185721705786952"/>
    <n v="4615869"/>
    <n v="-0.21317763717834359"/>
    <x v="45"/>
    <x v="34"/>
    <x v="45"/>
    <n v="-0.20510953053255088"/>
    <x v="45"/>
    <n v="-0.664769211488905"/>
    <x v="45"/>
    <n v="1.0955243820975236E-2"/>
    <x v="45"/>
    <n v="-6.5907511929936713E-2"/>
    <x v="45"/>
    <n v="-0.5559485585755739"/>
    <x v="45"/>
    <n v="0.22380213892972955"/>
    <n v="2701277.41"/>
    <n v="-14.850520546119011"/>
    <n v="259099"/>
    <n v="-0.52183052323864643"/>
    <n v="2442178.41"/>
    <n v="-4.314184180947751"/>
  </r>
  <r>
    <x v="46"/>
    <n v="12202888"/>
    <n v="0.12923570223919789"/>
    <n v="4756643.4000000004"/>
    <n v="4.2654296462061536E-2"/>
    <n v="7446244.5999999996"/>
    <n v="0.19249189168583913"/>
    <n v="0.61020346986713303"/>
    <n v="4838977"/>
    <n v="-0.13597518938910347"/>
    <x v="46"/>
    <x v="35"/>
    <x v="46"/>
    <n v="-9.7252313429272319E-2"/>
    <x v="46"/>
    <n v="-0.59025173218481441"/>
    <x v="46"/>
    <n v="0.18937827357088266"/>
    <x v="46"/>
    <n v="-0.26082584169808321"/>
    <x v="46"/>
    <n v="-0.80057282274318453"/>
    <x v="46"/>
    <n v="0.56529247798335613"/>
    <n v="2607267.5999999996"/>
    <n v="3.0500254650088285"/>
    <n v="263586"/>
    <n v="-0.51606826810801287"/>
    <n v="2343681.5999999996"/>
    <n v="22.652114099008941"/>
  </r>
  <r>
    <x v="47"/>
    <n v="12398731"/>
    <n v="3.3232146775314941E-2"/>
    <n v="5192102.1900000004"/>
    <n v="-0.13748959426262453"/>
    <n v="7206628.8099999996"/>
    <n v="0.20508338446046293"/>
    <n v="0.58123922601433964"/>
    <n v="4724136"/>
    <n v="-0.22854812331443675"/>
    <x v="47"/>
    <x v="36"/>
    <x v="47"/>
    <n v="-0.22798545612538901"/>
    <x v="47"/>
    <n v="-0.58664565881155561"/>
    <x v="47"/>
    <n v="-5.5519567249899815E-2"/>
    <x v="47"/>
    <n v="4.1571097331895901E-2"/>
    <x v="47"/>
    <n v="-0.81857624022378261"/>
    <x v="47"/>
    <n v="-0.16374408683478969"/>
    <n v="2482492.8099999996"/>
    <n v="-18.299119257999774"/>
    <n v="271783"/>
    <n v="-0.51286996327476531"/>
    <n v="2210709.8099999996"/>
    <n v="-4.1517138677931253"/>
  </r>
  <r>
    <x v="48"/>
    <n v="6667726"/>
    <n v="0.11519698971410941"/>
    <n v="2665663.61"/>
    <n v="5.0303308229505683E-2"/>
    <n v="4002062.39"/>
    <n v="0.16306129630681276"/>
    <n v="0.60021398449786334"/>
    <n v="4268079"/>
    <n v="-0.10779434245890085"/>
    <x v="48"/>
    <x v="37"/>
    <x v="48"/>
    <n v="-2.6513956721092469E-2"/>
    <x v="48"/>
    <n v="-0.63012947047688461"/>
    <x v="48"/>
    <n v="-0.14527682069614134"/>
    <x v="48"/>
    <n v="-0.1728019446154837"/>
    <x v="48"/>
    <n v="-0.32481171104274953"/>
    <x v="48"/>
    <n v="-5.4050298735583979E-3"/>
    <n v="-266016.60999999987"/>
    <n v="-0.80188909444549517"/>
    <n v="310968"/>
    <n v="1.1074189919430877E-2"/>
    <n v="-576984.60999999987"/>
    <n v="-0.65038188072794823"/>
  </r>
  <r>
    <x v="49"/>
    <n v="7611996"/>
    <n v="3.7078665315730674E-3"/>
    <n v="2796197.7800000003"/>
    <n v="-0.17021082510841468"/>
    <n v="4815798.22"/>
    <n v="0.14278022366432164"/>
    <n v="0.63265905814979406"/>
    <n v="4129333"/>
    <n v="-0.12413035215222989"/>
    <x v="49"/>
    <x v="38"/>
    <x v="49"/>
    <n v="-4.0717692498006941E-2"/>
    <x v="49"/>
    <n v="-0.61209003082823821"/>
    <x v="49"/>
    <n v="-5.3154341244561643E-2"/>
    <x v="49"/>
    <n v="2.5769700257697092E-2"/>
    <x v="49"/>
    <n v="-0.86001685904115865"/>
    <x v="49"/>
    <n v="8.4263217212074526E-2"/>
    <n v="686465.21999999974"/>
    <n v="-2.3717098103081993"/>
    <n v="348625"/>
    <n v="8.3463602770931899E-2"/>
    <n v="337840.21999999974"/>
    <n v="-1.4108908979442853"/>
  </r>
  <r>
    <x v="50"/>
    <n v="12074039"/>
    <n v="-3.5976469087193097E-2"/>
    <n v="5524938.8700000001"/>
    <n v="-0.10587396231438928"/>
    <n v="6549100.1299999999"/>
    <n v="3.2088834355732399E-2"/>
    <n v="0.54241170912235748"/>
    <n v="4603275"/>
    <n v="7.1616386580150904E-2"/>
    <x v="50"/>
    <x v="39"/>
    <x v="50"/>
    <n v="-4.3704452691593065E-2"/>
    <x v="50"/>
    <n v="-0.51430704845703845"/>
    <x v="50"/>
    <n v="9.3595355706973971E-2"/>
    <x v="50"/>
    <n v="0.51836943134368707"/>
    <x v="50"/>
    <n v="4.6696677656606678E-2"/>
    <x v="50"/>
    <n v="2.7328906234443759"/>
    <n v="1945825.13"/>
    <n v="-5.0744792272098938E-2"/>
    <n v="483963"/>
    <n v="0.46431813230702201"/>
    <n v="1461862.13"/>
    <n v="-0.14975391953298556"/>
  </r>
  <r>
    <x v="51"/>
    <n v="13512832"/>
    <n v="0.16717808872148732"/>
    <n v="5642977.1600000001"/>
    <n v="0.16772175468867712"/>
    <n v="7869854.8399999999"/>
    <n v="0.16678857163450944"/>
    <n v="0.5823986296876924"/>
    <n v="5300007.0999999996"/>
    <n v="0.26802567559067403"/>
    <x v="51"/>
    <x v="40"/>
    <x v="51"/>
    <n v="0.10845350995207359"/>
    <x v="51"/>
    <n v="0.13635853237233886"/>
    <x v="51"/>
    <n v="-0.18212442979019416"/>
    <x v="51"/>
    <n v="0.43685358480754277"/>
    <x v="51"/>
    <n v="1.6302051830828641"/>
    <x v="51"/>
    <n v="3.2408055699278631"/>
    <n v="2569847.7400000002"/>
    <n v="1.8300426009612014E-3"/>
    <n v="408264"/>
    <n v="0.23454214224014147"/>
    <n v="2161583.7400000002"/>
    <n v="-3.2611530020063118E-2"/>
  </r>
  <r>
    <x v="52"/>
    <n v="11412354.42"/>
    <n v="-0.11859604018954595"/>
    <n v="4805563.43"/>
    <n v="-0.10062916835940983"/>
    <n v="6606790.9900000002"/>
    <n v="-0.13122004666530829"/>
    <n v="0.57891568618143219"/>
    <n v="5224551"/>
    <n v="0.15815436725606968"/>
    <x v="52"/>
    <x v="41"/>
    <x v="52"/>
    <n v="0.12643100931504336"/>
    <x v="52"/>
    <n v="0.23554092385899517"/>
    <x v="52"/>
    <n v="0.17928031550697976"/>
    <x v="52"/>
    <n v="8.3733379699677979E-2"/>
    <x v="52"/>
    <n v="0.49255332576044419"/>
    <x v="52"/>
    <n v="1.9561471042678042"/>
    <n v="1382239.9900000002"/>
    <n v="-0.55319027765388751"/>
    <n v="401314"/>
    <n v="0.35709876541122454"/>
    <n v="980925.99000000022"/>
    <n v="-0.64940154350517587"/>
  </r>
  <r>
    <x v="53"/>
    <n v="11694165"/>
    <n v="-1.7508088178707193E-2"/>
    <n v="5254086.76"/>
    <n v="2.545317182349538E-2"/>
    <n v="6440078.2400000002"/>
    <n v="-4.9979433410988539E-2"/>
    <n v="0.55070868591301736"/>
    <n v="5578424.0499999998"/>
    <n v="0.29988328969998612"/>
    <x v="53"/>
    <x v="42"/>
    <x v="53"/>
    <n v="0.18412286138675582"/>
    <x v="53"/>
    <n v="0.79967257752385068"/>
    <x v="53"/>
    <n v="0.16233835338806912"/>
    <x v="53"/>
    <n v="0.44228952812447231"/>
    <x v="53"/>
    <n v="1.4228231128279414"/>
    <x v="53"/>
    <n v="2.5401825755813543"/>
    <n v="861654.19000000041"/>
    <n v="-0.65359274597751305"/>
    <n v="401290"/>
    <n v="0.33183691272178573"/>
    <n v="460364.19000000041"/>
    <n v="-0.7894126966328352"/>
  </r>
  <r>
    <x v="54"/>
    <n v="10900540"/>
    <n v="-4.4904524536282464E-2"/>
    <n v="4983518.63"/>
    <n v="3.7747338922578422E-2"/>
    <n v="5917021.3700000001"/>
    <n v="-0.1049449442535646"/>
    <n v="0.54281910529203137"/>
    <n v="5125862"/>
    <n v="0.16793865126568441"/>
    <x v="54"/>
    <x v="43"/>
    <x v="54"/>
    <n v="5.0395942144918271E-2"/>
    <x v="54"/>
    <n v="0.19180457265447393"/>
    <x v="54"/>
    <n v="0.33659528952832374"/>
    <x v="54"/>
    <n v="0.12381748434844697"/>
    <x v="54"/>
    <n v="4.3310660744031093"/>
    <x v="54"/>
    <n v="0.9841558683379743"/>
    <n v="791159.37000000011"/>
    <n v="-0.64393937675569812"/>
    <n v="441007"/>
    <n v="0.39949352466845856"/>
    <n v="350152.37000000011"/>
    <n v="-0.8163723102121162"/>
  </r>
  <r>
    <x v="55"/>
    <n v="11301926"/>
    <n v="-1.6455121620271518E-2"/>
    <n v="4879147.9400000004"/>
    <n v="4.4735491347104306E-2"/>
    <n v="6422778.0599999996"/>
    <n v="-5.8352595609400204E-2"/>
    <n v="0.56829057808377081"/>
    <n v="5058719"/>
    <n v="7.6065393695042394E-2"/>
    <x v="55"/>
    <x v="44"/>
    <x v="55"/>
    <n v="5.3669072453248479E-3"/>
    <x v="55"/>
    <n v="4.6134663341645954E-2"/>
    <x v="55"/>
    <n v="0.28283761139462249"/>
    <x v="55"/>
    <n v="6.9930663647941316E-3"/>
    <x v="55"/>
    <n v="1.062299763198217"/>
    <x v="55"/>
    <n v="-0.19103094902513507"/>
    <n v="1364059.0599999996"/>
    <n v="-0.35647355492804611"/>
    <n v="506969"/>
    <n v="0.64466295324264955"/>
    <n v="857090.05999999959"/>
    <n v="-0.52683864335452979"/>
  </r>
  <r>
    <x v="56"/>
    <n v="12700295"/>
    <n v="0.23023151063108438"/>
    <n v="5821550.7800000003"/>
    <n v="0.34869001582907866"/>
    <n v="6878744.2199999997"/>
    <n v="0.14511154711794161"/>
    <n v="0.54162082219350016"/>
    <n v="5426905"/>
    <n v="0.26990417168599978"/>
    <x v="56"/>
    <x v="45"/>
    <x v="56"/>
    <n v="7.2908884780646721E-2"/>
    <x v="56"/>
    <n v="2.0718004621665065E-2"/>
    <x v="56"/>
    <n v="0.28300917788629687"/>
    <x v="56"/>
    <n v="0.59691431688772201"/>
    <x v="56"/>
    <n v="1.8098117771562476"/>
    <x v="56"/>
    <n v="0.21623133676002659"/>
    <n v="1451839.2199999997"/>
    <n v="-0.16251753326993545"/>
    <n v="567649"/>
    <n v="0.84430964572557388"/>
    <n v="884190.21999999974"/>
    <n v="-0.37986015432296771"/>
  </r>
  <r>
    <x v="57"/>
    <n v="11905965"/>
    <n v="-6.9512672046096569E-2"/>
    <n v="5198650.71"/>
    <n v="-5.1040074557666348E-2"/>
    <n v="6707314.29"/>
    <n v="-8.3342888857133035E-2"/>
    <n v="0.56335746745433912"/>
    <n v="5585503"/>
    <n v="0.2100653203113001"/>
    <x v="57"/>
    <x v="46"/>
    <x v="57"/>
    <n v="0.19658273689426453"/>
    <x v="57"/>
    <n v="0.1003580670222024"/>
    <x v="57"/>
    <n v="-0.17630534744318282"/>
    <x v="57"/>
    <n v="-4.0511084629729632E-2"/>
    <x v="57"/>
    <n v="4.8115381641017709"/>
    <x v="57"/>
    <n v="0.49832408976954179"/>
    <n v="1121811.29"/>
    <n v="-0.58471081650218215"/>
    <n v="565638"/>
    <n v="1.1830960366500833"/>
    <n v="556173.29"/>
    <n v="-0.77226344818927461"/>
  </r>
  <r>
    <x v="58"/>
    <n v="9747352"/>
    <n v="-0.20122580818573443"/>
    <n v="4260231.5599999996"/>
    <n v="-0.10436179428544101"/>
    <n v="5487120.4400000004"/>
    <n v="-0.26310231066006073"/>
    <n v="0.56293447081833103"/>
    <n v="5310032"/>
    <n v="9.7345988625281654E-2"/>
    <x v="58"/>
    <x v="47"/>
    <x v="58"/>
    <n v="9.0376196140612874E-2"/>
    <x v="58"/>
    <n v="-2.2526790860335821E-2"/>
    <x v="58"/>
    <n v="0.25089888349208356"/>
    <x v="58"/>
    <n v="0.15912067885414882"/>
    <x v="58"/>
    <n v="1.3213249516441006"/>
    <x v="58"/>
    <n v="0.55655562652833424"/>
    <n v="177088.44000000041"/>
    <n v="-0.93207891664054721"/>
    <n v="649451"/>
    <n v="1.4639055185025001"/>
    <n v="-472362.55999999959"/>
    <n v="-1.2015472408880112"/>
  </r>
  <r>
    <x v="59"/>
    <n v="22718925"/>
    <n v="0.83235889221243697"/>
    <n v="11151425.91"/>
    <n v="1.1477670319119815"/>
    <n v="11567499.09"/>
    <n v="0.60511931375580308"/>
    <n v="0.50915697331629906"/>
    <n v="4822542"/>
    <n v="2.0830475667931614E-2"/>
    <x v="59"/>
    <x v="48"/>
    <x v="59"/>
    <n v="1.0841337714422528E-2"/>
    <x v="59"/>
    <n v="-3.8874762655605188E-3"/>
    <x v="59"/>
    <n v="0.22307346925788307"/>
    <x v="59"/>
    <n v="4.1566506650785096E-2"/>
    <x v="59"/>
    <n v="-0.1992448080553807"/>
    <x v="59"/>
    <n v="1.2230905325960189"/>
    <n v="6744957.0899999999"/>
    <n v="1.7170097181469788"/>
    <n v="659894"/>
    <n v="1.42801794078364"/>
    <n v="6085063.0899999999"/>
    <n v="1.7525381497266714"/>
  </r>
  <r>
    <x v="60"/>
    <n v="6179301.2800000003"/>
    <n v="-7.3252068246355662E-2"/>
    <n v="2606104.4900000002"/>
    <n v="-2.2343074263597607E-2"/>
    <n v="3573196.79"/>
    <n v="-0.10716114798000442"/>
    <n v="0.57825256094326571"/>
    <n v="4426734"/>
    <n v="3.7172460959602693E-2"/>
    <x v="60"/>
    <x v="49"/>
    <x v="60"/>
    <n v="6.2246328053743527E-2"/>
    <x v="60"/>
    <n v="0.22320079696976336"/>
    <x v="60"/>
    <n v="0.36828189697431135"/>
    <x v="60"/>
    <n v="-0.14027721693270989"/>
    <x v="60"/>
    <n v="0.34128043990573453"/>
    <x v="60"/>
    <n v="0.34965982593146228"/>
    <n v="-853537.21"/>
    <n v="2.2085861480604554"/>
    <n v="242149"/>
    <n v="-0.22130572920686375"/>
    <n v="-1095686.21"/>
    <n v="0.89898688978896724"/>
  </r>
  <r>
    <x v="61"/>
    <n v="8244750.7699999996"/>
    <n v="8.3125998752495267E-2"/>
    <n v="3452192.7699999996"/>
    <n v="0.23460250011356476"/>
    <n v="4792558"/>
    <n v="-4.8258292682370474E-3"/>
    <n v="0.58128597621635569"/>
    <n v="3998447"/>
    <n v="-3.1696644470184387E-2"/>
    <x v="61"/>
    <x v="50"/>
    <x v="61"/>
    <n v="8.7832888258443376E-4"/>
    <x v="61"/>
    <n v="0.21595300746883561"/>
    <x v="61"/>
    <n v="4.549556011086997E-2"/>
    <x v="61"/>
    <n v="-0.1753618808358991"/>
    <x v="61"/>
    <n v="0.75305832147937402"/>
    <x v="61"/>
    <n v="0.49039217889650533"/>
    <n v="794111"/>
    <n v="0.15681170271088218"/>
    <n v="403970.69"/>
    <n v="0.1587542201505916"/>
    <n v="390140.31"/>
    <n v="0.1548071748236497"/>
  </r>
  <r>
    <x v="62"/>
    <n v="17640985.559999999"/>
    <n v="0.46106746549352695"/>
    <n v="8741360.8699999992"/>
    <n v="0.58216426926729037"/>
    <n v="8899624.6899999995"/>
    <n v="0.35890801993280874"/>
    <n v="0.50448568532244753"/>
    <n v="4316014"/>
    <n v="-6.2403614817711284E-2"/>
    <x v="62"/>
    <x v="51"/>
    <x v="62"/>
    <n v="9.0711665057876312E-2"/>
    <x v="62"/>
    <n v="3.6746565559508726E-2"/>
    <x v="62"/>
    <n v="-4.7405315858624619E-2"/>
    <x v="62"/>
    <n v="-0.19952957210846223"/>
    <x v="62"/>
    <n v="0.27155707665747952"/>
    <x v="62"/>
    <n v="-0.46202715641744385"/>
    <n v="4583610.6899999995"/>
    <n v="1.355612855097621"/>
    <n v="412537.98"/>
    <n v="-0.14758363759213"/>
    <n v="4171072.7099999995"/>
    <n v="1.8532599787642079"/>
  </r>
  <r>
    <x v="63"/>
    <n v="16545016.859999999"/>
    <n v="0.22439299622758568"/>
    <n v="7306042.8899999987"/>
    <n v="0.29471424087777076"/>
    <n v="9238973.9700000007"/>
    <n v="0.17397006143508498"/>
    <n v="0.55841429768116901"/>
    <n v="5696313"/>
    <n v="7.4774597943463306E-2"/>
    <x v="63"/>
    <x v="52"/>
    <x v="63"/>
    <n v="0.2089306129696249"/>
    <x v="63"/>
    <n v="9.4585528471351932E-2"/>
    <x v="63"/>
    <n v="0.19056337315478844"/>
    <x v="63"/>
    <n v="-0.26789014145880907"/>
    <x v="63"/>
    <n v="0.42704003113336042"/>
    <x v="63"/>
    <n v="-0.53363983455914432"/>
    <n v="3542660.9700000007"/>
    <n v="0.37854897582375857"/>
    <n v="399448.49"/>
    <n v="-2.1592670428938199E-2"/>
    <n v="3143212.4800000004"/>
    <n v="0.45412477982462995"/>
  </r>
  <r>
    <x v="64"/>
    <n v="14569736.24"/>
    <n v="0.27666349149363345"/>
    <n v="6047198.2599999998"/>
    <n v="0.25837445454340835"/>
    <n v="8522537.9800000004"/>
    <n v="0.28996633810569516"/>
    <n v="0.58494799354034155"/>
    <n v="5782425"/>
    <n v="0.10677931940945729"/>
    <x v="64"/>
    <x v="53"/>
    <x v="64"/>
    <n v="0.17858773475755507"/>
    <x v="64"/>
    <n v="2.031588264778339E-2"/>
    <x v="64"/>
    <n v="0.27063529576527845"/>
    <x v="64"/>
    <n v="-0.16585185978184591"/>
    <x v="64"/>
    <n v="1.3976364635744787"/>
    <x v="64"/>
    <n v="-0.19161922128351783"/>
    <n v="2740112.9800000004"/>
    <n v="0.98237136808637704"/>
    <n v="428315.87"/>
    <n v="6.7283648215611613E-2"/>
    <n v="2311797.1100000003"/>
    <n v="1.3567497788492684"/>
  </r>
  <r>
    <x v="65"/>
    <n v="14177801.85"/>
    <n v="0.21238257284722772"/>
    <n v="5720184.2699999996"/>
    <n v="8.8711422420439723E-2"/>
    <n v="8457617.5800000001"/>
    <n v="0.31327870016684756"/>
    <n v="0.59653941206689953"/>
    <n v="5868170"/>
    <n v="5.1940466949621733E-2"/>
    <x v="65"/>
    <x v="54"/>
    <x v="65"/>
    <n v="0.16509005332386928"/>
    <x v="65"/>
    <n v="3.5561939347949822E-2"/>
    <x v="65"/>
    <n v="0.24830964660028054"/>
    <x v="65"/>
    <n v="-9.8677831750992095E-2"/>
    <x v="65"/>
    <n v="-0.21650169401448216"/>
    <x v="65"/>
    <n v="-0.52600346399841413"/>
    <n v="2589447.58"/>
    <n v="2.0052051159874229"/>
    <n v="387657.79"/>
    <n v="-3.3970968626180653E-2"/>
    <n v="2201789.79"/>
    <n v="3.7827129864292832"/>
  </r>
  <r>
    <x v="66"/>
    <n v="12722329.810000001"/>
    <n v="0.16712840006091456"/>
    <n v="5137360.5900000008"/>
    <n v="3.0870148467770697E-2"/>
    <n v="7584969.2199999997"/>
    <n v="0.28188977962065387"/>
    <n v="0.59619341215616539"/>
    <n v="5754502"/>
    <n v="0.12264083582429652"/>
    <x v="66"/>
    <x v="55"/>
    <x v="66"/>
    <n v="0.2846817164686537"/>
    <x v="66"/>
    <n v="0.16851579304879438"/>
    <x v="66"/>
    <n v="-6.1735252674556151E-2"/>
    <x v="66"/>
    <n v="6.6953664891809206E-2"/>
    <x v="66"/>
    <n v="-0.4225665060972964"/>
    <x v="66"/>
    <n v="-0.38417011474640617"/>
    <n v="1830467.2199999997"/>
    <n v="1.3136516982665571"/>
    <n v="613459.22"/>
    <n v="0.39104191089937346"/>
    <n v="1217007.9999999998"/>
    <n v="2.4756526137464081"/>
  </r>
  <r>
    <x v="67"/>
    <n v="14065414.59"/>
    <n v="0.24451483667474028"/>
    <n v="6105535.5199999996"/>
    <n v="0.25135281714782343"/>
    <n v="7959879.0700000003"/>
    <n v="0.2393202747535077"/>
    <n v="0.56591855284942583"/>
    <n v="5793847"/>
    <n v="0.14531900269613707"/>
    <x v="67"/>
    <x v="56"/>
    <x v="67"/>
    <n v="0.31131808357247714"/>
    <x v="67"/>
    <n v="-1.5969135000480139E-2"/>
    <x v="67"/>
    <n v="0.23539212848544233"/>
    <x v="67"/>
    <n v="0.13787550481843391"/>
    <x v="67"/>
    <n v="7.2980868273078814E-2"/>
    <x v="67"/>
    <n v="-0.34342701064418657"/>
    <n v="2166032.0700000003"/>
    <n v="0.58793129529156962"/>
    <n v="586597.53"/>
    <n v="0.15706784832997678"/>
    <n v="1579434.5400000003"/>
    <n v="0.84278713954517337"/>
  </r>
  <r>
    <x v="68"/>
    <n v="13465585.890000001"/>
    <n v="6.0257725509525573E-2"/>
    <n v="5783694.9200000009"/>
    <n v="-6.5027106059185602E-3"/>
    <n v="7681890.9699999997"/>
    <n v="0.11675775756639495"/>
    <n v="0.57048323279455904"/>
    <n v="5941806"/>
    <n v="9.4879309661768607E-2"/>
    <x v="68"/>
    <x v="57"/>
    <x v="68"/>
    <n v="0.27604005854069014"/>
    <x v="68"/>
    <n v="1.9346297614809549E-2"/>
    <x v="68"/>
    <n v="4.8369175132508824E-2"/>
    <x v="68"/>
    <n v="-2.5168727407821723E-2"/>
    <x v="68"/>
    <n v="2.2275429770520105E-2"/>
    <x v="68"/>
    <n v="0.37966247879711346"/>
    <n v="1740084.9699999997"/>
    <n v="0.19853834090526923"/>
    <n v="574510.71"/>
    <n v="1.2087945191482596E-2"/>
    <n v="1165574.2599999998"/>
    <n v="0.31823925851611445"/>
  </r>
  <r>
    <x v="69"/>
    <n v="16183936.4"/>
    <n v="0.35931328539937768"/>
    <n v="6579027.4199999999"/>
    <n v="0.26552595798458634"/>
    <n v="9604908.9800000004"/>
    <n v="0.43200520576768753"/>
    <n v="0.59348410316293632"/>
    <n v="5617857"/>
    <n v="5.7924953222654452E-3"/>
    <x v="69"/>
    <x v="58"/>
    <x v="69"/>
    <n v="0.12008168702371846"/>
    <x v="69"/>
    <n v="3.7907823631209592E-2"/>
    <x v="69"/>
    <n v="0.23634725587556504"/>
    <x v="69"/>
    <n v="0.50350950154044627"/>
    <x v="69"/>
    <n v="-0.59203049940784314"/>
    <x v="69"/>
    <n v="-0.54388418616912215"/>
    <n v="3987051.9800000004"/>
    <n v="2.5541200338605972"/>
    <n v="578696.47"/>
    <n v="2.3086267188555221E-2"/>
    <n v="3408355.5100000007"/>
    <n v="5.1282258089021147"/>
  </r>
  <r>
    <x v="70"/>
    <n v="10971669.289999999"/>
    <n v="0.12560511716412814"/>
    <n v="4394369.629999999"/>
    <n v="3.14860983753662E-2"/>
    <n v="6577299.6600000001"/>
    <n v="0.19867965938068588"/>
    <n v="0.59948030569922517"/>
    <n v="5515873"/>
    <n v="3.8764549818155469E-2"/>
    <x v="70"/>
    <x v="59"/>
    <x v="70"/>
    <n v="0.15473581933587832"/>
    <x v="70"/>
    <n v="1.6904688140234381E-2"/>
    <x v="70"/>
    <n v="-8.4888177302639867E-2"/>
    <x v="70"/>
    <n v="6.0171309716831267E-2"/>
    <x v="70"/>
    <n v="0.41072804916154571"/>
    <x v="70"/>
    <n v="-0.55958366666804837"/>
    <n v="1061426.6600000001"/>
    <n v="4.9937659397756153"/>
    <n v="597853.85"/>
    <n v="-7.9447333209125892E-2"/>
    <n v="463572.81000000017"/>
    <n v="-1.9813919418168973"/>
  </r>
  <r>
    <x v="71"/>
    <n v="14337958.02"/>
    <n v="-0.36889804337133036"/>
    <n v="6021602.5499999998"/>
    <n v="-0.46001501524570509"/>
    <n v="8316355.4699999997"/>
    <n v="-0.28105847207808166"/>
    <n v="0.58002370061340158"/>
    <n v="5500235"/>
    <n v="0.14052609598838117"/>
    <x v="71"/>
    <x v="60"/>
    <x v="71"/>
    <n v="0.28298627581839719"/>
    <x v="71"/>
    <n v="-1.6285592052098674E-2"/>
    <x v="71"/>
    <n v="1.1562364503540978E-2"/>
    <x v="71"/>
    <n v="0.17088899443427419"/>
    <x v="71"/>
    <n v="1.9527271298333857"/>
    <x v="71"/>
    <n v="-0.63956389072286357"/>
    <n v="2816120.4699999997"/>
    <n v="-0.58248504291077707"/>
    <n v="580110.18999999994"/>
    <n v="-0.12090397851776202"/>
    <n v="2236010.2799999998"/>
    <n v="-0.632541150859292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45A0D9-D7DA-41D9-918F-1D6240550B03}" name="PivotTable2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9">
  <location ref="S31:T38" firstHeaderRow="1" firstDataRow="1" firstDataCol="1"/>
  <pivotFields count="30">
    <pivotField axis="axisRow" showAll="0">
      <items count="79">
        <item n="2017" x="12"/>
        <item n="2018" x="25"/>
        <item n="2019" x="38"/>
        <item n="2020" x="51"/>
        <item n="2021" x="64"/>
        <item n="2022"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dataField="1"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Себестоимость" fld="3" baseField="0" baseItem="0"/>
  </dataFields>
  <chartFormats count="1">
    <chartFormat chart="5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A9C2E2-4582-4A4B-B98B-123B2ECBBEE4}" name="3yearlysums"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K101:N108" firstHeaderRow="0" firstDataRow="1" firstDataCol="1"/>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dataField="1" numFmtId="164" showAll="0"/>
    <pivotField showAll="0"/>
    <pivotField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 dragToRow="0" dragToCol="0" dragToPage="0" showAll="0" defaultSubtotal="0"/>
  </pivotFields>
  <rowFields count="1">
    <field x="31"/>
  </rowFields>
  <rowItems count="7">
    <i>
      <x v="1"/>
    </i>
    <i>
      <x v="2"/>
    </i>
    <i>
      <x v="3"/>
    </i>
    <i>
      <x v="4"/>
    </i>
    <i>
      <x v="5"/>
    </i>
    <i>
      <x v="6"/>
    </i>
    <i t="grand">
      <x/>
    </i>
  </rowItems>
  <colFields count="1">
    <field x="-2"/>
  </colFields>
  <colItems count="3">
    <i>
      <x/>
    </i>
    <i i="1">
      <x v="1"/>
    </i>
    <i i="2">
      <x v="2"/>
    </i>
  </colItems>
  <dataFields count="3">
    <dataField name="Вaловая прибыль" fld="5" baseField="0" baseItem="0"/>
    <dataField name="Расходы" fld="8" baseField="0" baseItem="0"/>
    <dataField name="Чистaя прибыль" fld="28"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31" count="1" selected="0">
            <x v="1"/>
          </reference>
        </references>
      </pivotArea>
    </chartFormat>
    <chartFormat chart="0" format="4">
      <pivotArea type="data" outline="0" fieldPosition="0">
        <references count="2">
          <reference field="4294967294" count="1" selected="0">
            <x v="1"/>
          </reference>
          <reference field="31" count="1" selected="0">
            <x v="1"/>
          </reference>
        </references>
      </pivotArea>
    </chartFormat>
    <chartFormat chart="0" format="5">
      <pivotArea type="data" outline="0" fieldPosition="0">
        <references count="2">
          <reference field="4294967294" count="1" selected="0">
            <x v="2"/>
          </reference>
          <reference field="31" count="1" selected="0">
            <x v="1"/>
          </reference>
        </references>
      </pivotArea>
    </chartFormat>
    <chartFormat chart="2" format="9">
      <pivotArea type="data" outline="0" fieldPosition="0">
        <references count="2">
          <reference field="4294967294" count="1" selected="0">
            <x v="0"/>
          </reference>
          <reference field="31" count="1" selected="0">
            <x v="1"/>
          </reference>
        </references>
      </pivotArea>
    </chartFormat>
    <chartFormat chart="2" format="10">
      <pivotArea type="data" outline="0" fieldPosition="0">
        <references count="2">
          <reference field="4294967294" count="1" selected="0">
            <x v="1"/>
          </reference>
          <reference field="31" count="1" selected="0">
            <x v="1"/>
          </reference>
        </references>
      </pivotArea>
    </chartFormat>
    <chartFormat chart="2" format="11">
      <pivotArea type="data" outline="0" fieldPosition="0">
        <references count="2">
          <reference field="4294967294" count="1" selected="0">
            <x v="2"/>
          </reference>
          <reference field="3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7B8232-58DA-4875-8D19-B9170B8C095C}"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4">
  <location ref="AA3:AH4" firstHeaderRow="0" firstDataRow="1" firstDataCol="0"/>
  <pivotFields count="30">
    <pivotField showAll="0">
      <items count="79">
        <item x="12"/>
        <item h="1" x="25"/>
        <item h="1" x="38"/>
        <item h="1" x="51"/>
        <item h="1" x="64"/>
        <item h="1"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numFmtId="164" showAll="0"/>
    <pivotField showAll="0"/>
    <pivotField dataField="1" numFmtId="164" showAll="0"/>
    <pivotField showAll="0"/>
    <pivotField numFmtId="164" showAll="0"/>
    <pivotField showAll="0"/>
  </pivotFields>
  <rowItems count="1">
    <i/>
  </rowItems>
  <colFields count="1">
    <field x="-2"/>
  </colFields>
  <colItems count="8">
    <i>
      <x/>
    </i>
    <i i="1">
      <x v="1"/>
    </i>
    <i i="2">
      <x v="2"/>
    </i>
    <i i="3">
      <x v="3"/>
    </i>
    <i i="4">
      <x v="4"/>
    </i>
    <i i="5">
      <x v="5"/>
    </i>
    <i i="6">
      <x v="6"/>
    </i>
    <i i="7">
      <x v="7"/>
    </i>
  </colItems>
  <dataFields count="8">
    <dataField name="Sum of Расходы на ФОТ" fld="12" baseField="0" baseItem="0"/>
    <dataField name="Sum of Маркетинговые расходы" fld="10" baseField="8" baseItem="76"/>
    <dataField name="Sum of Расходы на аренду" fld="14" baseField="0" baseItem="0"/>
    <dataField name="Sum of Транспортные расходы" fld="18" baseField="0" baseItem="0"/>
    <dataField name="Sum of Расходы на интернет и телефонию" fld="16" baseField="0" baseItem="0"/>
    <dataField name="Sum of Офисные расходы" fld="20" baseField="0" baseItem="0"/>
    <dataField name="Sum of Финансовые расходы" fld="22" baseField="0" baseItem="0"/>
    <dataField name="Sum of Налоги" fld="26" baseField="0" baseItem="0"/>
  </dataFields>
  <chartFormats count="8">
    <chartFormat chart="33" format="0" series="1">
      <pivotArea type="data" outline="0" fieldPosition="0">
        <references count="1">
          <reference field="4294967294" count="1" selected="0">
            <x v="1"/>
          </reference>
        </references>
      </pivotArea>
    </chartFormat>
    <chartFormat chart="33" format="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2"/>
          </reference>
        </references>
      </pivotArea>
    </chartFormat>
    <chartFormat chart="33" format="3" series="1">
      <pivotArea type="data" outline="0" fieldPosition="0">
        <references count="1">
          <reference field="4294967294" count="1" selected="0">
            <x v="4"/>
          </reference>
        </references>
      </pivotArea>
    </chartFormat>
    <chartFormat chart="33" format="4" series="1">
      <pivotArea type="data" outline="0" fieldPosition="0">
        <references count="1">
          <reference field="4294967294" count="1" selected="0">
            <x v="3"/>
          </reference>
        </references>
      </pivotArea>
    </chartFormat>
    <chartFormat chart="33" format="5" series="1">
      <pivotArea type="data" outline="0" fieldPosition="0">
        <references count="1">
          <reference field="4294967294" count="1" selected="0">
            <x v="5"/>
          </reference>
        </references>
      </pivotArea>
    </chartFormat>
    <chartFormat chart="33" format="6" series="1">
      <pivotArea type="data" outline="0" fieldPosition="0">
        <references count="1">
          <reference field="4294967294" count="1" selected="0">
            <x v="6"/>
          </reference>
        </references>
      </pivotArea>
    </chartFormat>
    <chartFormat chart="33" format="9"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578572-DF16-4A09-994B-6C1C6C80475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76" firstHeaderRow="1" firstDataRow="1" firstDataCol="1"/>
  <pivotFields count="30">
    <pivotField axis="axisRow" showAll="0">
      <items count="79">
        <item h="1" x="12"/>
        <item h="1" x="25"/>
        <item h="1" x="38"/>
        <item h="1" x="51"/>
        <item h="1" x="64"/>
        <item h="1" x="77"/>
        <item x="0"/>
        <item x="1"/>
        <item x="2"/>
        <item x="3"/>
        <item x="4"/>
        <item x="5"/>
        <item x="6"/>
        <item x="7"/>
        <item x="8"/>
        <item x="9"/>
        <item x="10"/>
        <item x="11"/>
        <item x="13"/>
        <item x="14"/>
        <item x="15"/>
        <item x="16"/>
        <item x="17"/>
        <item x="18"/>
        <item x="19"/>
        <item x="20"/>
        <item x="21"/>
        <item x="22"/>
        <item x="23"/>
        <item x="24"/>
        <item x="26"/>
        <item x="27"/>
        <item x="28"/>
        <item x="29"/>
        <item x="30"/>
        <item x="31"/>
        <item x="32"/>
        <item x="33"/>
        <item x="34"/>
        <item x="35"/>
        <item x="36"/>
        <item x="37"/>
        <item x="39"/>
        <item x="40"/>
        <item x="41"/>
        <item x="42"/>
        <item x="43"/>
        <item x="44"/>
        <item x="45"/>
        <item x="46"/>
        <item x="47"/>
        <item x="48"/>
        <item x="49"/>
        <item x="50"/>
        <item x="52"/>
        <item x="53"/>
        <item x="54"/>
        <item x="55"/>
        <item x="56"/>
        <item x="57"/>
        <item x="58"/>
        <item x="59"/>
        <item x="60"/>
        <item x="61"/>
        <item x="62"/>
        <item x="63"/>
        <item x="65"/>
        <item x="66"/>
        <item x="67"/>
        <item x="68"/>
        <item x="69"/>
        <item x="70"/>
        <item x="71"/>
        <item x="72"/>
        <item x="73"/>
        <item x="74"/>
        <item x="75"/>
        <item x="76"/>
        <item t="default"/>
      </items>
    </pivotField>
    <pivotField dataField="1"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s>
  <rowFields count="1">
    <field x="0"/>
  </rowFields>
  <rowItems count="73">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Items count="1">
    <i/>
  </colItems>
  <dataFields count="1">
    <dataField name="Sum of Выручка" fld="1" baseField="0" baseItem="0" numFmtId="166"/>
  </dataFields>
  <formats count="1">
    <format dxfId="31">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0AD7B6-61DC-405B-B492-CF2A6BFC618D}" name="PivotTable1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N4:AT5" firstHeaderRow="0" firstDataRow="1" firstDataCol="0"/>
  <pivotFields count="32">
    <pivotField numFmtId="165"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dataField="1" numFmtId="164" showAll="0">
      <items count="73">
        <item x="60"/>
        <item x="62"/>
        <item x="61"/>
        <item x="44"/>
        <item x="69"/>
        <item x="39"/>
        <item x="71"/>
        <item x="70"/>
        <item x="38"/>
        <item x="30"/>
        <item x="48"/>
        <item x="42"/>
        <item x="64"/>
        <item x="25"/>
        <item x="27"/>
        <item x="41"/>
        <item x="66"/>
        <item x="36"/>
        <item x="68"/>
        <item x="65"/>
        <item x="67"/>
        <item x="2"/>
        <item x="3"/>
        <item x="43"/>
        <item x="1"/>
        <item x="26"/>
        <item x="59"/>
        <item x="49"/>
        <item x="24"/>
        <item x="28"/>
        <item x="52"/>
        <item x="4"/>
        <item x="40"/>
        <item x="29"/>
        <item x="37"/>
        <item x="45"/>
        <item x="8"/>
        <item x="31"/>
        <item x="50"/>
        <item x="5"/>
        <item x="58"/>
        <item x="53"/>
        <item x="51"/>
        <item x="46"/>
        <item x="54"/>
        <item x="47"/>
        <item x="33"/>
        <item x="63"/>
        <item x="34"/>
        <item x="6"/>
        <item x="22"/>
        <item x="35"/>
        <item x="32"/>
        <item x="57"/>
        <item x="7"/>
        <item x="55"/>
        <item x="12"/>
        <item x="0"/>
        <item x="18"/>
        <item x="10"/>
        <item x="15"/>
        <item x="16"/>
        <item x="56"/>
        <item x="17"/>
        <item x="21"/>
        <item x="14"/>
        <item x="11"/>
        <item x="23"/>
        <item x="19"/>
        <item x="20"/>
        <item x="13"/>
        <item x="9"/>
        <item t="default"/>
      </items>
    </pivotField>
    <pivotField showAll="0"/>
    <pivotField dataField="1" numFmtId="164" showAll="0">
      <items count="73">
        <item x="0"/>
        <item x="27"/>
        <item x="1"/>
        <item x="2"/>
        <item x="26"/>
        <item x="3"/>
        <item x="24"/>
        <item x="4"/>
        <item x="6"/>
        <item x="12"/>
        <item x="14"/>
        <item x="5"/>
        <item x="50"/>
        <item x="25"/>
        <item x="49"/>
        <item x="61"/>
        <item x="15"/>
        <item x="13"/>
        <item x="38"/>
        <item x="39"/>
        <item x="37"/>
        <item x="62"/>
        <item x="47"/>
        <item x="23"/>
        <item x="41"/>
        <item x="8"/>
        <item x="45"/>
        <item x="7"/>
        <item x="59"/>
        <item x="42"/>
        <item x="44"/>
        <item x="16"/>
        <item x="48"/>
        <item x="40"/>
        <item x="28"/>
        <item x="17"/>
        <item x="36"/>
        <item x="43"/>
        <item x="18"/>
        <item x="55"/>
        <item x="51"/>
        <item x="54"/>
        <item x="10"/>
        <item x="46"/>
        <item x="19"/>
        <item x="60"/>
        <item x="20"/>
        <item x="9"/>
        <item x="56"/>
        <item x="22"/>
        <item x="21"/>
        <item x="29"/>
        <item x="30"/>
        <item x="11"/>
        <item x="52"/>
        <item x="58"/>
        <item x="53"/>
        <item x="32"/>
        <item x="34"/>
        <item x="57"/>
        <item x="31"/>
        <item x="33"/>
        <item x="63"/>
        <item x="35"/>
        <item x="71"/>
        <item x="69"/>
        <item x="70"/>
        <item x="66"/>
        <item x="64"/>
        <item x="65"/>
        <item x="67"/>
        <item x="68"/>
        <item t="default"/>
      </items>
    </pivotField>
    <pivotField showAll="0"/>
    <pivotField dataField="1" numFmtId="164" showAll="0">
      <items count="73">
        <item x="41"/>
        <item x="42"/>
        <item x="40"/>
        <item x="39"/>
        <item x="43"/>
        <item x="45"/>
        <item x="67"/>
        <item x="44"/>
        <item x="54"/>
        <item x="55"/>
        <item x="56"/>
        <item x="48"/>
        <item x="68"/>
        <item x="53"/>
        <item x="52"/>
        <item x="49"/>
        <item x="57"/>
        <item x="65"/>
        <item x="64"/>
        <item x="51"/>
        <item x="50"/>
        <item x="69"/>
        <item x="62"/>
        <item x="58"/>
        <item x="70"/>
        <item x="46"/>
        <item x="66"/>
        <item x="71"/>
        <item x="59"/>
        <item x="63"/>
        <item x="47"/>
        <item x="60"/>
        <item x="61"/>
        <item x="0"/>
        <item x="38"/>
        <item x="2"/>
        <item x="1"/>
        <item x="6"/>
        <item x="10"/>
        <item x="37"/>
        <item x="3"/>
        <item x="5"/>
        <item x="36"/>
        <item x="28"/>
        <item x="34"/>
        <item x="26"/>
        <item x="25"/>
        <item x="33"/>
        <item x="35"/>
        <item x="24"/>
        <item x="29"/>
        <item x="30"/>
        <item x="31"/>
        <item x="20"/>
        <item x="32"/>
        <item x="19"/>
        <item x="13"/>
        <item x="18"/>
        <item x="27"/>
        <item x="8"/>
        <item x="9"/>
        <item x="23"/>
        <item x="14"/>
        <item x="22"/>
        <item x="12"/>
        <item x="4"/>
        <item x="17"/>
        <item x="21"/>
        <item x="11"/>
        <item x="15"/>
        <item x="16"/>
        <item x="7"/>
        <item t="default"/>
      </items>
    </pivotField>
    <pivotField showAll="0"/>
    <pivotField dataField="1" numFmtId="164" showAll="0">
      <items count="73">
        <item x="0"/>
        <item x="3"/>
        <item x="5"/>
        <item x="4"/>
        <item x="7"/>
        <item x="2"/>
        <item x="24"/>
        <item x="48"/>
        <item x="40"/>
        <item x="6"/>
        <item x="9"/>
        <item x="17"/>
        <item x="43"/>
        <item x="34"/>
        <item x="49"/>
        <item x="51"/>
        <item x="14"/>
        <item x="12"/>
        <item x="38"/>
        <item x="36"/>
        <item x="44"/>
        <item x="61"/>
        <item x="37"/>
        <item x="52"/>
        <item x="29"/>
        <item x="21"/>
        <item x="20"/>
        <item x="62"/>
        <item x="42"/>
        <item x="1"/>
        <item x="25"/>
        <item x="22"/>
        <item x="57"/>
        <item x="16"/>
        <item x="50"/>
        <item x="19"/>
        <item x="46"/>
        <item x="28"/>
        <item x="27"/>
        <item x="30"/>
        <item x="63"/>
        <item x="60"/>
        <item x="26"/>
        <item x="39"/>
        <item x="55"/>
        <item x="23"/>
        <item x="8"/>
        <item x="47"/>
        <item x="32"/>
        <item x="10"/>
        <item x="41"/>
        <item x="56"/>
        <item x="64"/>
        <item x="70"/>
        <item x="15"/>
        <item x="33"/>
        <item x="45"/>
        <item x="66"/>
        <item x="35"/>
        <item x="69"/>
        <item x="68"/>
        <item x="31"/>
        <item x="18"/>
        <item x="11"/>
        <item x="58"/>
        <item x="54"/>
        <item x="67"/>
        <item x="13"/>
        <item x="53"/>
        <item x="59"/>
        <item x="71"/>
        <item x="65"/>
        <item t="default"/>
      </items>
    </pivotField>
    <pivotField showAll="0"/>
    <pivotField dataField="1" numFmtId="164" showAll="0">
      <items count="73">
        <item sd="0" x="12"/>
        <item sd="0" x="0"/>
        <item sd="0" x="60"/>
        <item sd="0" x="1"/>
        <item x="48"/>
        <item x="24"/>
        <item x="26"/>
        <item x="13"/>
        <item x="36"/>
        <item x="25"/>
        <item x="61"/>
        <item x="2"/>
        <item x="41"/>
        <item x="32"/>
        <item x="44"/>
        <item x="38"/>
        <item x="37"/>
        <item x="14"/>
        <item x="46"/>
        <item x="49"/>
        <item x="22"/>
        <item x="10"/>
        <item x="15"/>
        <item x="6"/>
        <item x="7"/>
        <item x="4"/>
        <item x="20"/>
        <item x="27"/>
        <item x="39"/>
        <item x="23"/>
        <item x="64"/>
        <item x="43"/>
        <item x="57"/>
        <item x="55"/>
        <item x="16"/>
        <item x="42"/>
        <item x="63"/>
        <item x="62"/>
        <item x="58"/>
        <item x="45"/>
        <item x="65"/>
        <item x="19"/>
        <item x="18"/>
        <item x="11"/>
        <item x="40"/>
        <item x="70"/>
        <item x="33"/>
        <item x="35"/>
        <item x="67"/>
        <item x="54"/>
        <item x="8"/>
        <item x="53"/>
        <item x="9"/>
        <item x="47"/>
        <item x="52"/>
        <item x="34"/>
        <item x="31"/>
        <item x="21"/>
        <item x="17"/>
        <item x="66"/>
        <item x="59"/>
        <item x="28"/>
        <item x="50"/>
        <item x="68"/>
        <item x="30"/>
        <item x="56"/>
        <item x="3"/>
        <item x="51"/>
        <item x="71"/>
        <item x="69"/>
        <item x="29"/>
        <item x="5"/>
        <item t="default"/>
      </items>
    </pivotField>
    <pivotField showAll="0"/>
    <pivotField dataField="1" numFmtId="164" showAll="0">
      <items count="73">
        <item x="46"/>
        <item x="49"/>
        <item x="39"/>
        <item x="42"/>
        <item x="59"/>
        <item x="48"/>
        <item x="45"/>
        <item x="44"/>
        <item x="43"/>
        <item x="41"/>
        <item x="38"/>
        <item x="40"/>
        <item x="47"/>
        <item x="50"/>
        <item x="60"/>
        <item x="61"/>
        <item x="36"/>
        <item x="62"/>
        <item x="52"/>
        <item x="58"/>
        <item x="51"/>
        <item x="33"/>
        <item x="65"/>
        <item x="55"/>
        <item x="69"/>
        <item x="17"/>
        <item x="67"/>
        <item x="66"/>
        <item x="70"/>
        <item x="56"/>
        <item x="71"/>
        <item x="53"/>
        <item x="68"/>
        <item x="63"/>
        <item x="27"/>
        <item x="25"/>
        <item x="0"/>
        <item x="34"/>
        <item x="13"/>
        <item x="12"/>
        <item x="15"/>
        <item x="1"/>
        <item x="64"/>
        <item x="54"/>
        <item x="28"/>
        <item x="57"/>
        <item x="37"/>
        <item x="29"/>
        <item x="20"/>
        <item x="11"/>
        <item x="14"/>
        <item x="35"/>
        <item x="31"/>
        <item x="6"/>
        <item x="10"/>
        <item x="32"/>
        <item x="30"/>
        <item x="21"/>
        <item x="23"/>
        <item x="4"/>
        <item x="26"/>
        <item x="2"/>
        <item x="22"/>
        <item x="16"/>
        <item x="3"/>
        <item x="19"/>
        <item x="24"/>
        <item x="5"/>
        <item x="18"/>
        <item x="7"/>
        <item x="9"/>
        <item x="8"/>
        <item t="default"/>
      </items>
    </pivotField>
    <pivotField showAll="0"/>
    <pivotField dataField="1" numFmtId="164" showAll="0">
      <items count="73">
        <item x="5"/>
        <item x="0"/>
        <item x="2"/>
        <item x="9"/>
        <item x="6"/>
        <item x="10"/>
        <item x="7"/>
        <item x="8"/>
        <item x="11"/>
        <item x="29"/>
        <item x="28"/>
        <item x="27"/>
        <item x="1"/>
        <item x="15"/>
        <item x="22"/>
        <item x="16"/>
        <item x="17"/>
        <item x="12"/>
        <item x="21"/>
        <item x="13"/>
        <item x="14"/>
        <item x="37"/>
        <item x="34"/>
        <item x="38"/>
        <item x="71"/>
        <item x="40"/>
        <item x="70"/>
        <item x="49"/>
        <item x="26"/>
        <item x="3"/>
        <item x="41"/>
        <item x="31"/>
        <item x="42"/>
        <item x="32"/>
        <item x="20"/>
        <item x="39"/>
        <item x="69"/>
        <item x="47"/>
        <item x="24"/>
        <item x="25"/>
        <item x="44"/>
        <item x="48"/>
        <item x="36"/>
        <item x="66"/>
        <item x="67"/>
        <item x="33"/>
        <item x="35"/>
        <item x="46"/>
        <item x="23"/>
        <item x="61"/>
        <item x="56"/>
        <item x="65"/>
        <item x="45"/>
        <item x="19"/>
        <item x="60"/>
        <item x="62"/>
        <item x="55"/>
        <item x="54"/>
        <item x="68"/>
        <item x="63"/>
        <item x="58"/>
        <item x="64"/>
        <item x="18"/>
        <item x="43"/>
        <item x="57"/>
        <item x="59"/>
        <item x="52"/>
        <item x="50"/>
        <item x="53"/>
        <item x="30"/>
        <item x="4"/>
        <item x="51"/>
        <item t="default"/>
      </items>
    </pivotField>
    <pivotField showAll="0"/>
    <pivotField numFmtId="164" showAll="0"/>
    <pivotField showAll="0"/>
    <pivotField numFmtId="164" showAll="0"/>
    <pivotField showAll="0"/>
    <pivotField numFmtId="164" showAll="0"/>
    <pivotField showAll="0"/>
    <pivotField showAll="0">
      <items count="7">
        <item sd="0" x="0"/>
        <item sd="0" x="1"/>
        <item sd="0" x="2"/>
        <item sd="0" x="3"/>
        <item sd="0" x="4"/>
        <item sd="0" x="5"/>
        <item t="default"/>
      </items>
    </pivotField>
    <pivotField showAll="0">
      <items count="9">
        <item h="1" sd="0" x="0"/>
        <item sd="0" x="1"/>
        <item sd="0" x="2"/>
        <item sd="0" x="3"/>
        <item sd="0" x="4"/>
        <item sd="0" x="5"/>
        <item sd="0" x="6"/>
        <item h="1" sd="0" x="7"/>
        <item t="default"/>
      </items>
    </pivotField>
  </pivotFields>
  <rowItems count="1">
    <i/>
  </rowItems>
  <colFields count="1">
    <field x="-2"/>
  </colFields>
  <colItems count="7">
    <i>
      <x/>
    </i>
    <i i="1">
      <x v="1"/>
    </i>
    <i i="2">
      <x v="2"/>
    </i>
    <i i="3">
      <x v="3"/>
    </i>
    <i i="4">
      <x v="4"/>
    </i>
    <i i="5">
      <x v="5"/>
    </i>
    <i i="6">
      <x v="6"/>
    </i>
  </colItems>
  <dataFields count="7">
    <dataField name="Sum of Расходы на аренду" fld="14" baseField="0" baseItem="0"/>
    <dataField name="Sum of Финансовые расходы" fld="22" baseField="0" baseItem="0"/>
    <dataField name="Sum of Офисные расходы" fld="20" baseField="0" baseItem="0"/>
    <dataField name="Sum of Транспортные расходы" fld="18" baseField="0" baseItem="0"/>
    <dataField name="Sum of Расходы на ФОТ" fld="12" baseField="0" baseItem="0"/>
    <dataField name="Sum of Маркетинговые расходы" fld="10" baseField="0" baseItem="0"/>
    <dataField name="Sum of Расходы на интернет и телефонию" fld="16" baseField="0" baseItem="0"/>
  </dataFields>
  <chartFormats count="7">
    <chartFormat chart="1" format="82" series="1">
      <pivotArea type="data" outline="0" fieldPosition="0">
        <references count="1">
          <reference field="4294967294" count="1" selected="0">
            <x v="0"/>
          </reference>
        </references>
      </pivotArea>
    </chartFormat>
    <chartFormat chart="1" format="83" series="1">
      <pivotArea type="data" outline="0" fieldPosition="0">
        <references count="1">
          <reference field="4294967294" count="1" selected="0">
            <x v="1"/>
          </reference>
        </references>
      </pivotArea>
    </chartFormat>
    <chartFormat chart="1" format="84" series="1">
      <pivotArea type="data" outline="0" fieldPosition="0">
        <references count="1">
          <reference field="4294967294" count="1" selected="0">
            <x v="2"/>
          </reference>
        </references>
      </pivotArea>
    </chartFormat>
    <chartFormat chart="1" format="85" series="1">
      <pivotArea type="data" outline="0" fieldPosition="0">
        <references count="1">
          <reference field="4294967294" count="1" selected="0">
            <x v="3"/>
          </reference>
        </references>
      </pivotArea>
    </chartFormat>
    <chartFormat chart="1" format="86" series="1">
      <pivotArea type="data" outline="0" fieldPosition="0">
        <references count="1">
          <reference field="4294967294" count="1" selected="0">
            <x v="4"/>
          </reference>
        </references>
      </pivotArea>
    </chartFormat>
    <chartFormat chart="1" format="87" series="1">
      <pivotArea type="data" outline="0" fieldPosition="0">
        <references count="1">
          <reference field="4294967294" count="1" selected="0">
            <x v="5"/>
          </reference>
        </references>
      </pivotArea>
    </chartFormat>
    <chartFormat chart="1" format="88" series="1">
      <pivotArea type="data" outline="0" fieldPosition="0">
        <references count="1">
          <reference field="429496729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D20F38C-D1BC-4819-8F4B-CC50E1E3C9A3}"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3">
  <location ref="V29:W36" firstHeaderRow="1" firstDataRow="1" firstDataCol="1"/>
  <pivotFields count="30">
    <pivotField axis="axisRow" showAll="0">
      <items count="79">
        <item x="12"/>
        <item x="25"/>
        <item x="38"/>
        <item x="51"/>
        <item x="64"/>
        <item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dataField="1" showAll="0"/>
    <pivotField numFmtId="164" showAll="0"/>
    <pivotField showAll="0"/>
  </pivotFields>
  <rowFields count="1">
    <field x="0"/>
  </rowFields>
  <rowItems count="7">
    <i>
      <x/>
    </i>
    <i>
      <x v="1"/>
    </i>
    <i>
      <x v="2"/>
    </i>
    <i>
      <x v="3"/>
    </i>
    <i>
      <x v="4"/>
    </i>
    <i>
      <x v="5"/>
    </i>
    <i t="grand">
      <x/>
    </i>
  </rowItems>
  <colItems count="1">
    <i/>
  </colItems>
  <dataFields count="1">
    <dataField name="Sum of % прироста год к году13" fld="27"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B95DD0-2977-45EA-8E64-7CF6C9C2549A}"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6">
  <location ref="S3:T10" firstHeaderRow="1" firstDataRow="1" firstDataCol="1"/>
  <pivotFields count="30">
    <pivotField axis="axisRow" showAll="0">
      <items count="79">
        <item n="2017" x="12"/>
        <item n="2018" x="25"/>
        <item n="2019" x="38"/>
        <item n="2020" x="51"/>
        <item n="2021" x="64"/>
        <item n="2022"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dataField="1"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Маржинальность" fld="7" baseField="0" baseItem="0" numFmtId="10"/>
  </dataFields>
  <chartFormats count="1">
    <chartFormat chart="3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87F827-3804-4FB9-BF73-11397BE152D1}"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3">
  <location ref="V3:W10" firstHeaderRow="1" firstDataRow="1" firstDataCol="1"/>
  <pivotFields count="30">
    <pivotField axis="axisRow" showAll="0">
      <items count="79">
        <item x="12"/>
        <item x="25"/>
        <item x="38"/>
        <item x="51"/>
        <item x="64"/>
        <item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Налоги" fld="26" baseField="0" baseItem="0"/>
  </dataFields>
  <chartFormats count="7">
    <chartFormat chart="32" format="0" series="1">
      <pivotArea type="data" outline="0" fieldPosition="0">
        <references count="1">
          <reference field="4294967294" count="1" selected="0">
            <x v="0"/>
          </reference>
        </references>
      </pivotArea>
    </chartFormat>
    <chartFormat chart="32" format="1">
      <pivotArea type="data" outline="0" fieldPosition="0">
        <references count="2">
          <reference field="4294967294" count="1" selected="0">
            <x v="0"/>
          </reference>
          <reference field="0" count="1" selected="0">
            <x v="0"/>
          </reference>
        </references>
      </pivotArea>
    </chartFormat>
    <chartFormat chart="32" format="2">
      <pivotArea type="data" outline="0" fieldPosition="0">
        <references count="2">
          <reference field="4294967294" count="1" selected="0">
            <x v="0"/>
          </reference>
          <reference field="0" count="1" selected="0">
            <x v="1"/>
          </reference>
        </references>
      </pivotArea>
    </chartFormat>
    <chartFormat chart="32" format="3">
      <pivotArea type="data" outline="0" fieldPosition="0">
        <references count="2">
          <reference field="4294967294" count="1" selected="0">
            <x v="0"/>
          </reference>
          <reference field="0" count="1" selected="0">
            <x v="2"/>
          </reference>
        </references>
      </pivotArea>
    </chartFormat>
    <chartFormat chart="32" format="4">
      <pivotArea type="data" outline="0" fieldPosition="0">
        <references count="2">
          <reference field="4294967294" count="1" selected="0">
            <x v="0"/>
          </reference>
          <reference field="0" count="1" selected="0">
            <x v="3"/>
          </reference>
        </references>
      </pivotArea>
    </chartFormat>
    <chartFormat chart="32" format="5">
      <pivotArea type="data" outline="0" fieldPosition="0">
        <references count="2">
          <reference field="4294967294" count="1" selected="0">
            <x v="0"/>
          </reference>
          <reference field="0" count="1" selected="0">
            <x v="4"/>
          </reference>
        </references>
      </pivotArea>
    </chartFormat>
    <chartFormat chart="32" format="6">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4DAD864-045E-4E08-9137-6899B3733F2C}"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9">
  <location ref="K3:O76" firstHeaderRow="0" firstDataRow="1" firstDataCol="1"/>
  <pivotFields count="30">
    <pivotField axis="axisRow" showAll="0">
      <items count="79">
        <item h="1" x="12"/>
        <item h="1" x="25"/>
        <item h="1" x="38"/>
        <item h="1" x="51"/>
        <item h="1" x="64"/>
        <item h="1" x="77"/>
        <item x="0"/>
        <item x="1"/>
        <item x="2"/>
        <item x="3"/>
        <item x="4"/>
        <item x="5"/>
        <item x="6"/>
        <item x="7"/>
        <item x="8"/>
        <item x="9"/>
        <item x="10"/>
        <item x="11"/>
        <item x="13"/>
        <item x="14"/>
        <item x="15"/>
        <item x="16"/>
        <item x="17"/>
        <item x="18"/>
        <item x="19"/>
        <item x="20"/>
        <item x="21"/>
        <item x="22"/>
        <item x="23"/>
        <item x="24"/>
        <item x="26"/>
        <item x="27"/>
        <item x="28"/>
        <item x="29"/>
        <item x="30"/>
        <item x="31"/>
        <item x="32"/>
        <item x="33"/>
        <item x="34"/>
        <item x="35"/>
        <item x="36"/>
        <item x="37"/>
        <item x="39"/>
        <item x="40"/>
        <item x="41"/>
        <item x="42"/>
        <item x="43"/>
        <item x="44"/>
        <item x="45"/>
        <item x="46"/>
        <item x="47"/>
        <item x="48"/>
        <item x="49"/>
        <item x="50"/>
        <item x="52"/>
        <item x="53"/>
        <item x="54"/>
        <item x="55"/>
        <item x="56"/>
        <item x="57"/>
        <item x="58"/>
        <item x="59"/>
        <item x="60"/>
        <item x="61"/>
        <item x="62"/>
        <item x="63"/>
        <item x="65"/>
        <item x="66"/>
        <item x="67"/>
        <item x="68"/>
        <item x="69"/>
        <item x="70"/>
        <item x="71"/>
        <item x="72"/>
        <item x="73"/>
        <item x="74"/>
        <item x="75"/>
        <item x="76"/>
        <item t="default"/>
      </items>
    </pivotField>
    <pivotField numFmtId="164" showAll="0"/>
    <pivotField showAll="0"/>
    <pivotField numFmtId="164" showAll="0"/>
    <pivotField showAll="0"/>
    <pivotField dataField="1" numFmtId="164" showAll="0"/>
    <pivotField showAll="0"/>
    <pivotField dataField="1"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s>
  <rowFields count="1">
    <field x="0"/>
  </rowFields>
  <rowItems count="73">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2"/>
  </colFields>
  <colItems count="4">
    <i>
      <x/>
    </i>
    <i i="1">
      <x v="1"/>
    </i>
    <i i="2">
      <x v="2"/>
    </i>
    <i i="3">
      <x v="3"/>
    </i>
  </colItems>
  <dataFields count="4">
    <dataField name="Валовaя прибыль" fld="5" baseField="0" baseItem="0" numFmtId="167"/>
    <dataField name="Расходы суммарнo" fld="8" baseField="0" baseItem="0"/>
    <dataField name="Чистaя прибыль" fld="28" baseField="0" baseItem="0"/>
    <dataField name="Маржинaльность" fld="7" baseField="0" baseItem="0" numFmtId="9"/>
  </dataFields>
  <formats count="2">
    <format dxfId="33">
      <pivotArea field="0" grandRow="1" outline="0" collapsedLevelsAreSubtotals="1" axis="axisRow" fieldPosition="0">
        <references count="1">
          <reference field="4294967294" count="2" selected="0">
            <x v="1"/>
            <x v="2"/>
          </reference>
        </references>
      </pivotArea>
    </format>
    <format dxfId="32">
      <pivotArea outline="0" fieldPosition="0">
        <references count="1">
          <reference field="4294967294" count="1">
            <x v="3"/>
          </reference>
        </references>
      </pivotArea>
    </format>
  </formats>
  <chartFormats count="13">
    <chartFormat chart="32"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2"/>
          </reference>
        </references>
      </pivotArea>
    </chartFormat>
    <chartFormat chart="32" format="3" series="1">
      <pivotArea type="data" outline="0" fieldPosition="0">
        <references count="1">
          <reference field="4294967294" count="1" selected="0">
            <x v="1"/>
          </reference>
        </references>
      </pivotArea>
    </chartFormat>
    <chartFormat chart="34" format="8" series="1">
      <pivotArea type="data" outline="0" fieldPosition="0">
        <references count="1">
          <reference field="4294967294" count="1" selected="0">
            <x v="0"/>
          </reference>
        </references>
      </pivotArea>
    </chartFormat>
    <chartFormat chart="34" format="9" series="1">
      <pivotArea type="data" outline="0" fieldPosition="0">
        <references count="1">
          <reference field="4294967294" count="1" selected="0">
            <x v="1"/>
          </reference>
        </references>
      </pivotArea>
    </chartFormat>
    <chartFormat chart="34" format="10" series="1">
      <pivotArea type="data" outline="0" fieldPosition="0">
        <references count="1">
          <reference field="4294967294" count="1" selected="0">
            <x v="2"/>
          </reference>
        </references>
      </pivotArea>
    </chartFormat>
    <chartFormat chart="34" format="11"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3"/>
          </reference>
        </references>
      </pivotArea>
    </chartFormat>
    <chartFormat chart="34" format="12">
      <pivotArea type="data" outline="0" fieldPosition="0">
        <references count="2">
          <reference field="4294967294" count="1" selected="0">
            <x v="3"/>
          </reference>
          <reference field="0" count="1" selected="0">
            <x v="20"/>
          </reference>
        </references>
      </pivotArea>
    </chartFormat>
    <chartFormat chart="34" format="13">
      <pivotArea type="data" outline="0" fieldPosition="0">
        <references count="2">
          <reference field="4294967294" count="1" selected="0">
            <x v="3"/>
          </reference>
          <reference field="0" count="1" selected="0">
            <x v="41"/>
          </reference>
        </references>
      </pivotArea>
    </chartFormat>
    <chartFormat chart="34" format="14">
      <pivotArea type="data" outline="0" fieldPosition="0">
        <references count="2">
          <reference field="4294967294" count="1" selected="0">
            <x v="3"/>
          </reference>
          <reference field="0" count="1" selected="0">
            <x v="55"/>
          </reference>
        </references>
      </pivotArea>
    </chartFormat>
    <chartFormat chart="34" format="15">
      <pivotArea type="data" outline="0" fieldPosition="0">
        <references count="2">
          <reference field="4294967294" count="1" selected="0">
            <x v="3"/>
          </reference>
          <reference field="0" count="1" selected="0">
            <x v="68"/>
          </reference>
        </references>
      </pivotArea>
    </chartFormat>
    <chartFormat chart="34" format="16">
      <pivotArea type="data" outline="0" fieldPosition="0">
        <references count="2">
          <reference field="4294967294" count="1" selected="0">
            <x v="3"/>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1B81CAF-B95A-4BF7-BD0B-7B596C26B76F}"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7">
  <location ref="D29:E36" firstHeaderRow="1" firstDataRow="1" firstDataCol="1"/>
  <pivotFields count="30">
    <pivotField axis="axisRow" showAll="0">
      <items count="79">
        <item x="12"/>
        <item x="25"/>
        <item x="38"/>
        <item x="51"/>
        <item x="64"/>
        <item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dataField="1"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 прироста год к году" fld="2"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28059C7-94B3-450D-9026-CC7ED1C255C2}"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5">
  <location ref="P31:Q38" firstHeaderRow="1" firstDataRow="1" firstDataCol="1"/>
  <pivotFields count="30">
    <pivotField axis="axisRow" showAll="0">
      <items count="79">
        <item n="2017" x="12"/>
        <item n="2018" x="25"/>
        <item n="2019" x="38"/>
        <item n="2020" x="51"/>
        <item n="2021" x="64"/>
        <item n="2022"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EBITDA" fld="24" showDataAs="percentDiff" baseField="0"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1DE3F0-E815-4A68-BBA7-A4B7FBE2AF00}"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2">
  <location ref="P3:Q10" firstHeaderRow="1" firstDataRow="1" firstDataCol="1"/>
  <pivotFields count="30">
    <pivotField axis="axisRow" showAll="0">
      <items count="79">
        <item n="2017" x="12"/>
        <item n="2018" x="25"/>
        <item n="2019" x="38"/>
        <item n="2020" x="51"/>
        <item n="2021" x="64"/>
        <item n="2022"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EBITDA" fld="24" baseField="0" baseItem="0"/>
  </dataFields>
  <chartFormats count="7">
    <chartFormat chart="53" format="0" series="1">
      <pivotArea type="data" outline="0" fieldPosition="0">
        <references count="1">
          <reference field="4294967294" count="1" selected="0">
            <x v="0"/>
          </reference>
        </references>
      </pivotArea>
    </chartFormat>
    <chartFormat chart="53" format="1">
      <pivotArea type="data" outline="0" fieldPosition="0">
        <references count="2">
          <reference field="4294967294" count="1" selected="0">
            <x v="0"/>
          </reference>
          <reference field="0" count="1" selected="0">
            <x v="0"/>
          </reference>
        </references>
      </pivotArea>
    </chartFormat>
    <chartFormat chart="53" format="2">
      <pivotArea type="data" outline="0" fieldPosition="0">
        <references count="2">
          <reference field="4294967294" count="1" selected="0">
            <x v="0"/>
          </reference>
          <reference field="0" count="1" selected="0">
            <x v="1"/>
          </reference>
        </references>
      </pivotArea>
    </chartFormat>
    <chartFormat chart="53" format="3">
      <pivotArea type="data" outline="0" fieldPosition="0">
        <references count="2">
          <reference field="4294967294" count="1" selected="0">
            <x v="0"/>
          </reference>
          <reference field="0" count="1" selected="0">
            <x v="2"/>
          </reference>
        </references>
      </pivotArea>
    </chartFormat>
    <chartFormat chart="53" format="4">
      <pivotArea type="data" outline="0" fieldPosition="0">
        <references count="2">
          <reference field="4294967294" count="1" selected="0">
            <x v="0"/>
          </reference>
          <reference field="0" count="1" selected="0">
            <x v="3"/>
          </reference>
        </references>
      </pivotArea>
    </chartFormat>
    <chartFormat chart="53" format="5">
      <pivotArea type="data" outline="0" fieldPosition="0">
        <references count="2">
          <reference field="4294967294" count="1" selected="0">
            <x v="0"/>
          </reference>
          <reference field="0" count="1" selected="0">
            <x v="4"/>
          </reference>
        </references>
      </pivotArea>
    </chartFormat>
    <chartFormat chart="53" format="6">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E6522CB-1929-4570-A880-676ED5635AC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D3:E10" firstHeaderRow="1" firstDataRow="1" firstDataCol="1"/>
  <pivotFields count="30">
    <pivotField axis="axisRow" showAll="0">
      <items count="79">
        <item n="2017" x="12"/>
        <item n="2018" x="25"/>
        <item n="2019" x="38"/>
        <item n="2020" x="51"/>
        <item n="2021" x="64"/>
        <item n="2022"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dataField="1"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s>
  <rowFields count="1">
    <field x="0"/>
  </rowFields>
  <rowItems count="7">
    <i>
      <x/>
    </i>
    <i>
      <x v="1"/>
    </i>
    <i>
      <x v="2"/>
    </i>
    <i>
      <x v="3"/>
    </i>
    <i>
      <x v="4"/>
    </i>
    <i>
      <x v="5"/>
    </i>
    <i t="grand">
      <x/>
    </i>
  </rowItems>
  <colItems count="1">
    <i/>
  </colItems>
  <dataFields count="1">
    <dataField name="Sum of Выручка" fld="1" baseField="0" baseItem="0" numFmtId="1"/>
  </dataFields>
  <formats count="1">
    <format dxfId="34">
      <pivotArea dataOnly="0" labelOnly="1" fieldPosition="0">
        <references count="1">
          <reference field="0" count="0"/>
        </references>
      </pivotArea>
    </format>
  </formats>
  <chartFormats count="7">
    <chartFormat chart="26" format="0" series="1">
      <pivotArea type="data" outline="0" fieldPosition="0">
        <references count="1">
          <reference field="4294967294" count="1" selected="0">
            <x v="0"/>
          </reference>
        </references>
      </pivotArea>
    </chartFormat>
    <chartFormat chart="26" format="1">
      <pivotArea type="data" outline="0" fieldPosition="0">
        <references count="2">
          <reference field="4294967294" count="1" selected="0">
            <x v="0"/>
          </reference>
          <reference field="0" count="1" selected="0">
            <x v="0"/>
          </reference>
        </references>
      </pivotArea>
    </chartFormat>
    <chartFormat chart="26" format="2">
      <pivotArea type="data" outline="0" fieldPosition="0">
        <references count="2">
          <reference field="4294967294" count="1" selected="0">
            <x v="0"/>
          </reference>
          <reference field="0" count="1" selected="0">
            <x v="1"/>
          </reference>
        </references>
      </pivotArea>
    </chartFormat>
    <chartFormat chart="26" format="3">
      <pivotArea type="data" outline="0" fieldPosition="0">
        <references count="2">
          <reference field="4294967294" count="1" selected="0">
            <x v="0"/>
          </reference>
          <reference field="0" count="1" selected="0">
            <x v="2"/>
          </reference>
        </references>
      </pivotArea>
    </chartFormat>
    <chartFormat chart="26" format="4">
      <pivotArea type="data" outline="0" fieldPosition="0">
        <references count="2">
          <reference field="4294967294" count="1" selected="0">
            <x v="0"/>
          </reference>
          <reference field="0" count="1" selected="0">
            <x v="3"/>
          </reference>
        </references>
      </pivotArea>
    </chartFormat>
    <chartFormat chart="26" format="5">
      <pivotArea type="data" outline="0" fieldPosition="0">
        <references count="2">
          <reference field="4294967294" count="1" selected="0">
            <x v="0"/>
          </reference>
          <reference field="0" count="1" selected="0">
            <x v="4"/>
          </reference>
        </references>
      </pivotArea>
    </chartFormat>
    <chartFormat chart="26" format="6">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3B6EF51-3414-4364-A758-1CE279A76649}" name="PivotTable13"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7">
  <location ref="AI3:AJ18" firstHeaderRow="1" firstDataRow="1" firstDataCol="1"/>
  <pivotFields count="30">
    <pivotField axis="axisRow" multipleItemSelectionAllowed="1" showAll="0">
      <items count="79">
        <item x="12"/>
        <item h="1" x="25"/>
        <item h="1" x="38"/>
        <item h="1" x="51"/>
        <item h="1" x="64"/>
        <item h="1" x="77"/>
        <item h="1" x="0"/>
        <item h="1" x="1"/>
        <item h="1" x="2"/>
        <item h="1" x="3"/>
        <item h="1" x="4"/>
        <item h="1" x="5"/>
        <item h="1" x="6"/>
        <item h="1" x="7"/>
        <item h="1" x="8"/>
        <item h="1" x="9"/>
        <item h="1" x="10"/>
        <item h="1" x="11"/>
        <item h="1" x="13"/>
        <item h="1" x="14"/>
        <item h="1" x="15"/>
        <item h="1" x="16"/>
        <item h="1" x="17"/>
        <item h="1" x="18"/>
        <item h="1" x="19"/>
        <item h="1" x="20"/>
        <item h="1" x="21"/>
        <item h="1" x="22"/>
        <item h="1" x="23"/>
        <item h="1" x="24"/>
        <item h="1" x="26"/>
        <item h="1" x="27"/>
        <item h="1" x="28"/>
        <item h="1" x="29"/>
        <item h="1" x="30"/>
        <item h="1" x="31"/>
        <item h="1" x="32"/>
        <item h="1" x="33"/>
        <item h="1" x="34"/>
        <item h="1" x="35"/>
        <item h="1" x="36"/>
        <item h="1" x="37"/>
        <item h="1" x="39"/>
        <item h="1" x="40"/>
        <item h="1" x="41"/>
        <item h="1" x="42"/>
        <item h="1" x="43"/>
        <item h="1" x="44"/>
        <item h="1" x="45"/>
        <item h="1" x="46"/>
        <item h="1" x="47"/>
        <item h="1" x="48"/>
        <item h="1" x="49"/>
        <item h="1" x="50"/>
        <item h="1" x="52"/>
        <item h="1" x="53"/>
        <item h="1" x="54"/>
        <item h="1" x="55"/>
        <item h="1" x="56"/>
        <item h="1" x="57"/>
        <item h="1" x="58"/>
        <item h="1" x="59"/>
        <item h="1" x="60"/>
        <item h="1" x="61"/>
        <item h="1" x="62"/>
        <item h="1" x="63"/>
        <item h="1" x="65"/>
        <item h="1" x="66"/>
        <item h="1" x="67"/>
        <item h="1" x="68"/>
        <item h="1" x="69"/>
        <item h="1" x="70"/>
        <item h="1" x="71"/>
        <item h="1" x="72"/>
        <item h="1" x="73"/>
        <item h="1" x="74"/>
        <item h="1" x="75"/>
        <item h="1" x="76"/>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numFmtId="164" showAll="0"/>
    <pivotField showAll="0"/>
    <pivotField numFmtId="164" showAll="0"/>
    <pivotField showAll="0"/>
    <pivotField numFmtId="164" showAll="0"/>
    <pivotField showAll="0"/>
  </pivotFields>
  <rowFields count="2">
    <field x="0"/>
    <field x="-2"/>
  </rowFields>
  <rowItems count="15">
    <i>
      <x/>
    </i>
    <i r="1">
      <x/>
    </i>
    <i r="1" i="1">
      <x v="1"/>
    </i>
    <i r="1" i="2">
      <x v="2"/>
    </i>
    <i r="1" i="3">
      <x v="3"/>
    </i>
    <i r="1" i="4">
      <x v="4"/>
    </i>
    <i r="1" i="5">
      <x v="5"/>
    </i>
    <i r="1" i="6">
      <x v="6"/>
    </i>
    <i t="grand">
      <x/>
    </i>
    <i t="grand" i="1">
      <x/>
    </i>
    <i t="grand" i="2">
      <x/>
    </i>
    <i t="grand" i="3">
      <x/>
    </i>
    <i t="grand" i="4">
      <x/>
    </i>
    <i t="grand" i="5">
      <x/>
    </i>
    <i t="grand" i="6">
      <x/>
    </i>
  </rowItems>
  <colItems count="1">
    <i/>
  </colItems>
  <dataFields count="7">
    <dataField name="Sum of Офисные расходы" fld="20" baseField="0" baseItem="0"/>
    <dataField name="Sum of Расходы на интернет и телефонию" fld="16" baseField="0" baseItem="0"/>
    <dataField name="Sum of Финансовые расходы" fld="22" baseField="0" baseItem="0"/>
    <dataField name="Sum of Транспортные расходы" fld="18" baseField="0" baseItem="0"/>
    <dataField name="Sum of Расходы на аренду" fld="14" baseField="0" baseItem="0"/>
    <dataField name="Sum of Расходы на ФОТ" fld="12" baseField="0" baseItem="0"/>
    <dataField name="Sum of Маркетинговые расходы" fld="10" baseField="0" baseItem="0"/>
  </dataFields>
  <chartFormats count="22">
    <chartFormat chart="44" format="0" series="1">
      <pivotArea type="data" outline="0" fieldPosition="0">
        <references count="1">
          <reference field="4294967294" count="1" selected="0">
            <x v="0"/>
          </reference>
        </references>
      </pivotArea>
    </chartFormat>
    <chartFormat chart="44" format="1">
      <pivotArea type="data" outline="0" fieldPosition="0">
        <references count="2">
          <reference field="4294967294" count="1" selected="0">
            <x v="0"/>
          </reference>
          <reference field="0" count="1" selected="0">
            <x v="3"/>
          </reference>
        </references>
      </pivotArea>
    </chartFormat>
    <chartFormat chart="44" format="2">
      <pivotArea type="data" outline="0" fieldPosition="0">
        <references count="2">
          <reference field="4294967294" count="1" selected="0">
            <x v="1"/>
          </reference>
          <reference field="0" count="1" selected="0">
            <x v="3"/>
          </reference>
        </references>
      </pivotArea>
    </chartFormat>
    <chartFormat chart="44" format="3">
      <pivotArea type="data" outline="0" fieldPosition="0">
        <references count="2">
          <reference field="4294967294" count="1" selected="0">
            <x v="2"/>
          </reference>
          <reference field="0" count="1" selected="0">
            <x v="3"/>
          </reference>
        </references>
      </pivotArea>
    </chartFormat>
    <chartFormat chart="44" format="4">
      <pivotArea type="data" outline="0" fieldPosition="0">
        <references count="2">
          <reference field="4294967294" count="1" selected="0">
            <x v="3"/>
          </reference>
          <reference field="0" count="1" selected="0">
            <x v="3"/>
          </reference>
        </references>
      </pivotArea>
    </chartFormat>
    <chartFormat chart="44" format="5">
      <pivotArea type="data" outline="0" fieldPosition="0">
        <references count="2">
          <reference field="4294967294" count="1" selected="0">
            <x v="4"/>
          </reference>
          <reference field="0" count="1" selected="0">
            <x v="3"/>
          </reference>
        </references>
      </pivotArea>
    </chartFormat>
    <chartFormat chart="44" format="6">
      <pivotArea type="data" outline="0" fieldPosition="0">
        <references count="2">
          <reference field="4294967294" count="1" selected="0">
            <x v="5"/>
          </reference>
          <reference field="0" count="1" selected="0">
            <x v="3"/>
          </reference>
        </references>
      </pivotArea>
    </chartFormat>
    <chartFormat chart="44" format="7">
      <pivotArea type="data" outline="0" fieldPosition="0">
        <references count="2">
          <reference field="4294967294" count="1" selected="0">
            <x v="6"/>
          </reference>
          <reference field="0" count="1" selected="0">
            <x v="3"/>
          </reference>
        </references>
      </pivotArea>
    </chartFormat>
    <chartFormat chart="44" format="8">
      <pivotArea type="data" outline="0" fieldPosition="0">
        <references count="2">
          <reference field="4294967294" count="1" selected="0">
            <x v="0"/>
          </reference>
          <reference field="0" count="1" selected="0">
            <x v="4"/>
          </reference>
        </references>
      </pivotArea>
    </chartFormat>
    <chartFormat chart="44" format="9">
      <pivotArea type="data" outline="0" fieldPosition="0">
        <references count="2">
          <reference field="4294967294" count="1" selected="0">
            <x v="1"/>
          </reference>
          <reference field="0" count="1" selected="0">
            <x v="4"/>
          </reference>
        </references>
      </pivotArea>
    </chartFormat>
    <chartFormat chart="44" format="10">
      <pivotArea type="data" outline="0" fieldPosition="0">
        <references count="2">
          <reference field="4294967294" count="1" selected="0">
            <x v="2"/>
          </reference>
          <reference field="0" count="1" selected="0">
            <x v="4"/>
          </reference>
        </references>
      </pivotArea>
    </chartFormat>
    <chartFormat chart="44" format="11">
      <pivotArea type="data" outline="0" fieldPosition="0">
        <references count="2">
          <reference field="4294967294" count="1" selected="0">
            <x v="3"/>
          </reference>
          <reference field="0" count="1" selected="0">
            <x v="4"/>
          </reference>
        </references>
      </pivotArea>
    </chartFormat>
    <chartFormat chart="44" format="12">
      <pivotArea type="data" outline="0" fieldPosition="0">
        <references count="2">
          <reference field="4294967294" count="1" selected="0">
            <x v="4"/>
          </reference>
          <reference field="0" count="1" selected="0">
            <x v="4"/>
          </reference>
        </references>
      </pivotArea>
    </chartFormat>
    <chartFormat chart="44" format="13">
      <pivotArea type="data" outline="0" fieldPosition="0">
        <references count="2">
          <reference field="4294967294" count="1" selected="0">
            <x v="5"/>
          </reference>
          <reference field="0" count="1" selected="0">
            <x v="4"/>
          </reference>
        </references>
      </pivotArea>
    </chartFormat>
    <chartFormat chart="44" format="14">
      <pivotArea type="data" outline="0" fieldPosition="0">
        <references count="2">
          <reference field="4294967294" count="1" selected="0">
            <x v="6"/>
          </reference>
          <reference field="0" count="1" selected="0">
            <x v="4"/>
          </reference>
        </references>
      </pivotArea>
    </chartFormat>
    <chartFormat chart="44" format="15">
      <pivotArea type="data" outline="0" fieldPosition="0">
        <references count="2">
          <reference field="4294967294" count="1" selected="0">
            <x v="0"/>
          </reference>
          <reference field="0" count="1" selected="0">
            <x v="0"/>
          </reference>
        </references>
      </pivotArea>
    </chartFormat>
    <chartFormat chart="44" format="16">
      <pivotArea type="data" outline="0" fieldPosition="0">
        <references count="2">
          <reference field="4294967294" count="1" selected="0">
            <x v="1"/>
          </reference>
          <reference field="0" count="1" selected="0">
            <x v="0"/>
          </reference>
        </references>
      </pivotArea>
    </chartFormat>
    <chartFormat chart="44" format="17">
      <pivotArea type="data" outline="0" fieldPosition="0">
        <references count="2">
          <reference field="4294967294" count="1" selected="0">
            <x v="2"/>
          </reference>
          <reference field="0" count="1" selected="0">
            <x v="0"/>
          </reference>
        </references>
      </pivotArea>
    </chartFormat>
    <chartFormat chart="44" format="18">
      <pivotArea type="data" outline="0" fieldPosition="0">
        <references count="2">
          <reference field="4294967294" count="1" selected="0">
            <x v="3"/>
          </reference>
          <reference field="0" count="1" selected="0">
            <x v="0"/>
          </reference>
        </references>
      </pivotArea>
    </chartFormat>
    <chartFormat chart="44" format="19">
      <pivotArea type="data" outline="0" fieldPosition="0">
        <references count="2">
          <reference field="4294967294" count="1" selected="0">
            <x v="4"/>
          </reference>
          <reference field="0" count="1" selected="0">
            <x v="0"/>
          </reference>
        </references>
      </pivotArea>
    </chartFormat>
    <chartFormat chart="44" format="20">
      <pivotArea type="data" outline="0" fieldPosition="0">
        <references count="2">
          <reference field="4294967294" count="1" selected="0">
            <x v="5"/>
          </reference>
          <reference field="0" count="1" selected="0">
            <x v="0"/>
          </reference>
        </references>
      </pivotArea>
    </chartFormat>
    <chartFormat chart="44" format="21">
      <pivotArea type="data" outline="0" fieldPosition="0">
        <references count="2">
          <reference field="4294967294" count="1" selected="0">
            <x v="6"/>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A31A269-24DC-423C-8129-3A7BC538C762}"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C4:E11" firstHeaderRow="0" firstDataRow="1" firstDataCol="1"/>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items count="6">
        <item sd="0" x="0"/>
        <item sd="0" x="1"/>
        <item sd="0" x="2"/>
        <item sd="0" x="3"/>
        <item sd="0" x="4"/>
        <item sd="0" x="5"/>
      </items>
    </pivotField>
    <pivotField axis="axisRow" showAll="0" defaultSubtotal="0">
      <items count="8">
        <item sd="0" x="0"/>
        <item x="1"/>
        <item x="2"/>
        <item x="3"/>
        <item x="4"/>
        <item x="5"/>
        <item x="6"/>
        <item sd="0" x="7"/>
      </items>
    </pivotField>
    <pivotField dataField="1" dragToRow="0" dragToCol="0" dragToPage="0" showAll="0" defaultSubtotal="0"/>
    <pivotField dragToRow="0" dragToCol="0" dragToPage="0" showAll="0" defaultSubtotal="0"/>
  </pivotFields>
  <rowFields count="1">
    <field x="31"/>
  </rowFields>
  <rowItems count="7">
    <i>
      <x v="1"/>
    </i>
    <i>
      <x v="2"/>
    </i>
    <i>
      <x v="3"/>
    </i>
    <i>
      <x v="4"/>
    </i>
    <i>
      <x v="5"/>
    </i>
    <i>
      <x v="6"/>
    </i>
    <i t="grand">
      <x/>
    </i>
  </rowItems>
  <colFields count="1">
    <field x="-2"/>
  </colFields>
  <colItems count="2">
    <i>
      <x/>
    </i>
    <i i="1">
      <x v="1"/>
    </i>
  </colItems>
  <dataFields count="2">
    <dataField name="Sum of Чистая прибыль" fld="28" baseField="0" baseItem="0" numFmtId="1"/>
    <dataField name="Sum of Field1" fld="32" baseField="0" baseItem="0" numFmtId="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1A10201-E2A4-4AC9-8327-BECEEAB89F5E}" name="PivotTable28"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G58:K71" firstHeaderRow="0" firstDataRow="1" firstDataCol="1"/>
  <pivotFields count="32">
    <pivotField axis="axisRow" numFmtId="165" showAll="0">
      <items count="15">
        <item x="0"/>
        <item n="Янв" x="1"/>
        <item n="Фев" x="2"/>
        <item n="Мар" x="3"/>
        <item n="Апр" x="4"/>
        <item n="Май" x="5"/>
        <item n="Июн" x="6"/>
        <item n="Июл" x="7"/>
        <item n="Авг" x="8"/>
        <item n="Сен" x="9"/>
        <item n="Окт" x="10"/>
        <item n="Ноя" x="11"/>
        <item n="Дек" x="12"/>
        <item x="13"/>
        <item t="default"/>
      </items>
    </pivotField>
    <pivotField dataField="1" numFmtId="164" showAll="0"/>
    <pivotField showAll="0"/>
    <pivotField numFmtId="164" showAll="0"/>
    <pivotField showAll="0"/>
    <pivotField dataField="1" numFmtId="164" showAll="0"/>
    <pivotField showAll="0"/>
    <pivotField dataField="1"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items count="6">
        <item sd="0" x="0"/>
        <item x="1"/>
        <item x="2"/>
        <item x="3"/>
        <item x="4"/>
        <item sd="0" x="5"/>
      </items>
    </pivotField>
    <pivotField showAll="0" defaultSubtotal="0">
      <items count="8">
        <item sd="0" x="0"/>
        <item x="1"/>
        <item x="2"/>
        <item x="3"/>
        <item x="4"/>
        <item x="5"/>
        <item x="6"/>
        <item sd="0" x="7"/>
      </items>
    </pivotField>
  </pivotFields>
  <rowFields count="1">
    <field x="0"/>
  </rowFields>
  <rowItems count="13">
    <i>
      <x v="1"/>
    </i>
    <i>
      <x v="2"/>
    </i>
    <i>
      <x v="3"/>
    </i>
    <i>
      <x v="4"/>
    </i>
    <i>
      <x v="5"/>
    </i>
    <i>
      <x v="6"/>
    </i>
    <i>
      <x v="7"/>
    </i>
    <i>
      <x v="8"/>
    </i>
    <i>
      <x v="9"/>
    </i>
    <i>
      <x v="10"/>
    </i>
    <i>
      <x v="11"/>
    </i>
    <i>
      <x v="12"/>
    </i>
    <i t="grand">
      <x/>
    </i>
  </rowItems>
  <colFields count="1">
    <field x="-2"/>
  </colFields>
  <colItems count="4">
    <i>
      <x/>
    </i>
    <i i="1">
      <x v="1"/>
    </i>
    <i i="2">
      <x v="2"/>
    </i>
    <i i="3">
      <x v="3"/>
    </i>
  </colItems>
  <dataFields count="4">
    <dataField name="Вaловая прибыль" fld="5" baseField="0" baseItem="0"/>
    <dataField name="Выручкa" fld="1" baseField="0" baseItem="0"/>
    <dataField name="Чистaя прибыль" fld="28" baseField="0" baseItem="0"/>
    <dataField name="Average of Маржинальность" fld="7" subtotal="average" baseField="0" baseItem="1" numFmtId="9"/>
  </dataFields>
  <chartFormats count="12">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3" series="1">
      <pivotArea type="data" outline="0" fieldPosition="0">
        <references count="1">
          <reference field="4294967294"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 chart="8" format="10" series="1">
      <pivotArea type="data" outline="0" fieldPosition="0">
        <references count="1">
          <reference field="4294967294" count="1" selected="0">
            <x v="2"/>
          </reference>
        </references>
      </pivotArea>
    </chartFormat>
    <chartFormat chart="8" format="11" series="1">
      <pivotArea type="data" outline="0" fieldPosition="0">
        <references count="1">
          <reference field="4294967294" count="1" selected="0">
            <x v="3"/>
          </reference>
        </references>
      </pivotArea>
    </chartFormat>
    <chartFormat chart="6" format="5" series="1">
      <pivotArea type="data" outline="0" fieldPosition="0">
        <references count="1">
          <reference field="4294967294" count="1" selected="0">
            <x v="3"/>
          </reference>
        </references>
      </pivotArea>
    </chartFormat>
    <chartFormat chart="8" format="12">
      <pivotArea type="data" outline="0" fieldPosition="0">
        <references count="2">
          <reference field="4294967294" count="1" selected="0">
            <x v="1"/>
          </reference>
          <reference field="0" count="1" selected="0">
            <x v="12"/>
          </reference>
        </references>
      </pivotArea>
    </chartFormat>
    <chartFormat chart="8" format="13">
      <pivotArea type="data" outline="0" fieldPosition="0">
        <references count="2">
          <reference field="4294967294" count="1" selected="0">
            <x v="3"/>
          </reference>
          <reference field="0" count="1" selected="0">
            <x v="7"/>
          </reference>
        </references>
      </pivotArea>
    </chartFormat>
    <chartFormat chart="8" format="14">
      <pivotArea type="data" outline="0" fieldPosition="0">
        <references count="2">
          <reference field="4294967294" count="1" selected="0">
            <x v="0"/>
          </reference>
          <reference field="0" count="1" selected="0">
            <x v="12"/>
          </reference>
        </references>
      </pivotArea>
    </chartFormat>
    <chartFormat chart="8" format="15">
      <pivotArea type="data" outline="0" fieldPosition="0">
        <references count="2">
          <reference field="4294967294" count="1" selected="0">
            <x v="2"/>
          </reference>
          <reference field="0"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846C049-50DC-46A8-907D-B609FD7E6D36}" name="PivotTable2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H40:I53" firstHeaderRow="1" firstDataRow="1" firstDataCol="1"/>
  <pivotFields count="32">
    <pivotField axis="axisRow" numFmtId="165" showAll="0">
      <items count="15">
        <item x="0"/>
        <item n="Янв" x="1"/>
        <item n="Фев" x="2"/>
        <item n="Мар" x="3"/>
        <item n="Апр" x="4"/>
        <item n="Май" x="5"/>
        <item n="Июн" x="6"/>
        <item n="Июл" x="7"/>
        <item n="Авг" x="8"/>
        <item n="Сен" x="9"/>
        <item n="Окт" x="10"/>
        <item n="Ноя" x="11"/>
        <item n="Дек" x="12"/>
        <item x="13"/>
        <item t="default"/>
      </items>
    </pivotField>
    <pivotField numFmtId="164" showAll="0"/>
    <pivotField showAll="0"/>
    <pivotField numFmtId="164" showAll="0"/>
    <pivotField showAll="0"/>
    <pivotField numFmtId="164" showAll="0"/>
    <pivotField showAll="0"/>
    <pivotField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x="1"/>
        <item x="2"/>
        <item x="3"/>
        <item x="4"/>
        <item sd="0" x="5"/>
      </items>
    </pivotField>
    <pivotField showAll="0" defaultSubtotal="0">
      <items count="8">
        <item sd="0" x="0"/>
        <item x="1"/>
        <item x="2"/>
        <item x="3"/>
        <item x="4"/>
        <item x="5"/>
        <item x="6"/>
        <item sd="0" x="7"/>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Расходы суммарно" fld="8" baseField="0" baseItem="0"/>
  </dataFields>
  <chartFormats count="4">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10"/>
          </reference>
        </references>
      </pivotArea>
    </chartFormat>
    <chartFormat chart="5" format="4">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618CAFD-A24B-4796-9339-87D6887184E9}" name="PivotTable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S4:T83" firstHeaderRow="1" firstDataRow="1" firstDataCol="1"/>
  <pivotFields count="32">
    <pivotField axis="axisRow" numFmtId="165"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x="1"/>
        <item sd="0" x="2"/>
        <item sd="0" x="3"/>
        <item sd="0" x="4"/>
        <item sd="0" x="5"/>
      </items>
    </pivotField>
    <pivotField axis="axisRow" showAll="0" defaultSubtotal="0">
      <items count="8">
        <item x="0"/>
        <item x="1"/>
        <item x="2"/>
        <item x="3"/>
        <item x="4"/>
        <item x="5"/>
        <item x="6"/>
        <item x="7"/>
      </items>
    </pivotField>
  </pivotFields>
  <rowFields count="2">
    <field x="31"/>
    <field x="0"/>
  </rowFields>
  <rowItems count="7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x v="5"/>
    </i>
    <i r="1">
      <x v="1"/>
    </i>
    <i r="1">
      <x v="2"/>
    </i>
    <i r="1">
      <x v="3"/>
    </i>
    <i r="1">
      <x v="4"/>
    </i>
    <i r="1">
      <x v="5"/>
    </i>
    <i r="1">
      <x v="6"/>
    </i>
    <i r="1">
      <x v="7"/>
    </i>
    <i r="1">
      <x v="8"/>
    </i>
    <i r="1">
      <x v="9"/>
    </i>
    <i r="1">
      <x v="10"/>
    </i>
    <i r="1">
      <x v="11"/>
    </i>
    <i r="1">
      <x v="12"/>
    </i>
    <i>
      <x v="6"/>
    </i>
    <i r="1">
      <x v="1"/>
    </i>
    <i r="1">
      <x v="2"/>
    </i>
    <i r="1">
      <x v="3"/>
    </i>
    <i r="1">
      <x v="4"/>
    </i>
    <i r="1">
      <x v="5"/>
    </i>
    <i r="1">
      <x v="6"/>
    </i>
    <i r="1">
      <x v="7"/>
    </i>
    <i r="1">
      <x v="8"/>
    </i>
    <i r="1">
      <x v="9"/>
    </i>
    <i r="1">
      <x v="10"/>
    </i>
    <i r="1">
      <x v="11"/>
    </i>
    <i r="1">
      <x v="12"/>
    </i>
    <i t="grand">
      <x/>
    </i>
  </rowItems>
  <colItems count="1">
    <i/>
  </colItems>
  <dataFields count="1">
    <dataField name="Sum of Расходы суммарно"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5473C09-4723-49F5-95F4-49A7186D6C4C}" name="PivotTable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L4:M83" firstHeaderRow="1" firstDataRow="1" firstDataCol="1"/>
  <pivotFields count="32">
    <pivotField axis="axisRow" numFmtId="165"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items count="6">
        <item sd="0" x="0"/>
        <item x="1"/>
        <item x="2"/>
        <item x="3"/>
        <item x="4"/>
        <item sd="0" x="5"/>
      </items>
    </pivotField>
    <pivotField axis="axisRow" showAll="0" defaultSubtotal="0">
      <items count="8">
        <item sd="0" x="0"/>
        <item x="1"/>
        <item x="2"/>
        <item x="3"/>
        <item x="4"/>
        <item x="5"/>
        <item x="6"/>
        <item sd="0" x="7"/>
      </items>
    </pivotField>
  </pivotFields>
  <rowFields count="2">
    <field x="31"/>
    <field x="0"/>
  </rowFields>
  <rowItems count="7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x v="5"/>
    </i>
    <i r="1">
      <x v="1"/>
    </i>
    <i r="1">
      <x v="2"/>
    </i>
    <i r="1">
      <x v="3"/>
    </i>
    <i r="1">
      <x v="4"/>
    </i>
    <i r="1">
      <x v="5"/>
    </i>
    <i r="1">
      <x v="6"/>
    </i>
    <i r="1">
      <x v="7"/>
    </i>
    <i r="1">
      <x v="8"/>
    </i>
    <i r="1">
      <x v="9"/>
    </i>
    <i r="1">
      <x v="10"/>
    </i>
    <i r="1">
      <x v="11"/>
    </i>
    <i r="1">
      <x v="12"/>
    </i>
    <i>
      <x v="6"/>
    </i>
    <i r="1">
      <x v="1"/>
    </i>
    <i r="1">
      <x v="2"/>
    </i>
    <i r="1">
      <x v="3"/>
    </i>
    <i r="1">
      <x v="4"/>
    </i>
    <i r="1">
      <x v="5"/>
    </i>
    <i r="1">
      <x v="6"/>
    </i>
    <i r="1">
      <x v="7"/>
    </i>
    <i r="1">
      <x v="8"/>
    </i>
    <i r="1">
      <x v="9"/>
    </i>
    <i r="1">
      <x v="10"/>
    </i>
    <i r="1">
      <x v="11"/>
    </i>
    <i r="1">
      <x v="12"/>
    </i>
    <i t="grand">
      <x/>
    </i>
  </rowItems>
  <colItems count="1">
    <i/>
  </colItems>
  <dataFields count="1">
    <dataField name="Sum of Чистая прибыль" fld="28"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CFC7750-4759-46FA-860A-D291E8E73744}"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H4:I17" firstHeaderRow="1" firstDataRow="1" firstDataCol="1"/>
  <pivotFields count="32">
    <pivotField axis="axisRow" numFmtId="165"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items count="6">
        <item sd="0" x="0"/>
        <item x="1"/>
        <item x="2"/>
        <item x="3"/>
        <item x="4"/>
        <item sd="0" x="5"/>
      </items>
    </pivotField>
    <pivotField showAll="0" defaultSubtotal="0">
      <items count="8">
        <item sd="0" x="0"/>
        <item x="1"/>
        <item x="2"/>
        <item x="3"/>
        <item x="4"/>
        <item x="5"/>
        <item x="6"/>
        <item sd="0" x="7"/>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Чистая прибыль" fld="2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A8619F3-7BA3-4D89-A684-7E5C7044DD82}"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2:F3" firstHeaderRow="1" firstDataRow="1" firstDataCol="0"/>
  <pivotFields count="34">
    <pivotField numFmtId="14" showAll="0">
      <items count="15">
        <item x="0"/>
        <item x="1"/>
        <item x="2"/>
        <item x="3"/>
        <item x="4"/>
        <item x="5"/>
        <item x="6"/>
        <item x="7"/>
        <item x="8"/>
        <item x="9"/>
        <item x="10"/>
        <item x="11"/>
        <item x="12"/>
        <item x="13"/>
        <item t="default"/>
      </items>
    </pivotField>
    <pivotField numFmtId="164" showAll="0"/>
    <pivotField showAll="0"/>
    <pivotField dataField="1"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ragToRow="0" dragToCol="0" dragToPage="0" showAll="0" defaultSubtotal="0"/>
  </pivotFields>
  <rowItems count="1">
    <i/>
  </rowItems>
  <colItems count="1">
    <i/>
  </colItems>
  <dataFields count="1">
    <dataField name="Sum of Себестоимость" fld="3" baseField="0" baseItem="0"/>
  </dataFields>
  <formats count="1">
    <format dxfId="15">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A78C9D8-05BC-49E4-99DF-06514C3A7881}"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17:B18" firstHeaderRow="1" firstDataRow="1" firstDataCol="0"/>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ragToRow="0" dragToCol="0" dragToPage="0" showAll="0" defaultSubtotal="0"/>
  </pivotFields>
  <rowItems count="1">
    <i/>
  </rowItems>
  <colItems count="1">
    <i/>
  </colItems>
  <dataFields count="1">
    <dataField name="Sum of Чистая прибыль" fld="28" baseField="0" baseItem="0"/>
  </dataFields>
  <formats count="1">
    <format dxfId="16">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6A8B3956-C524-4BEC-B2B4-0FF31743108D}"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2:B3" firstHeaderRow="1" firstDataRow="1" firstDataCol="0"/>
  <pivotFields count="34">
    <pivotField numFmtId="14" showAll="0">
      <items count="15">
        <item x="0"/>
        <item x="1"/>
        <item x="2"/>
        <item x="3"/>
        <item x="4"/>
        <item x="5"/>
        <item x="6"/>
        <item x="7"/>
        <item x="8"/>
        <item x="9"/>
        <item x="10"/>
        <item x="11"/>
        <item x="12"/>
        <item x="13"/>
        <item t="default"/>
      </items>
    </pivotField>
    <pivotField dataField="1"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ragToRow="0" dragToCol="0" dragToPage="0" showAll="0" defaultSubtotal="0"/>
  </pivotFields>
  <rowItems count="1">
    <i/>
  </rowItems>
  <colItems count="1">
    <i/>
  </colItems>
  <dataFields count="1">
    <dataField name="Sum of Выручка" fld="1" baseField="0" baseItem="0"/>
  </dataFields>
  <formats count="1">
    <format dxfId="17">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2FA52D7-2F3A-4841-B2C9-5152150F4B96}" name="PivotTable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2:J3" firstHeaderRow="1" firstDataRow="1" firstDataCol="0"/>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dataField="1"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ragToRow="0" dragToCol="0" dragToPage="0" showAll="0" defaultSubtotal="0"/>
  </pivotFields>
  <rowItems count="1">
    <i/>
  </rowItems>
  <colItems count="1">
    <i/>
  </colItems>
  <dataFields count="1">
    <dataField name="Sum of Валовая прибыль" fld="5" baseField="0" baseItem="0"/>
  </dataFields>
  <formats count="1">
    <format dxfId="1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8263EAC1-1DD6-4963-8C96-868A356A0CF3}" name="PivotTable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17:N18" firstHeaderRow="1" firstDataRow="1" firstDataCol="0"/>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ragToRow="0" dragToCol="0" dragToPage="0" showAll="0" defaultSubtotal="0"/>
  </pivotFields>
  <rowItems count="1">
    <i/>
  </rowItems>
  <colItems count="1">
    <i/>
  </colItems>
  <dataFields count="1">
    <dataField name="Sum of Налоги" fld="26"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62655BBE-984E-4006-AC75-C7A470B2A00F}"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B26:C39" firstHeaderRow="1" firstDataRow="1" firstDataCol="1"/>
  <pivotFields count="34">
    <pivotField axis="axisRow"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items count="6">
        <item sd="0" x="0"/>
        <item sd="0" x="1"/>
        <item sd="0" x="2"/>
        <item sd="0" x="3"/>
        <item sd="0" x="4"/>
        <item sd="0" x="5"/>
      </items>
    </pivotField>
    <pivotField axis="axisRow" showAll="0" defaultSubtotal="0">
      <items count="8">
        <item h="1" sd="0" x="0"/>
        <item x="1"/>
        <item x="2"/>
        <item x="3"/>
        <item x="4"/>
        <item x="5"/>
        <item x="6"/>
        <item h="1" sd="0" x="7"/>
      </items>
    </pivotField>
    <pivotField dragToRow="0" dragToCol="0" dragToPage="0" showAll="0" defaultSubtotal="0"/>
    <pivotField dragToRow="0" dragToCol="0" dragToPage="0" showAll="0" defaultSubtotal="0"/>
  </pivotFields>
  <rowFields count="2">
    <field x="31"/>
    <field x="0"/>
  </rowFields>
  <rowItems count="13">
    <i>
      <x v="1"/>
    </i>
    <i r="1">
      <x v="1"/>
    </i>
    <i>
      <x v="2"/>
    </i>
    <i r="1">
      <x v="1"/>
    </i>
    <i>
      <x v="3"/>
    </i>
    <i r="1">
      <x v="1"/>
    </i>
    <i>
      <x v="4"/>
    </i>
    <i r="1">
      <x v="1"/>
    </i>
    <i>
      <x v="5"/>
    </i>
    <i r="1">
      <x v="1"/>
    </i>
    <i>
      <x v="6"/>
    </i>
    <i r="1">
      <x v="1"/>
    </i>
    <i t="grand">
      <x/>
    </i>
  </rowItems>
  <colItems count="1">
    <i/>
  </colItems>
  <dataFields count="1">
    <dataField name="Sum of Чистая прибыль" fld="28" baseField="0" baseItem="0"/>
  </dataFields>
  <formats count="1">
    <format dxfId="19">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F5EB2C2C-EF7A-47EC-9142-1CFD191B193F}"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2:N3" firstHeaderRow="1" firstDataRow="1" firstDataCol="0"/>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ragToRow="0" dragToCol="0" dragToPage="0" showAll="0" defaultSubtotal="0"/>
  </pivotFields>
  <rowItems count="1">
    <i/>
  </rowItems>
  <colItems count="1">
    <i/>
  </colItems>
  <dataFields count="1">
    <dataField name="Sum of Расходы суммарно" fld="8" baseField="0" baseItem="0"/>
  </dataFields>
  <formats count="11">
    <format dxfId="30">
      <pivotArea grandRow="1" outline="0" collapsedLevelsAreSubtotals="1" fieldPosition="0"/>
    </format>
    <format dxfId="29">
      <pivotArea type="all" dataOnly="0" outline="0" fieldPosition="0"/>
    </format>
    <format dxfId="28">
      <pivotArea outline="0" collapsedLevelsAreSubtotals="1" fieldPosition="0"/>
    </format>
    <format dxfId="27">
      <pivotArea field="31" type="button" dataOnly="0" labelOnly="1" outline="0"/>
    </format>
    <format dxfId="26">
      <pivotArea dataOnly="0" labelOnly="1" grandRow="1" outline="0" fieldPosition="0"/>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field="31" type="button" dataOnly="0" labelOnly="1" outline="0"/>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2F0FEFC-48FE-44AD-8BF5-DF124BA6DC8A}"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F16:F17" firstHeaderRow="1" firstDataRow="1" firstDataCol="0"/>
  <pivotFields count="34">
    <pivotField numFmtId="14" showAll="0">
      <items count="15">
        <item x="0"/>
        <item x="1"/>
        <item x="2"/>
        <item x="3"/>
        <item x="4"/>
        <item x="5"/>
        <item x="6"/>
        <item x="7"/>
        <item x="8"/>
        <item x="9"/>
        <item x="10"/>
        <item x="11"/>
        <item x="12"/>
        <item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items count="6">
        <item sd="0" x="0"/>
        <item sd="0" x="1"/>
        <item sd="0" x="2"/>
        <item sd="0" x="3"/>
        <item sd="0" x="4"/>
        <item sd="0" x="5"/>
      </items>
    </pivotField>
    <pivotField showAll="0" defaultSubtotal="0">
      <items count="8">
        <item h="1" sd="0" x="0"/>
        <item sd="0" x="1"/>
        <item sd="0" x="2"/>
        <item sd="0" x="3"/>
        <item sd="0" x="4"/>
        <item sd="0" x="5"/>
        <item sd="0" x="6"/>
        <item h="1" sd="0" x="7"/>
      </items>
    </pivotField>
    <pivotField dragToRow="0" dragToCol="0" dragToPage="0" showAll="0" defaultSubtotal="0"/>
    <pivotField dataField="1" dragToRow="0" dragToCol="0" dragToPage="0" showAll="0" defaultSubtotal="0"/>
  </pivotFields>
  <rowItems count="1">
    <i/>
  </rowItems>
  <colItems count="1">
    <i/>
  </colItems>
  <dataFields count="1">
    <dataField name="Sum of Margin" fld="33"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E7D98EAC-0546-4457-BC1B-F16366A03B33}"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6:G7" firstHeaderRow="1" firstDataRow="1" firstDataCol="0"/>
  <pivotFields count="32">
    <pivotField numFmtId="165" showAll="0"/>
    <pivotField dataField="1"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Sum of Выручка" fld="1" baseField="0" baseItem="0" numFmtId="166"/>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118F53C6-5488-415F-A851-B58FD53F1AF2}" name="PivotTable20"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19:K20" firstHeaderRow="1" firstDataRow="1" firstDataCol="0"/>
  <pivotFields count="32">
    <pivotField numFmtId="165" showAll="0"/>
    <pivotField numFmtId="164" showAll="0"/>
    <pivotField showAll="0"/>
    <pivotField numFmtId="164" showAll="0"/>
    <pivotField showAll="0"/>
    <pivotField numFmtId="164" showAll="0"/>
    <pivotField showAll="0"/>
    <pivotField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Sum of Расходы суммарно" fld="8"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BAC8609C-9948-4773-B3FF-DA47E311FEFB}" name="net profit" cacheId="2" applyNumberFormats="0" applyBorderFormats="0" applyFontFormats="0" applyPatternFormats="0" applyAlignmentFormats="0" applyWidthHeightFormats="1" dataCaption="Values" grandTotalCaption="-" updatedVersion="7" minRefreshableVersion="3" useAutoFormatting="1" itemPrintTitles="1" createdVersion="7" indent="0" outline="1" outlineData="1" multipleFieldFilters="0" chartFormat="3">
  <location ref="G25:I39" firstHeaderRow="0" firstDataRow="1" firstDataCol="1"/>
  <pivotFields count="32">
    <pivotField axis="axisRow" numFmtId="165" showAll="0">
      <items count="15">
        <item x="0"/>
        <item n="Янв" x="1"/>
        <item n="Фев" x="2"/>
        <item n="Мар" x="3"/>
        <item n="Апр" x="4"/>
        <item n="Май" x="5"/>
        <item n="Июн" x="6"/>
        <item n="Июл" x="7"/>
        <item n="Авг" x="8"/>
        <item n="Сен" x="9"/>
        <item n="Окт" x="10"/>
        <item n="Ноя" x="11"/>
        <item n="Дек" x="12"/>
        <item x="13"/>
        <item t="default"/>
      </items>
    </pivotField>
    <pivotField numFmtId="164" showAll="0"/>
    <pivotField showAll="0"/>
    <pivotField numFmtId="164" showAll="0"/>
    <pivotField showAll="0"/>
    <pivotField numFmtId="164" showAll="0"/>
    <pivotField showAll="0"/>
    <pivotField dataField="1"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pivotField axis="axisRow" showAll="0" defaultSubtotal="0">
      <items count="8">
        <item h="1" x="0"/>
        <item x="1"/>
        <item h="1" x="2"/>
        <item h="1" x="3"/>
        <item h="1" x="4"/>
        <item h="1" x="5"/>
        <item h="1" x="6"/>
        <item h="1" x="7"/>
      </items>
    </pivotField>
  </pivotFields>
  <rowFields count="2">
    <field x="31"/>
    <field x="0"/>
  </rowFields>
  <rowItems count="14">
    <i>
      <x v="1"/>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Sum of Чистая прибыль" fld="28" baseField="0" baseItem="0" numFmtId="166"/>
    <dataField name="Sum of Маржинальность" fld="7" baseField="31" baseItem="1" numFmtId="9"/>
  </dataFields>
  <formats count="3">
    <format dxfId="10">
      <pivotArea outline="0" collapsedLevelsAreSubtotals="1" fieldPosition="0"/>
    </format>
    <format dxfId="9">
      <pivotArea dataOnly="0" labelOnly="1" fieldPosition="0">
        <references count="2">
          <reference field="0" count="12">
            <x v="1"/>
            <x v="2"/>
            <x v="3"/>
            <x v="4"/>
            <x v="5"/>
            <x v="6"/>
            <x v="7"/>
            <x v="8"/>
            <x v="9"/>
            <x v="10"/>
            <x v="11"/>
            <x v="12"/>
          </reference>
          <reference field="31" count="1" selected="0">
            <x v="2"/>
          </reference>
        </references>
      </pivotArea>
    </format>
    <format dxfId="8">
      <pivotArea outline="0" fieldPosition="0">
        <references count="1">
          <reference field="4294967294" count="1">
            <x v="1"/>
          </reference>
        </references>
      </pivotArea>
    </format>
  </formats>
  <chartFormats count="76">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3">
          <reference field="4294967294" count="1" selected="0">
            <x v="0"/>
          </reference>
          <reference field="0" count="1" selected="0">
            <x v="12"/>
          </reference>
          <reference field="31" count="1" selected="0">
            <x v="5"/>
          </reference>
        </references>
      </pivotArea>
    </chartFormat>
    <chartFormat chart="2" format="4">
      <pivotArea type="data" outline="0" fieldPosition="0">
        <references count="3">
          <reference field="4294967294" count="1" selected="0">
            <x v="0"/>
          </reference>
          <reference field="0" count="1" selected="0">
            <x v="1"/>
          </reference>
          <reference field="31" count="1" selected="0">
            <x v="4"/>
          </reference>
        </references>
      </pivotArea>
    </chartFormat>
    <chartFormat chart="2" format="5">
      <pivotArea type="data" outline="0" fieldPosition="0">
        <references count="3">
          <reference field="4294967294" count="1" selected="0">
            <x v="0"/>
          </reference>
          <reference field="0" count="1" selected="0">
            <x v="1"/>
          </reference>
          <reference field="31" count="1" selected="0">
            <x v="1"/>
          </reference>
        </references>
      </pivotArea>
    </chartFormat>
    <chartFormat chart="2" format="6">
      <pivotArea type="data" outline="0" fieldPosition="0">
        <references count="3">
          <reference field="4294967294" count="1" selected="0">
            <x v="0"/>
          </reference>
          <reference field="0" count="1" selected="0">
            <x v="2"/>
          </reference>
          <reference field="31" count="1" selected="0">
            <x v="1"/>
          </reference>
        </references>
      </pivotArea>
    </chartFormat>
    <chartFormat chart="2" format="7">
      <pivotArea type="data" outline="0" fieldPosition="0">
        <references count="3">
          <reference field="4294967294" count="1" selected="0">
            <x v="0"/>
          </reference>
          <reference field="0" count="1" selected="0">
            <x v="3"/>
          </reference>
          <reference field="31" count="1" selected="0">
            <x v="1"/>
          </reference>
        </references>
      </pivotArea>
    </chartFormat>
    <chartFormat chart="2" format="8">
      <pivotArea type="data" outline="0" fieldPosition="0">
        <references count="3">
          <reference field="4294967294" count="1" selected="0">
            <x v="0"/>
          </reference>
          <reference field="0" count="1" selected="0">
            <x v="4"/>
          </reference>
          <reference field="31" count="1" selected="0">
            <x v="1"/>
          </reference>
        </references>
      </pivotArea>
    </chartFormat>
    <chartFormat chart="2" format="9">
      <pivotArea type="data" outline="0" fieldPosition="0">
        <references count="3">
          <reference field="4294967294" count="1" selected="0">
            <x v="0"/>
          </reference>
          <reference field="0" count="1" selected="0">
            <x v="5"/>
          </reference>
          <reference field="31" count="1" selected="0">
            <x v="1"/>
          </reference>
        </references>
      </pivotArea>
    </chartFormat>
    <chartFormat chart="2" format="10">
      <pivotArea type="data" outline="0" fieldPosition="0">
        <references count="3">
          <reference field="4294967294" count="1" selected="0">
            <x v="0"/>
          </reference>
          <reference field="0" count="1" selected="0">
            <x v="6"/>
          </reference>
          <reference field="31" count="1" selected="0">
            <x v="1"/>
          </reference>
        </references>
      </pivotArea>
    </chartFormat>
    <chartFormat chart="2" format="11">
      <pivotArea type="data" outline="0" fieldPosition="0">
        <references count="3">
          <reference field="4294967294" count="1" selected="0">
            <x v="0"/>
          </reference>
          <reference field="0" count="1" selected="0">
            <x v="7"/>
          </reference>
          <reference field="31" count="1" selected="0">
            <x v="1"/>
          </reference>
        </references>
      </pivotArea>
    </chartFormat>
    <chartFormat chart="2" format="12">
      <pivotArea type="data" outline="0" fieldPosition="0">
        <references count="3">
          <reference field="4294967294" count="1" selected="0">
            <x v="0"/>
          </reference>
          <reference field="0" count="1" selected="0">
            <x v="8"/>
          </reference>
          <reference field="31" count="1" selected="0">
            <x v="1"/>
          </reference>
        </references>
      </pivotArea>
    </chartFormat>
    <chartFormat chart="2" format="13">
      <pivotArea type="data" outline="0" fieldPosition="0">
        <references count="3">
          <reference field="4294967294" count="1" selected="0">
            <x v="0"/>
          </reference>
          <reference field="0" count="1" selected="0">
            <x v="9"/>
          </reference>
          <reference field="31" count="1" selected="0">
            <x v="1"/>
          </reference>
        </references>
      </pivotArea>
    </chartFormat>
    <chartFormat chart="2" format="14">
      <pivotArea type="data" outline="0" fieldPosition="0">
        <references count="3">
          <reference field="4294967294" count="1" selected="0">
            <x v="0"/>
          </reference>
          <reference field="0" count="1" selected="0">
            <x v="10"/>
          </reference>
          <reference field="31" count="1" selected="0">
            <x v="1"/>
          </reference>
        </references>
      </pivotArea>
    </chartFormat>
    <chartFormat chart="2" format="15">
      <pivotArea type="data" outline="0" fieldPosition="0">
        <references count="3">
          <reference field="4294967294" count="1" selected="0">
            <x v="0"/>
          </reference>
          <reference field="0" count="1" selected="0">
            <x v="11"/>
          </reference>
          <reference field="31" count="1" selected="0">
            <x v="1"/>
          </reference>
        </references>
      </pivotArea>
    </chartFormat>
    <chartFormat chart="2" format="16">
      <pivotArea type="data" outline="0" fieldPosition="0">
        <references count="3">
          <reference field="4294967294" count="1" selected="0">
            <x v="0"/>
          </reference>
          <reference field="0" count="1" selected="0">
            <x v="12"/>
          </reference>
          <reference field="31" count="1" selected="0">
            <x v="1"/>
          </reference>
        </references>
      </pivotArea>
    </chartFormat>
    <chartFormat chart="2" format="17">
      <pivotArea type="data" outline="0" fieldPosition="0">
        <references count="3">
          <reference field="4294967294" count="1" selected="0">
            <x v="0"/>
          </reference>
          <reference field="0" count="1" selected="0">
            <x v="1"/>
          </reference>
          <reference field="31" count="1" selected="0">
            <x v="2"/>
          </reference>
        </references>
      </pivotArea>
    </chartFormat>
    <chartFormat chart="2" format="18">
      <pivotArea type="data" outline="0" fieldPosition="0">
        <references count="3">
          <reference field="4294967294" count="1" selected="0">
            <x v="0"/>
          </reference>
          <reference field="0" count="1" selected="0">
            <x v="2"/>
          </reference>
          <reference field="31" count="1" selected="0">
            <x v="2"/>
          </reference>
        </references>
      </pivotArea>
    </chartFormat>
    <chartFormat chart="2" format="19">
      <pivotArea type="data" outline="0" fieldPosition="0">
        <references count="3">
          <reference field="4294967294" count="1" selected="0">
            <x v="0"/>
          </reference>
          <reference field="0" count="1" selected="0">
            <x v="3"/>
          </reference>
          <reference field="31" count="1" selected="0">
            <x v="2"/>
          </reference>
        </references>
      </pivotArea>
    </chartFormat>
    <chartFormat chart="2" format="20">
      <pivotArea type="data" outline="0" fieldPosition="0">
        <references count="3">
          <reference field="4294967294" count="1" selected="0">
            <x v="0"/>
          </reference>
          <reference field="0" count="1" selected="0">
            <x v="4"/>
          </reference>
          <reference field="31" count="1" selected="0">
            <x v="2"/>
          </reference>
        </references>
      </pivotArea>
    </chartFormat>
    <chartFormat chart="2" format="21">
      <pivotArea type="data" outline="0" fieldPosition="0">
        <references count="3">
          <reference field="4294967294" count="1" selected="0">
            <x v="0"/>
          </reference>
          <reference field="0" count="1" selected="0">
            <x v="5"/>
          </reference>
          <reference field="31" count="1" selected="0">
            <x v="2"/>
          </reference>
        </references>
      </pivotArea>
    </chartFormat>
    <chartFormat chart="2" format="22">
      <pivotArea type="data" outline="0" fieldPosition="0">
        <references count="3">
          <reference field="4294967294" count="1" selected="0">
            <x v="0"/>
          </reference>
          <reference field="0" count="1" selected="0">
            <x v="6"/>
          </reference>
          <reference field="31" count="1" selected="0">
            <x v="2"/>
          </reference>
        </references>
      </pivotArea>
    </chartFormat>
    <chartFormat chart="2" format="23">
      <pivotArea type="data" outline="0" fieldPosition="0">
        <references count="3">
          <reference field="4294967294" count="1" selected="0">
            <x v="0"/>
          </reference>
          <reference field="0" count="1" selected="0">
            <x v="7"/>
          </reference>
          <reference field="31" count="1" selected="0">
            <x v="2"/>
          </reference>
        </references>
      </pivotArea>
    </chartFormat>
    <chartFormat chart="2" format="24">
      <pivotArea type="data" outline="0" fieldPosition="0">
        <references count="3">
          <reference field="4294967294" count="1" selected="0">
            <x v="0"/>
          </reference>
          <reference field="0" count="1" selected="0">
            <x v="8"/>
          </reference>
          <reference field="31" count="1" selected="0">
            <x v="2"/>
          </reference>
        </references>
      </pivotArea>
    </chartFormat>
    <chartFormat chart="2" format="25">
      <pivotArea type="data" outline="0" fieldPosition="0">
        <references count="3">
          <reference field="4294967294" count="1" selected="0">
            <x v="0"/>
          </reference>
          <reference field="0" count="1" selected="0">
            <x v="9"/>
          </reference>
          <reference field="31" count="1" selected="0">
            <x v="2"/>
          </reference>
        </references>
      </pivotArea>
    </chartFormat>
    <chartFormat chart="2" format="26">
      <pivotArea type="data" outline="0" fieldPosition="0">
        <references count="3">
          <reference field="4294967294" count="1" selected="0">
            <x v="0"/>
          </reference>
          <reference field="0" count="1" selected="0">
            <x v="10"/>
          </reference>
          <reference field="31" count="1" selected="0">
            <x v="2"/>
          </reference>
        </references>
      </pivotArea>
    </chartFormat>
    <chartFormat chart="2" format="27">
      <pivotArea type="data" outline="0" fieldPosition="0">
        <references count="3">
          <reference field="4294967294" count="1" selected="0">
            <x v="0"/>
          </reference>
          <reference field="0" count="1" selected="0">
            <x v="11"/>
          </reference>
          <reference field="31" count="1" selected="0">
            <x v="2"/>
          </reference>
        </references>
      </pivotArea>
    </chartFormat>
    <chartFormat chart="2" format="28">
      <pivotArea type="data" outline="0" fieldPosition="0">
        <references count="3">
          <reference field="4294967294" count="1" selected="0">
            <x v="0"/>
          </reference>
          <reference field="0" count="1" selected="0">
            <x v="12"/>
          </reference>
          <reference field="31" count="1" selected="0">
            <x v="2"/>
          </reference>
        </references>
      </pivotArea>
    </chartFormat>
    <chartFormat chart="2" format="29">
      <pivotArea type="data" outline="0" fieldPosition="0">
        <references count="3">
          <reference field="4294967294" count="1" selected="0">
            <x v="0"/>
          </reference>
          <reference field="0" count="1" selected="0">
            <x v="1"/>
          </reference>
          <reference field="31" count="1" selected="0">
            <x v="3"/>
          </reference>
        </references>
      </pivotArea>
    </chartFormat>
    <chartFormat chart="2" format="30">
      <pivotArea type="data" outline="0" fieldPosition="0">
        <references count="3">
          <reference field="4294967294" count="1" selected="0">
            <x v="0"/>
          </reference>
          <reference field="0" count="1" selected="0">
            <x v="2"/>
          </reference>
          <reference field="31" count="1" selected="0">
            <x v="3"/>
          </reference>
        </references>
      </pivotArea>
    </chartFormat>
    <chartFormat chart="2" format="31">
      <pivotArea type="data" outline="0" fieldPosition="0">
        <references count="3">
          <reference field="4294967294" count="1" selected="0">
            <x v="0"/>
          </reference>
          <reference field="0" count="1" selected="0">
            <x v="3"/>
          </reference>
          <reference field="31" count="1" selected="0">
            <x v="3"/>
          </reference>
        </references>
      </pivotArea>
    </chartFormat>
    <chartFormat chart="2" format="32">
      <pivotArea type="data" outline="0" fieldPosition="0">
        <references count="3">
          <reference field="4294967294" count="1" selected="0">
            <x v="0"/>
          </reference>
          <reference field="0" count="1" selected="0">
            <x v="4"/>
          </reference>
          <reference field="31" count="1" selected="0">
            <x v="3"/>
          </reference>
        </references>
      </pivotArea>
    </chartFormat>
    <chartFormat chart="2" format="33">
      <pivotArea type="data" outline="0" fieldPosition="0">
        <references count="3">
          <reference field="4294967294" count="1" selected="0">
            <x v="0"/>
          </reference>
          <reference field="0" count="1" selected="0">
            <x v="5"/>
          </reference>
          <reference field="31" count="1" selected="0">
            <x v="3"/>
          </reference>
        </references>
      </pivotArea>
    </chartFormat>
    <chartFormat chart="2" format="34">
      <pivotArea type="data" outline="0" fieldPosition="0">
        <references count="3">
          <reference field="4294967294" count="1" selected="0">
            <x v="0"/>
          </reference>
          <reference field="0" count="1" selected="0">
            <x v="6"/>
          </reference>
          <reference field="31" count="1" selected="0">
            <x v="3"/>
          </reference>
        </references>
      </pivotArea>
    </chartFormat>
    <chartFormat chart="2" format="35">
      <pivotArea type="data" outline="0" fieldPosition="0">
        <references count="3">
          <reference field="4294967294" count="1" selected="0">
            <x v="0"/>
          </reference>
          <reference field="0" count="1" selected="0">
            <x v="7"/>
          </reference>
          <reference field="31" count="1" selected="0">
            <x v="3"/>
          </reference>
        </references>
      </pivotArea>
    </chartFormat>
    <chartFormat chart="2" format="36">
      <pivotArea type="data" outline="0" fieldPosition="0">
        <references count="3">
          <reference field="4294967294" count="1" selected="0">
            <x v="0"/>
          </reference>
          <reference field="0" count="1" selected="0">
            <x v="8"/>
          </reference>
          <reference field="31" count="1" selected="0">
            <x v="3"/>
          </reference>
        </references>
      </pivotArea>
    </chartFormat>
    <chartFormat chart="2" format="37">
      <pivotArea type="data" outline="0" fieldPosition="0">
        <references count="3">
          <reference field="4294967294" count="1" selected="0">
            <x v="0"/>
          </reference>
          <reference field="0" count="1" selected="0">
            <x v="9"/>
          </reference>
          <reference field="31" count="1" selected="0">
            <x v="3"/>
          </reference>
        </references>
      </pivotArea>
    </chartFormat>
    <chartFormat chart="2" format="38">
      <pivotArea type="data" outline="0" fieldPosition="0">
        <references count="3">
          <reference field="4294967294" count="1" selected="0">
            <x v="0"/>
          </reference>
          <reference field="0" count="1" selected="0">
            <x v="10"/>
          </reference>
          <reference field="31" count="1" selected="0">
            <x v="3"/>
          </reference>
        </references>
      </pivotArea>
    </chartFormat>
    <chartFormat chart="2" format="39">
      <pivotArea type="data" outline="0" fieldPosition="0">
        <references count="3">
          <reference field="4294967294" count="1" selected="0">
            <x v="0"/>
          </reference>
          <reference field="0" count="1" selected="0">
            <x v="11"/>
          </reference>
          <reference field="31" count="1" selected="0">
            <x v="3"/>
          </reference>
        </references>
      </pivotArea>
    </chartFormat>
    <chartFormat chart="2" format="40">
      <pivotArea type="data" outline="0" fieldPosition="0">
        <references count="3">
          <reference field="4294967294" count="1" selected="0">
            <x v="0"/>
          </reference>
          <reference field="0" count="1" selected="0">
            <x v="12"/>
          </reference>
          <reference field="31" count="1" selected="0">
            <x v="3"/>
          </reference>
        </references>
      </pivotArea>
    </chartFormat>
    <chartFormat chart="2" format="41">
      <pivotArea type="data" outline="0" fieldPosition="0">
        <references count="3">
          <reference field="4294967294" count="1" selected="0">
            <x v="0"/>
          </reference>
          <reference field="0" count="1" selected="0">
            <x v="2"/>
          </reference>
          <reference field="31" count="1" selected="0">
            <x v="4"/>
          </reference>
        </references>
      </pivotArea>
    </chartFormat>
    <chartFormat chart="2" format="42">
      <pivotArea type="data" outline="0" fieldPosition="0">
        <references count="3">
          <reference field="4294967294" count="1" selected="0">
            <x v="0"/>
          </reference>
          <reference field="0" count="1" selected="0">
            <x v="3"/>
          </reference>
          <reference field="31" count="1" selected="0">
            <x v="4"/>
          </reference>
        </references>
      </pivotArea>
    </chartFormat>
    <chartFormat chart="2" format="43">
      <pivotArea type="data" outline="0" fieldPosition="0">
        <references count="3">
          <reference field="4294967294" count="1" selected="0">
            <x v="0"/>
          </reference>
          <reference field="0" count="1" selected="0">
            <x v="4"/>
          </reference>
          <reference field="31" count="1" selected="0">
            <x v="4"/>
          </reference>
        </references>
      </pivotArea>
    </chartFormat>
    <chartFormat chart="2" format="44">
      <pivotArea type="data" outline="0" fieldPosition="0">
        <references count="3">
          <reference field="4294967294" count="1" selected="0">
            <x v="0"/>
          </reference>
          <reference field="0" count="1" selected="0">
            <x v="5"/>
          </reference>
          <reference field="31" count="1" selected="0">
            <x v="4"/>
          </reference>
        </references>
      </pivotArea>
    </chartFormat>
    <chartFormat chart="2" format="45">
      <pivotArea type="data" outline="0" fieldPosition="0">
        <references count="3">
          <reference field="4294967294" count="1" selected="0">
            <x v="0"/>
          </reference>
          <reference field="0" count="1" selected="0">
            <x v="6"/>
          </reference>
          <reference field="31" count="1" selected="0">
            <x v="4"/>
          </reference>
        </references>
      </pivotArea>
    </chartFormat>
    <chartFormat chart="2" format="46">
      <pivotArea type="data" outline="0" fieldPosition="0">
        <references count="3">
          <reference field="4294967294" count="1" selected="0">
            <x v="0"/>
          </reference>
          <reference field="0" count="1" selected="0">
            <x v="7"/>
          </reference>
          <reference field="31" count="1" selected="0">
            <x v="4"/>
          </reference>
        </references>
      </pivotArea>
    </chartFormat>
    <chartFormat chart="2" format="47">
      <pivotArea type="data" outline="0" fieldPosition="0">
        <references count="3">
          <reference field="4294967294" count="1" selected="0">
            <x v="0"/>
          </reference>
          <reference field="0" count="1" selected="0">
            <x v="8"/>
          </reference>
          <reference field="31" count="1" selected="0">
            <x v="4"/>
          </reference>
        </references>
      </pivotArea>
    </chartFormat>
    <chartFormat chart="2" format="48">
      <pivotArea type="data" outline="0" fieldPosition="0">
        <references count="3">
          <reference field="4294967294" count="1" selected="0">
            <x v="0"/>
          </reference>
          <reference field="0" count="1" selected="0">
            <x v="9"/>
          </reference>
          <reference field="31" count="1" selected="0">
            <x v="4"/>
          </reference>
        </references>
      </pivotArea>
    </chartFormat>
    <chartFormat chart="2" format="49">
      <pivotArea type="data" outline="0" fieldPosition="0">
        <references count="3">
          <reference field="4294967294" count="1" selected="0">
            <x v="0"/>
          </reference>
          <reference field="0" count="1" selected="0">
            <x v="10"/>
          </reference>
          <reference field="31" count="1" selected="0">
            <x v="4"/>
          </reference>
        </references>
      </pivotArea>
    </chartFormat>
    <chartFormat chart="2" format="50">
      <pivotArea type="data" outline="0" fieldPosition="0">
        <references count="3">
          <reference field="4294967294" count="1" selected="0">
            <x v="0"/>
          </reference>
          <reference field="0" count="1" selected="0">
            <x v="11"/>
          </reference>
          <reference field="31" count="1" selected="0">
            <x v="4"/>
          </reference>
        </references>
      </pivotArea>
    </chartFormat>
    <chartFormat chart="2" format="51">
      <pivotArea type="data" outline="0" fieldPosition="0">
        <references count="3">
          <reference field="4294967294" count="1" selected="0">
            <x v="0"/>
          </reference>
          <reference field="0" count="1" selected="0">
            <x v="12"/>
          </reference>
          <reference field="31" count="1" selected="0">
            <x v="4"/>
          </reference>
        </references>
      </pivotArea>
    </chartFormat>
    <chartFormat chart="2" format="52">
      <pivotArea type="data" outline="0" fieldPosition="0">
        <references count="3">
          <reference field="4294967294" count="1" selected="0">
            <x v="0"/>
          </reference>
          <reference field="0" count="1" selected="0">
            <x v="1"/>
          </reference>
          <reference field="31" count="1" selected="0">
            <x v="5"/>
          </reference>
        </references>
      </pivotArea>
    </chartFormat>
    <chartFormat chart="2" format="53">
      <pivotArea type="data" outline="0" fieldPosition="0">
        <references count="3">
          <reference field="4294967294" count="1" selected="0">
            <x v="0"/>
          </reference>
          <reference field="0" count="1" selected="0">
            <x v="2"/>
          </reference>
          <reference field="31" count="1" selected="0">
            <x v="5"/>
          </reference>
        </references>
      </pivotArea>
    </chartFormat>
    <chartFormat chart="2" format="54">
      <pivotArea type="data" outline="0" fieldPosition="0">
        <references count="3">
          <reference field="4294967294" count="1" selected="0">
            <x v="0"/>
          </reference>
          <reference field="0" count="1" selected="0">
            <x v="3"/>
          </reference>
          <reference field="31" count="1" selected="0">
            <x v="5"/>
          </reference>
        </references>
      </pivotArea>
    </chartFormat>
    <chartFormat chart="2" format="55">
      <pivotArea type="data" outline="0" fieldPosition="0">
        <references count="3">
          <reference field="4294967294" count="1" selected="0">
            <x v="0"/>
          </reference>
          <reference field="0" count="1" selected="0">
            <x v="4"/>
          </reference>
          <reference field="31" count="1" selected="0">
            <x v="5"/>
          </reference>
        </references>
      </pivotArea>
    </chartFormat>
    <chartFormat chart="2" format="56">
      <pivotArea type="data" outline="0" fieldPosition="0">
        <references count="3">
          <reference field="4294967294" count="1" selected="0">
            <x v="0"/>
          </reference>
          <reference field="0" count="1" selected="0">
            <x v="5"/>
          </reference>
          <reference field="31" count="1" selected="0">
            <x v="5"/>
          </reference>
        </references>
      </pivotArea>
    </chartFormat>
    <chartFormat chart="2" format="57">
      <pivotArea type="data" outline="0" fieldPosition="0">
        <references count="3">
          <reference field="4294967294" count="1" selected="0">
            <x v="0"/>
          </reference>
          <reference field="0" count="1" selected="0">
            <x v="6"/>
          </reference>
          <reference field="31" count="1" selected="0">
            <x v="5"/>
          </reference>
        </references>
      </pivotArea>
    </chartFormat>
    <chartFormat chart="2" format="58">
      <pivotArea type="data" outline="0" fieldPosition="0">
        <references count="3">
          <reference field="4294967294" count="1" selected="0">
            <x v="0"/>
          </reference>
          <reference field="0" count="1" selected="0">
            <x v="7"/>
          </reference>
          <reference field="31" count="1" selected="0">
            <x v="5"/>
          </reference>
        </references>
      </pivotArea>
    </chartFormat>
    <chartFormat chart="2" format="59">
      <pivotArea type="data" outline="0" fieldPosition="0">
        <references count="3">
          <reference field="4294967294" count="1" selected="0">
            <x v="0"/>
          </reference>
          <reference field="0" count="1" selected="0">
            <x v="8"/>
          </reference>
          <reference field="31" count="1" selected="0">
            <x v="5"/>
          </reference>
        </references>
      </pivotArea>
    </chartFormat>
    <chartFormat chart="2" format="60">
      <pivotArea type="data" outline="0" fieldPosition="0">
        <references count="3">
          <reference field="4294967294" count="1" selected="0">
            <x v="0"/>
          </reference>
          <reference field="0" count="1" selected="0">
            <x v="9"/>
          </reference>
          <reference field="31" count="1" selected="0">
            <x v="5"/>
          </reference>
        </references>
      </pivotArea>
    </chartFormat>
    <chartFormat chart="2" format="61">
      <pivotArea type="data" outline="0" fieldPosition="0">
        <references count="3">
          <reference field="4294967294" count="1" selected="0">
            <x v="0"/>
          </reference>
          <reference field="0" count="1" selected="0">
            <x v="10"/>
          </reference>
          <reference field="31" count="1" selected="0">
            <x v="5"/>
          </reference>
        </references>
      </pivotArea>
    </chartFormat>
    <chartFormat chart="2" format="62">
      <pivotArea type="data" outline="0" fieldPosition="0">
        <references count="3">
          <reference field="4294967294" count="1" selected="0">
            <x v="0"/>
          </reference>
          <reference field="0" count="1" selected="0">
            <x v="11"/>
          </reference>
          <reference field="31" count="1" selected="0">
            <x v="5"/>
          </reference>
        </references>
      </pivotArea>
    </chartFormat>
    <chartFormat chart="2" format="63">
      <pivotArea type="data" outline="0" fieldPosition="0">
        <references count="3">
          <reference field="4294967294" count="1" selected="0">
            <x v="0"/>
          </reference>
          <reference field="0" count="1" selected="0">
            <x v="1"/>
          </reference>
          <reference field="31" count="1" selected="0">
            <x v="6"/>
          </reference>
        </references>
      </pivotArea>
    </chartFormat>
    <chartFormat chart="2" format="64">
      <pivotArea type="data" outline="0" fieldPosition="0">
        <references count="3">
          <reference field="4294967294" count="1" selected="0">
            <x v="0"/>
          </reference>
          <reference field="0" count="1" selected="0">
            <x v="2"/>
          </reference>
          <reference field="31" count="1" selected="0">
            <x v="6"/>
          </reference>
        </references>
      </pivotArea>
    </chartFormat>
    <chartFormat chart="2" format="65">
      <pivotArea type="data" outline="0" fieldPosition="0">
        <references count="3">
          <reference field="4294967294" count="1" selected="0">
            <x v="0"/>
          </reference>
          <reference field="0" count="1" selected="0">
            <x v="3"/>
          </reference>
          <reference field="31" count="1" selected="0">
            <x v="6"/>
          </reference>
        </references>
      </pivotArea>
    </chartFormat>
    <chartFormat chart="2" format="66">
      <pivotArea type="data" outline="0" fieldPosition="0">
        <references count="3">
          <reference field="4294967294" count="1" selected="0">
            <x v="0"/>
          </reference>
          <reference field="0" count="1" selected="0">
            <x v="4"/>
          </reference>
          <reference field="31" count="1" selected="0">
            <x v="6"/>
          </reference>
        </references>
      </pivotArea>
    </chartFormat>
    <chartFormat chart="2" format="67">
      <pivotArea type="data" outline="0" fieldPosition="0">
        <references count="3">
          <reference field="4294967294" count="1" selected="0">
            <x v="0"/>
          </reference>
          <reference field="0" count="1" selected="0">
            <x v="5"/>
          </reference>
          <reference field="31" count="1" selected="0">
            <x v="6"/>
          </reference>
        </references>
      </pivotArea>
    </chartFormat>
    <chartFormat chart="2" format="68">
      <pivotArea type="data" outline="0" fieldPosition="0">
        <references count="3">
          <reference field="4294967294" count="1" selected="0">
            <x v="0"/>
          </reference>
          <reference field="0" count="1" selected="0">
            <x v="6"/>
          </reference>
          <reference field="31" count="1" selected="0">
            <x v="6"/>
          </reference>
        </references>
      </pivotArea>
    </chartFormat>
    <chartFormat chart="2" format="69">
      <pivotArea type="data" outline="0" fieldPosition="0">
        <references count="3">
          <reference field="4294967294" count="1" selected="0">
            <x v="0"/>
          </reference>
          <reference field="0" count="1" selected="0">
            <x v="7"/>
          </reference>
          <reference field="31" count="1" selected="0">
            <x v="6"/>
          </reference>
        </references>
      </pivotArea>
    </chartFormat>
    <chartFormat chart="2" format="70">
      <pivotArea type="data" outline="0" fieldPosition="0">
        <references count="3">
          <reference field="4294967294" count="1" selected="0">
            <x v="0"/>
          </reference>
          <reference field="0" count="1" selected="0">
            <x v="8"/>
          </reference>
          <reference field="31" count="1" selected="0">
            <x v="6"/>
          </reference>
        </references>
      </pivotArea>
    </chartFormat>
    <chartFormat chart="2" format="71">
      <pivotArea type="data" outline="0" fieldPosition="0">
        <references count="3">
          <reference field="4294967294" count="1" selected="0">
            <x v="0"/>
          </reference>
          <reference field="0" count="1" selected="0">
            <x v="9"/>
          </reference>
          <reference field="31" count="1" selected="0">
            <x v="6"/>
          </reference>
        </references>
      </pivotArea>
    </chartFormat>
    <chartFormat chart="2" format="72">
      <pivotArea type="data" outline="0" fieldPosition="0">
        <references count="3">
          <reference field="4294967294" count="1" selected="0">
            <x v="0"/>
          </reference>
          <reference field="0" count="1" selected="0">
            <x v="10"/>
          </reference>
          <reference field="31" count="1" selected="0">
            <x v="6"/>
          </reference>
        </references>
      </pivotArea>
    </chartFormat>
    <chartFormat chart="2" format="73">
      <pivotArea type="data" outline="0" fieldPosition="0">
        <references count="3">
          <reference field="4294967294" count="1" selected="0">
            <x v="0"/>
          </reference>
          <reference field="0" count="1" selected="0">
            <x v="11"/>
          </reference>
          <reference field="31" count="1" selected="0">
            <x v="6"/>
          </reference>
        </references>
      </pivotArea>
    </chartFormat>
    <chartFormat chart="2" format="74">
      <pivotArea type="data" outline="0" fieldPosition="0">
        <references count="3">
          <reference field="4294967294" count="1" selected="0">
            <x v="0"/>
          </reference>
          <reference field="0" count="1" selected="0">
            <x v="12"/>
          </reference>
          <reference field="31" count="1" selected="0">
            <x v="6"/>
          </reference>
        </references>
      </pivotArea>
    </chartFormat>
    <chartFormat chart="2" format="75"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AC1FE5AF-A1D6-4476-8BC8-31D993667156}" name="PivotTable18"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6:K7" firstHeaderRow="1" firstDataRow="1" firstDataCol="0"/>
  <pivotFields count="32">
    <pivotField numFmtId="165" showAll="0"/>
    <pivotField numFmtId="164" showAll="0"/>
    <pivotField showAll="0"/>
    <pivotField dataField="1"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Sum of Себестоимость" fld="3" baseField="0" baseItem="0" numFmtId="166"/>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4A0D0674-C4EF-4472-88C4-E54C12A0480C}" name="PivotTable2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10:K11" firstHeaderRow="1" firstDataRow="1" firstDataCol="0"/>
  <pivotFields count="32">
    <pivotField numFmtId="165" showAll="0"/>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Sum of Налоги" fld="26" baseField="0" baseItem="0" numFmtId="166"/>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FE7B0E79-7B45-4719-BDD1-74BD0C6C8F7A}" name="PivotTable2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19:I20" firstHeaderRow="1" firstDataRow="1" firstDataCol="0"/>
  <pivotFields count="32">
    <pivotField numFmtId="165" showAll="0"/>
    <pivotField numFmtId="164" showAll="0"/>
    <pivotField showAll="0"/>
    <pivotField numFmtId="164" showAll="0"/>
    <pivotField showAll="0"/>
    <pivotField numFmtId="164" showAll="0"/>
    <pivotField showAll="0"/>
    <pivotField dataField="1"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Average of Маржинальность" fld="7" subtotal="average"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803EF84E-A68C-4105-8272-B1E7A792F046}" name="PivotTable1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10:G11" firstHeaderRow="1" firstDataRow="1" firstDataCol="0"/>
  <pivotFields count="32">
    <pivotField numFmtId="165" showAll="0"/>
    <pivotField numFmtId="164" showAll="0"/>
    <pivotField showAll="0"/>
    <pivotField numFmtId="164" showAll="0"/>
    <pivotField showAll="0"/>
    <pivotField dataField="1"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Sum of Валовая прибыль" fld="5" baseField="0" baseItem="0" numFmtId="166"/>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3E0BA592-67A9-41EC-AEF5-5674AB92CA72}" name="PivotTable2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19:G20" firstHeaderRow="1" firstDataRow="1" firstDataCol="0"/>
  <pivotFields count="32">
    <pivotField numFmtId="165" showAll="0"/>
    <pivotField numFmtId="164" showAll="0"/>
    <pivotField showAll="0"/>
    <pivotField numFmtId="164" showAll="0"/>
    <pivotField showAll="0"/>
    <pivotField numFmtId="164" showAll="0"/>
    <pivotField showAll="0"/>
    <pivotField numFmtId="10"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dataField="1" numFmtId="164" showAll="0"/>
    <pivotField showAll="0"/>
    <pivotField showAll="0" defaultSubtotal="0"/>
    <pivotField showAll="0" defaultSubtotal="0">
      <items count="8">
        <item h="1" x="0"/>
        <item x="1"/>
        <item h="1" x="2"/>
        <item h="1" x="3"/>
        <item h="1" x="4"/>
        <item h="1" x="5"/>
        <item h="1" x="6"/>
        <item h="1" x="7"/>
      </items>
    </pivotField>
  </pivotFields>
  <rowItems count="1">
    <i/>
  </rowItems>
  <colItems count="1">
    <i/>
  </colItems>
  <dataFields count="1">
    <dataField name="Sum of Чистая прибыль" fld="28" baseField="0" baseItem="0" numFmtId="166"/>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CC87EF15-E743-459F-8693-9D9C11D0D756}" name="expenses" cacheId="2" applyNumberFormats="0" applyBorderFormats="0" applyFontFormats="0" applyPatternFormats="0" applyAlignmentFormats="0" applyWidthHeightFormats="1" dataCaption="Values" grandTotalCaption="-" updatedVersion="7" minRefreshableVersion="3" useAutoFormatting="1" itemPrintTitles="1" createdVersion="7" indent="0" outline="1" outlineData="1" multipleFieldFilters="0" chartFormat="3">
  <location ref="K24:L38" firstHeaderRow="1" firstDataRow="1" firstDataCol="1"/>
  <pivotFields count="32">
    <pivotField axis="axisRow" numFmtId="165" showAll="0">
      <items count="15">
        <item x="0"/>
        <item n="Янв" x="1"/>
        <item n="Фев" x="2"/>
        <item n="Мар" x="3"/>
        <item n="Апр" x="4"/>
        <item n="Май" x="5"/>
        <item n="Июн" x="6"/>
        <item n="Июл" x="7"/>
        <item n="Авг" x="8"/>
        <item n="Сен" x="9"/>
        <item n="Окт" x="10"/>
        <item n="Ноя" x="11"/>
        <item n="Дек" x="12"/>
        <item x="13"/>
        <item t="default"/>
      </items>
    </pivotField>
    <pivotField numFmtId="164" showAll="0"/>
    <pivotField showAll="0"/>
    <pivotField numFmtId="164" showAll="0"/>
    <pivotField showAll="0"/>
    <pivotField numFmtId="164" showAll="0"/>
    <pivotField showAll="0"/>
    <pivotField numFmtId="10" showAll="0"/>
    <pivotField dataField="1"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numFmtId="164" showAll="0"/>
    <pivotField showAll="0"/>
    <pivotField showAll="0" defaultSubtotal="0"/>
    <pivotField axis="axisRow" showAll="0" defaultSubtotal="0">
      <items count="8">
        <item h="1" x="0"/>
        <item x="1"/>
        <item h="1" x="2"/>
        <item h="1" x="3"/>
        <item h="1" x="4"/>
        <item h="1" x="5"/>
        <item h="1" x="6"/>
        <item h="1" x="7"/>
      </items>
    </pivotField>
  </pivotFields>
  <rowFields count="2">
    <field x="31"/>
    <field x="0"/>
  </rowFields>
  <rowItems count="14">
    <i>
      <x v="1"/>
    </i>
    <i r="1">
      <x v="1"/>
    </i>
    <i r="1">
      <x v="2"/>
    </i>
    <i r="1">
      <x v="3"/>
    </i>
    <i r="1">
      <x v="4"/>
    </i>
    <i r="1">
      <x v="5"/>
    </i>
    <i r="1">
      <x v="6"/>
    </i>
    <i r="1">
      <x v="7"/>
    </i>
    <i r="1">
      <x v="8"/>
    </i>
    <i r="1">
      <x v="9"/>
    </i>
    <i r="1">
      <x v="10"/>
    </i>
    <i r="1">
      <x v="11"/>
    </i>
    <i r="1">
      <x v="12"/>
    </i>
    <i t="grand">
      <x/>
    </i>
  </rowItems>
  <colItems count="1">
    <i/>
  </colItems>
  <dataFields count="1">
    <dataField name="Sum of Расходы суммарно" fld="8" baseField="0" baseItem="0" numFmtId="166"/>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11EFA155-CFFE-42EB-874F-6CC33424D2A4}" name="PivotTable5" cacheId="2"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B60:C68" firstHeaderRow="1" firstDataRow="1" firstDataCol="1"/>
  <pivotFields count="32">
    <pivotField numFmtId="168" showAll="0">
      <items count="15">
        <item h="1" x="0"/>
        <item x="1"/>
        <item x="2"/>
        <item x="3"/>
        <item x="4"/>
        <item x="5"/>
        <item x="6"/>
        <item x="7"/>
        <item x="8"/>
        <item x="9"/>
        <item x="10"/>
        <item x="11"/>
        <item x="12"/>
        <item h="1"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dataField="1" numFmtId="164" showAll="0">
      <items count="73">
        <item x="60"/>
        <item x="62"/>
        <item x="61"/>
        <item x="44"/>
        <item x="69"/>
        <item x="39"/>
        <item x="71"/>
        <item x="70"/>
        <item x="38"/>
        <item x="30"/>
        <item x="48"/>
        <item x="42"/>
        <item x="64"/>
        <item x="25"/>
        <item x="27"/>
        <item x="41"/>
        <item x="66"/>
        <item x="36"/>
        <item x="68"/>
        <item x="65"/>
        <item x="67"/>
        <item x="2"/>
        <item x="3"/>
        <item x="43"/>
        <item x="1"/>
        <item x="26"/>
        <item x="59"/>
        <item x="49"/>
        <item x="24"/>
        <item x="28"/>
        <item x="52"/>
        <item x="4"/>
        <item x="40"/>
        <item x="29"/>
        <item x="37"/>
        <item x="45"/>
        <item x="8"/>
        <item x="31"/>
        <item x="50"/>
        <item x="5"/>
        <item x="58"/>
        <item x="53"/>
        <item x="51"/>
        <item x="46"/>
        <item x="54"/>
        <item x="47"/>
        <item x="33"/>
        <item x="63"/>
        <item x="34"/>
        <item x="6"/>
        <item x="22"/>
        <item x="35"/>
        <item x="32"/>
        <item x="57"/>
        <item x="7"/>
        <item x="55"/>
        <item x="12"/>
        <item x="0"/>
        <item x="18"/>
        <item x="10"/>
        <item x="15"/>
        <item x="16"/>
        <item x="56"/>
        <item x="17"/>
        <item x="21"/>
        <item x="14"/>
        <item x="11"/>
        <item x="23"/>
        <item x="19"/>
        <item x="20"/>
        <item x="13"/>
        <item x="9"/>
        <item t="default"/>
      </items>
    </pivotField>
    <pivotField showAll="0"/>
    <pivotField dataField="1" numFmtId="164" showAll="0">
      <items count="73">
        <item x="0"/>
        <item x="27"/>
        <item x="1"/>
        <item x="2"/>
        <item x="26"/>
        <item x="3"/>
        <item x="24"/>
        <item x="4"/>
        <item x="6"/>
        <item x="12"/>
        <item x="14"/>
        <item x="5"/>
        <item x="50"/>
        <item x="25"/>
        <item x="49"/>
        <item x="61"/>
        <item x="15"/>
        <item x="13"/>
        <item x="38"/>
        <item x="39"/>
        <item x="37"/>
        <item x="62"/>
        <item x="47"/>
        <item x="23"/>
        <item x="41"/>
        <item x="8"/>
        <item x="45"/>
        <item x="7"/>
        <item x="59"/>
        <item x="42"/>
        <item x="44"/>
        <item x="16"/>
        <item x="48"/>
        <item x="40"/>
        <item x="28"/>
        <item x="17"/>
        <item x="36"/>
        <item x="43"/>
        <item x="18"/>
        <item x="55"/>
        <item x="51"/>
        <item x="54"/>
        <item x="10"/>
        <item x="46"/>
        <item x="19"/>
        <item x="60"/>
        <item x="20"/>
        <item x="9"/>
        <item x="56"/>
        <item x="22"/>
        <item x="21"/>
        <item x="29"/>
        <item x="30"/>
        <item x="11"/>
        <item x="52"/>
        <item x="58"/>
        <item x="53"/>
        <item x="32"/>
        <item x="34"/>
        <item x="57"/>
        <item x="31"/>
        <item x="33"/>
        <item x="63"/>
        <item x="35"/>
        <item x="71"/>
        <item x="69"/>
        <item x="70"/>
        <item x="66"/>
        <item x="64"/>
        <item x="65"/>
        <item x="67"/>
        <item x="68"/>
        <item t="default"/>
      </items>
    </pivotField>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numFmtId="164" showAll="0"/>
    <pivotField showAll="0"/>
    <pivotField dataField="1" numFmtId="164" showAll="0"/>
    <pivotField showAll="0"/>
    <pivotField numFmtId="164" showAll="0"/>
    <pivotField showAll="0"/>
    <pivotField showAll="0" defaultSubtotal="0">
      <items count="6">
        <item x="0"/>
        <item x="1"/>
        <item x="2"/>
        <item x="3"/>
        <item x="4"/>
        <item x="5"/>
      </items>
    </pivotField>
    <pivotField showAll="0" defaultSubtotal="0">
      <items count="8">
        <item h="1" x="0"/>
        <item x="1"/>
        <item h="1" x="2"/>
        <item h="1" x="3"/>
        <item h="1" x="4"/>
        <item h="1" x="5"/>
        <item h="1" x="6"/>
        <item h="1" x="7"/>
      </items>
    </pivotField>
  </pivotFields>
  <rowFields count="1">
    <field x="-2"/>
  </rowFields>
  <rowItems count="8">
    <i>
      <x/>
    </i>
    <i i="1">
      <x v="1"/>
    </i>
    <i i="2">
      <x v="2"/>
    </i>
    <i i="3">
      <x v="3"/>
    </i>
    <i i="4">
      <x v="4"/>
    </i>
    <i i="5">
      <x v="5"/>
    </i>
    <i i="6">
      <x v="6"/>
    </i>
    <i i="7">
      <x v="7"/>
    </i>
  </rowItems>
  <colItems count="1">
    <i/>
  </colItems>
  <dataFields count="8">
    <dataField name="Офисные рaсходы" fld="20" baseField="0" baseItem="0" numFmtId="166"/>
    <dataField name="Фин. рaсходы" fld="22" baseField="0" baseItem="0"/>
    <dataField name="Интернет и Tелефон" fld="16" baseField="0" baseItem="0"/>
    <dataField name="Tранспорт" fld="18" baseField="0" baseItem="0"/>
    <dataField name="Aренда" fld="14" baseField="0" baseItem="0"/>
    <dataField name="Нaлоги" fld="26" baseField="0" baseItem="0"/>
    <dataField name="Маркетинг" fld="10" baseField="0" baseItem="0" numFmtId="166"/>
    <dataField name="ФОТ" fld="12" baseField="0" baseItem="0"/>
  </dataFields>
  <formats count="5">
    <format dxfId="4">
      <pivotArea collapsedLevelsAreSubtotals="1" fieldPosition="0">
        <references count="1">
          <reference field="4294967294" count="7">
            <x v="0"/>
            <x v="1"/>
            <x v="2"/>
            <x v="3"/>
            <x v="4"/>
            <x v="5"/>
            <x v="7"/>
          </reference>
        </references>
      </pivotArea>
    </format>
    <format dxfId="3">
      <pivotArea collapsedLevelsAreSubtotals="1" fieldPosition="0">
        <references count="1">
          <reference field="4294967294" count="7">
            <x v="1"/>
            <x v="2"/>
            <x v="3"/>
            <x v="4"/>
            <x v="5"/>
            <x v="6"/>
            <x v="7"/>
          </reference>
        </references>
      </pivotArea>
    </format>
    <format dxfId="2">
      <pivotArea collapsedLevelsAreSubtotals="1" fieldPosition="0">
        <references count="1">
          <reference field="4294967294" count="5">
            <x v="3"/>
            <x v="4"/>
            <x v="5"/>
            <x v="6"/>
            <x v="7"/>
          </reference>
        </references>
      </pivotArea>
    </format>
    <format dxfId="1">
      <pivotArea outline="0" fieldPosition="0">
        <references count="1">
          <reference field="4294967294" count="1">
            <x v="0"/>
          </reference>
        </references>
      </pivotArea>
    </format>
    <format dxfId="0">
      <pivotArea outline="0" collapsedLevelsAreSubtotals="1" fieldPosition="0"/>
    </format>
  </formats>
  <chartFormats count="2">
    <chartFormat chart="2" format="17" series="1">
      <pivotArea type="data" outline="0" fieldPosition="0">
        <references count="1">
          <reference field="4294967294" count="1" selected="0">
            <x v="0"/>
          </reference>
        </references>
      </pivotArea>
    </chartFormat>
    <chartFormat chart="2" format="18">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29BC0E0A-B90E-4559-AE92-DC690C4C325D}" name="PivotTable1" cacheId="2"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B3:C11" firstHeaderRow="1" firstDataRow="1" firstDataCol="1"/>
  <pivotFields count="32">
    <pivotField numFmtId="168" showAll="0">
      <items count="15">
        <item h="1" x="0"/>
        <item x="1"/>
        <item x="2"/>
        <item x="3"/>
        <item x="4"/>
        <item x="5"/>
        <item x="6"/>
        <item x="7"/>
        <item x="8"/>
        <item x="9"/>
        <item x="10"/>
        <item x="11"/>
        <item x="12"/>
        <item h="1" x="13"/>
        <item t="default"/>
      </items>
    </pivotField>
    <pivotField numFmtId="164" showAll="0"/>
    <pivotField showAll="0"/>
    <pivotField numFmtId="164" showAll="0"/>
    <pivotField showAll="0"/>
    <pivotField numFmtId="164" showAll="0"/>
    <pivotField showAll="0"/>
    <pivotField numFmtId="10" showAll="0"/>
    <pivotField numFmtId="164" showAll="0"/>
    <pivotField showAll="0"/>
    <pivotField dataField="1" numFmtId="164" showAll="0">
      <items count="73">
        <item x="60"/>
        <item x="62"/>
        <item x="61"/>
        <item x="44"/>
        <item x="69"/>
        <item x="39"/>
        <item x="71"/>
        <item x="70"/>
        <item x="38"/>
        <item x="30"/>
        <item x="48"/>
        <item x="42"/>
        <item x="64"/>
        <item x="25"/>
        <item x="27"/>
        <item x="41"/>
        <item x="66"/>
        <item x="36"/>
        <item x="68"/>
        <item x="65"/>
        <item x="67"/>
        <item x="2"/>
        <item x="3"/>
        <item x="43"/>
        <item x="1"/>
        <item x="26"/>
        <item x="59"/>
        <item x="49"/>
        <item x="24"/>
        <item x="28"/>
        <item x="52"/>
        <item x="4"/>
        <item x="40"/>
        <item x="29"/>
        <item x="37"/>
        <item x="45"/>
        <item x="8"/>
        <item x="31"/>
        <item x="50"/>
        <item x="5"/>
        <item x="58"/>
        <item x="53"/>
        <item x="51"/>
        <item x="46"/>
        <item x="54"/>
        <item x="47"/>
        <item x="33"/>
        <item x="63"/>
        <item x="34"/>
        <item x="6"/>
        <item x="22"/>
        <item x="35"/>
        <item x="32"/>
        <item x="57"/>
        <item x="7"/>
        <item x="55"/>
        <item x="12"/>
        <item x="0"/>
        <item x="18"/>
        <item x="10"/>
        <item x="15"/>
        <item x="16"/>
        <item x="56"/>
        <item x="17"/>
        <item x="21"/>
        <item x="14"/>
        <item x="11"/>
        <item x="23"/>
        <item x="19"/>
        <item x="20"/>
        <item x="13"/>
        <item x="9"/>
        <item t="default"/>
      </items>
    </pivotField>
    <pivotField showAll="0"/>
    <pivotField dataField="1" numFmtId="164" showAll="0">
      <items count="73">
        <item x="0"/>
        <item x="27"/>
        <item x="1"/>
        <item x="2"/>
        <item x="26"/>
        <item x="3"/>
        <item x="24"/>
        <item x="4"/>
        <item x="6"/>
        <item x="12"/>
        <item x="14"/>
        <item x="5"/>
        <item x="50"/>
        <item x="25"/>
        <item x="49"/>
        <item x="61"/>
        <item x="15"/>
        <item x="13"/>
        <item x="38"/>
        <item x="39"/>
        <item x="37"/>
        <item x="62"/>
        <item x="47"/>
        <item x="23"/>
        <item x="41"/>
        <item x="8"/>
        <item x="45"/>
        <item x="7"/>
        <item x="59"/>
        <item x="42"/>
        <item x="44"/>
        <item x="16"/>
        <item x="48"/>
        <item x="40"/>
        <item x="28"/>
        <item x="17"/>
        <item x="36"/>
        <item x="43"/>
        <item x="18"/>
        <item x="55"/>
        <item x="51"/>
        <item x="54"/>
        <item x="10"/>
        <item x="46"/>
        <item x="19"/>
        <item x="60"/>
        <item x="20"/>
        <item x="9"/>
        <item x="56"/>
        <item x="22"/>
        <item x="21"/>
        <item x="29"/>
        <item x="30"/>
        <item x="11"/>
        <item x="52"/>
        <item x="58"/>
        <item x="53"/>
        <item x="32"/>
        <item x="34"/>
        <item x="57"/>
        <item x="31"/>
        <item x="33"/>
        <item x="63"/>
        <item x="35"/>
        <item x="71"/>
        <item x="69"/>
        <item x="70"/>
        <item x="66"/>
        <item x="64"/>
        <item x="65"/>
        <item x="67"/>
        <item x="68"/>
        <item t="default"/>
      </items>
    </pivotField>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dataField="1" numFmtId="164" showAll="0"/>
    <pivotField showAll="0"/>
    <pivotField numFmtId="164" showAll="0"/>
    <pivotField showAll="0"/>
    <pivotField dataField="1" numFmtId="164" showAll="0"/>
    <pivotField showAll="0"/>
    <pivotField numFmtId="164" showAll="0"/>
    <pivotField showAll="0"/>
    <pivotField showAll="0" defaultSubtotal="0">
      <items count="6">
        <item h="1" x="0"/>
        <item x="1"/>
        <item x="2"/>
        <item x="3"/>
        <item x="4"/>
        <item x="5"/>
      </items>
    </pivotField>
    <pivotField showAll="0" defaultSubtotal="0">
      <items count="8">
        <item h="1" x="0"/>
        <item x="1"/>
        <item h="1" x="2"/>
        <item h="1" x="3"/>
        <item h="1" x="4"/>
        <item h="1" x="5"/>
        <item h="1" x="6"/>
        <item h="1" x="7"/>
      </items>
    </pivotField>
  </pivotFields>
  <rowFields count="1">
    <field x="-2"/>
  </rowFields>
  <rowItems count="8">
    <i>
      <x/>
    </i>
    <i i="1">
      <x v="1"/>
    </i>
    <i i="2">
      <x v="2"/>
    </i>
    <i i="3">
      <x v="3"/>
    </i>
    <i i="4">
      <x v="4"/>
    </i>
    <i i="5">
      <x v="5"/>
    </i>
    <i i="6">
      <x v="6"/>
    </i>
    <i i="7">
      <x v="7"/>
    </i>
  </rowItems>
  <colItems count="1">
    <i/>
  </colItems>
  <dataFields count="8">
    <dataField name="ФОТ" fld="12" baseField="0" baseItem="0"/>
    <dataField name="Маркетинг" fld="10" baseField="0" baseItem="0" numFmtId="166"/>
    <dataField name="Нaлоги" fld="26" baseField="0" baseItem="0"/>
    <dataField name="Aренда" fld="14" baseField="0" baseItem="0"/>
    <dataField name="Tранспорт" fld="18" baseField="0" baseItem="0"/>
    <dataField name="Интернет и Tелефон" fld="16" baseField="0" baseItem="0"/>
    <dataField name="Фин. рaсходы" fld="22" baseField="0" baseItem="0"/>
    <dataField name="Офисные рaсходы" fld="20" baseField="0" baseItem="0"/>
  </dataFields>
  <formats count="2">
    <format dxfId="6">
      <pivotArea collapsedLevelsAreSubtotals="1" fieldPosition="0">
        <references count="1">
          <reference field="4294967294" count="7">
            <x v="0"/>
            <x v="2"/>
            <x v="3"/>
            <x v="4"/>
            <x v="5"/>
            <x v="6"/>
            <x v="7"/>
          </reference>
        </references>
      </pivotArea>
    </format>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Месяц" xr10:uid="{B7333E53-3BC8-46BE-B55F-397752D1455A}" sourceName="Месяц ">
  <pivotTables>
    <pivotTable tabId="5" name="PivotTable12"/>
    <pivotTable tabId="5" name="PivotTable13"/>
  </pivotTables>
  <data>
    <tabular pivotCacheId="974999393">
      <items count="78">
        <i x="12" s="1"/>
        <i x="25"/>
        <i x="38"/>
        <i x="51"/>
        <i x="64"/>
        <i x="77"/>
        <i x="0"/>
        <i x="1"/>
        <i x="2"/>
        <i x="3"/>
        <i x="4"/>
        <i x="5"/>
        <i x="6"/>
        <i x="7"/>
        <i x="8"/>
        <i x="9"/>
        <i x="10"/>
        <i x="11"/>
        <i x="13"/>
        <i x="14"/>
        <i x="15"/>
        <i x="16"/>
        <i x="17"/>
        <i x="18"/>
        <i x="19"/>
        <i x="20"/>
        <i x="21"/>
        <i x="22"/>
        <i x="23"/>
        <i x="24"/>
        <i x="26"/>
        <i x="27"/>
        <i x="28"/>
        <i x="29"/>
        <i x="30"/>
        <i x="31"/>
        <i x="32"/>
        <i x="33"/>
        <i x="34"/>
        <i x="35"/>
        <i x="36"/>
        <i x="37"/>
        <i x="39"/>
        <i x="40"/>
        <i x="41"/>
        <i x="42"/>
        <i x="43"/>
        <i x="44"/>
        <i x="45"/>
        <i x="46"/>
        <i x="47"/>
        <i x="48"/>
        <i x="49"/>
        <i x="50"/>
        <i x="52"/>
        <i x="53"/>
        <i x="54"/>
        <i x="55"/>
        <i x="56"/>
        <i x="57"/>
        <i x="58"/>
        <i x="59"/>
        <i x="60"/>
        <i x="61"/>
        <i x="62"/>
        <i x="63"/>
        <i x="65"/>
        <i x="66"/>
        <i x="67"/>
        <i x="68"/>
        <i x="69"/>
        <i x="70"/>
        <i x="71"/>
        <i x="72"/>
        <i x="73"/>
        <i x="74"/>
        <i x="75"/>
        <i x="7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5DAF984B-CB17-4DF4-81BA-11BA65DF4D89}" sourceName="Years">
  <pivotTables>
    <pivotTable tabId="18" name="PivotTable1"/>
    <pivotTable tabId="18" name="PivotTable2"/>
    <pivotTable tabId="18" name="PivotTable4"/>
    <pivotTable tabId="18" name="PivotTable5"/>
    <pivotTable tabId="18" name="PivotTable6"/>
    <pivotTable tabId="18" name="PivotTable7"/>
    <pivotTable tabId="18" name="PivotTable8"/>
    <pivotTable tabId="18" name="PivotTable10"/>
  </pivotTables>
  <data>
    <tabular pivotCacheId="131713666">
      <items count="8">
        <i x="1" s="1"/>
        <i x="2" s="1"/>
        <i x="3" s="1"/>
        <i x="4" s="1"/>
        <i x="5" s="1"/>
        <i x="6" s="1"/>
        <i x="0" nd="1"/>
        <i x="7"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C1FAF573-FF60-4CC8-BFAE-40087F4A5889}" sourceName="Years">
  <pivotTables>
    <pivotTable tabId="19" name="PivotTable11"/>
    <pivotTable tabId="19" name="PivotTable18"/>
    <pivotTable tabId="19" name="PivotTable19"/>
    <pivotTable tabId="19" name="PivotTable20"/>
    <pivotTable tabId="19" name="PivotTable21"/>
    <pivotTable tabId="19" name="PivotTable22"/>
    <pivotTable tabId="19" name="PivotTable23"/>
    <pivotTable tabId="19" name="expenses"/>
    <pivotTable tabId="19" name="net profit"/>
  </pivotTables>
  <data>
    <tabular pivotCacheId="1178462437">
      <items count="8">
        <i x="1" s="1"/>
        <i x="2"/>
        <i x="3"/>
        <i x="4"/>
        <i x="5"/>
        <i x="6"/>
        <i x="0" nd="1"/>
        <i x="7"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Месяц1" xr10:uid="{115BB563-B2DD-4ACC-98AE-C6C94798E655}" sourceName="Месяц ">
  <pivotTables>
    <pivotTable tabId="23" name="PivotTable1"/>
    <pivotTable tabId="23" name="PivotTable5"/>
  </pivotTables>
  <data>
    <tabular pivotCacheId="1178462437">
      <items count="14">
        <i x="1" s="1"/>
        <i x="2" s="1"/>
        <i x="3" s="1"/>
        <i x="4" s="1"/>
        <i x="5" s="1"/>
        <i x="6" s="1"/>
        <i x="7" s="1"/>
        <i x="8" s="1"/>
        <i x="9" s="1"/>
        <i x="10" s="1"/>
        <i x="11" s="1"/>
        <i x="12" s="1"/>
        <i x="0" nd="1"/>
        <i x="13"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2" xr10:uid="{1CD4F863-0492-47CD-9836-60F58A596580}" sourceName="Years">
  <pivotTables>
    <pivotTable tabId="23" name="PivotTable1"/>
    <pivotTable tabId="23" name="PivotTable5"/>
  </pivotTables>
  <data>
    <tabular pivotCacheId="1178462437">
      <items count="8">
        <i x="1" s="1"/>
        <i x="2"/>
        <i x="3"/>
        <i x="4"/>
        <i x="5"/>
        <i x="6"/>
        <i x="0" nd="1"/>
        <i x="7"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3" xr10:uid="{ACC5B3A3-7CA4-4693-987D-A4710C67DCC7}" cache="Slicer_Years1" caption="Years" columnCount="6" showCaption="0" style="Ecvols Slicer" rowHeight="365760"/>
  <slicer name="Месяц  3" xr10:uid="{945DC92A-DA65-40A3-B15D-0DC76FE80090}" cache="Slicer_Месяц1" caption="Месяц " columnCount="12" showCaption="0" style="Ecvols Slicer" rowHeight="241300"/>
  <slicer name="Years 4" xr10:uid="{A833F5EC-0666-4E03-BCEE-2F6DE8F65769}" cache="Slicer_Years2" caption="Years" columnCount="6" showCaption="0" style="Ecvols Slic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Месяц " xr10:uid="{7929BFC1-4347-4FE7-896D-A937FDC1D028}" cache="Slicer_Месяц" caption="Месяц " columnCount="3" rowHeight="241300"/>
  <slicer name="Месяц  1" xr10:uid="{81CE025D-A064-4167-886B-8A676EF4D3ED}" cache="Slicer_Месяц" caption="Месяц " columnCoun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AAADAA76-CB1D-484B-A810-F77D5DA8CBEA}" cache="Slicer_Years" caption="Years"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2" xr10:uid="{DD3301EE-3715-4B9C-B944-4226F28CFA7A}" cache="Slicer_Years1" caption="Years" columnCount="6" showCaption="0" style="Ecvols Slic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2F5339-FA81-4E64-B6C0-18D251615939}" name="Table1" displayName="Table1" ref="A1:E97" totalsRowShown="0">
  <autoFilter ref="A1:E97" xr:uid="{502F5339-FA81-4E64-B6C0-18D251615939}"/>
  <tableColumns count="5">
    <tableColumn id="1" xr3:uid="{B046A40D-51F2-403F-9517-588C853BCB33}" name="Месяц " dataDxfId="79"/>
    <tableColumn id="2" xr3:uid="{07504762-5F10-424C-B117-A3730A2B9A3D}" name="Выручка"/>
    <tableColumn id="3" xr3:uid="{54BC884B-20E3-4981-9D79-6438A8C09CE5}" name="Forecast(Выручка)" dataDxfId="78">
      <calculatedColumnFormula>_xlfn.FORECAST.ETS(A2,$B$2:$B$73,$A$2:$A$73,24,1)</calculatedColumnFormula>
    </tableColumn>
    <tableColumn id="4" xr3:uid="{9343B6BE-E10C-4197-B9BB-A4A1B7A262A2}" name="Lower Confidence Bound(Выручка)" dataDxfId="77">
      <calculatedColumnFormula>C2-_xlfn.FORECAST.ETS.CONFINT(A2,$B$2:$B$73,$A$2:$A$73,0.95,24,1)</calculatedColumnFormula>
    </tableColumn>
    <tableColumn id="5" xr3:uid="{16612FCE-3F0D-4DFB-9CE7-D3FAA92E45CE}" name="Upper Confidence Bound(Выручка)" dataDxfId="76">
      <calculatedColumnFormula>C2+_xlfn.FORECAST.ETS.CONFINT(A2,$B$2:$B$73,$A$2:$A$73,0.95,24,1)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3BF99E-E358-4C39-899D-C479630D979C}" name="Table2" displayName="Table2" ref="A1:E97" totalsRowShown="0">
  <autoFilter ref="A1:E97" xr:uid="{5E3BF99E-E358-4C39-899D-C479630D979C}"/>
  <tableColumns count="5">
    <tableColumn id="1" xr3:uid="{6E2BC0EC-D6EA-40E4-982D-7DAE5276D497}" name="Месяц " dataDxfId="75"/>
    <tableColumn id="2" xr3:uid="{BC4552E2-AE1B-4989-A4EF-685D706C47E4}" name="Чистая прибыль"/>
    <tableColumn id="3" xr3:uid="{972DE465-438F-468F-BE69-54F4187F9665}" name="Forecast(Чистая прибыль)" dataDxfId="74">
      <calculatedColumnFormula>_xlfn.FORECAST.ETS(A2,$B$2:$B$73,$A$2:$A$73,12,1)</calculatedColumnFormula>
    </tableColumn>
    <tableColumn id="4" xr3:uid="{2BE8E0FD-0AEC-420B-8A17-42900E71E37C}" name="Lower Confidence Bound(Чистая прибыль)" dataDxfId="73">
      <calculatedColumnFormula>C2-_xlfn.FORECAST.ETS.CONFINT(A2,$B$2:$B$73,$A$2:$A$73,0.95,12,1)</calculatedColumnFormula>
    </tableColumn>
    <tableColumn id="5" xr3:uid="{6764BAB2-C261-40A3-944F-EAB6BE27CC44}" name="Upper Confidence Bound(Чистая прибыль)" dataDxfId="72">
      <calculatedColumnFormula>C2+_xlfn.FORECAST.ETS.CONFINT(A2,$B$2:$B$73,$A$2:$A$73,0.95,12,1)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461FD86-82F3-4405-BD1C-4627E7B5F16A}" name="Table3" displayName="Table3" ref="A1:E9" totalsRowShown="0">
  <autoFilter ref="A1:E9" xr:uid="{5461FD86-82F3-4405-BD1C-4627E7B5F16A}"/>
  <tableColumns count="5">
    <tableColumn id="1" xr3:uid="{9F25D24E-C43D-483D-A298-6DBCF004A529}" name="Месяц " dataDxfId="71"/>
    <tableColumn id="2" xr3:uid="{ABAAA061-B42C-4977-BD37-6BA310A50F5A}" name="Выручка" dataDxfId="70"/>
    <tableColumn id="3" xr3:uid="{BD426323-1B68-4099-A115-F44A832B316A}" name="Forecast(Выручка)" dataDxfId="69"/>
    <tableColumn id="4" xr3:uid="{A61BBC4B-67F2-43A5-B7FE-0CE1B9859557}" name="Lower Confidence Bound(Выручка)" dataDxfId="68"/>
    <tableColumn id="5" xr3:uid="{1DABA478-3710-4764-AEE3-9B71BDC5E8FA}" name="Upper Confidence Bound(Выручка)" dataDxfId="6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1E0074-2B33-4977-84A9-2BECACA04924}" name="Table4" displayName="Table4" ref="G1:H8" totalsRowShown="0">
  <autoFilter ref="G1:H8" xr:uid="{2C1E0074-2B33-4977-84A9-2BECACA04924}"/>
  <tableColumns count="2">
    <tableColumn id="1" xr3:uid="{9B41CB84-1C07-40FD-AFB7-00191723354A}" name="Statistic"/>
    <tableColumn id="2" xr3:uid="{B2989B54-2FB2-4BAD-80DA-0CB4840EB0A4}" name="Value" dataDxfId="6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81E44F-B9AA-4B19-859A-06211337FA9F}" name="Table5" displayName="Table5" ref="A1:E9" totalsRowShown="0">
  <autoFilter ref="A1:E9" xr:uid="{8881E44F-B9AA-4B19-859A-06211337FA9F}"/>
  <tableColumns count="5">
    <tableColumn id="1" xr3:uid="{0F515CA6-33E5-402B-92F2-C2BF002F7402}" name="Месяц " dataDxfId="65"/>
    <tableColumn id="2" xr3:uid="{210ECC5C-47C9-4ECE-8DC2-3784A4BCBF89}" name="Чистая прибыль" dataDxfId="64"/>
    <tableColumn id="3" xr3:uid="{BB28D2F8-EFA4-4B77-A485-A779D4969B67}" name="Forecast(Чистая прибыль)" dataDxfId="63"/>
    <tableColumn id="4" xr3:uid="{F6277066-21E8-4EA5-B0D0-21F78D8E58EE}" name="Lower Confidence Bound(Чистая прибыль)" dataDxfId="62"/>
    <tableColumn id="5" xr3:uid="{7847CC16-2C45-402E-982F-86C874FE3A8E}" name="Upper Confidence Bound(Чистая прибыль)" dataDxfId="6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7EB7F9-82EF-468C-B7AF-DDC042C6D327}" name="Table6" displayName="Table6" ref="A1:E9" totalsRowShown="0">
  <autoFilter ref="A1:E9" xr:uid="{357EB7F9-82EF-468C-B7AF-DDC042C6D327}"/>
  <tableColumns count="5">
    <tableColumn id="1" xr3:uid="{01A61A46-AE4B-4ED4-A78D-2C54F31C4297}" name="Месяц " dataDxfId="60"/>
    <tableColumn id="2" xr3:uid="{DD2ED6C5-9D87-4305-863D-F4B825DFB7A8}" name="Расходы суммарно" dataDxfId="59"/>
    <tableColumn id="3" xr3:uid="{AA03F940-B796-443C-A5DB-247A501E4D35}" name="Forecast(Расходы суммарно)" dataDxfId="58"/>
    <tableColumn id="4" xr3:uid="{3B4B037C-6CDC-4898-AC54-1E317AB01962}" name="Lower Confidence Bound(Расходы суммарно)" dataDxfId="57"/>
    <tableColumn id="5" xr3:uid="{FC526B25-3E01-4974-A2CF-B3C445ACB984}" name="Upper Confidence Bound(Расходы суммарно)" dataDxfId="5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964946-6544-4733-9D4E-55E7EF2579E5}" name="Table7" displayName="Table7" ref="G1:H8" totalsRowShown="0">
  <autoFilter ref="G1:H8" xr:uid="{E1964946-6544-4733-9D4E-55E7EF2579E5}"/>
  <tableColumns count="2">
    <tableColumn id="1" xr3:uid="{98A6A84E-8442-4353-A1F1-FC8CCB198AE7}" name="Statistic"/>
    <tableColumn id="2" xr3:uid="{92350C00-906A-4CD3-B496-0274978B584B}" name="Value" dataDxfId="5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162850E-2B34-4FE5-B7DB-95D1E28FEE8D}" name="Table8" displayName="Table8" ref="A1:E9" totalsRowShown="0">
  <autoFilter ref="A1:E9" xr:uid="{B162850E-2B34-4FE5-B7DB-95D1E28FEE8D}"/>
  <tableColumns count="5">
    <tableColumn id="1" xr3:uid="{91A5D669-D0C5-4586-BF4A-CF21214C4F22}" name="Месяц " dataDxfId="54"/>
    <tableColumn id="2" xr3:uid="{34A5EBD6-6599-4F59-9D6E-265F1C5716C9}" name="Валовая прибыль"/>
    <tableColumn id="3" xr3:uid="{DFE812DC-EEC5-4BE4-8474-3A2704881370}" name="Forecast(Валовая прибыль)" dataDxfId="53">
      <calculatedColumnFormula>_xlfn.FORECAST.ETS(A2,$B$2:$B$7,$A$2:$A$7,2,1)</calculatedColumnFormula>
    </tableColumn>
    <tableColumn id="4" xr3:uid="{A110E72F-77CD-4121-9413-55FFBD8DAA09}" name="Lower Confidence Bound(Валовая прибыль)" dataDxfId="52">
      <calculatedColumnFormula>C2-_xlfn.FORECAST.ETS.CONFINT(A2,$B$2:$B$7,$A$2:$A$7,0.95,2,1)</calculatedColumnFormula>
    </tableColumn>
    <tableColumn id="5" xr3:uid="{9DA9ED29-C2A3-4A42-A0CA-44021195FC51}" name="Upper Confidence Bound(Валовая прибыль)" dataDxfId="51">
      <calculatedColumnFormula>C2+_xlfn.FORECAST.ETS.CONFINT(A2,$B$2:$B$7,$A$2:$A$7,0.95,2,1)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C9190EF-FE40-49DA-958A-04F239A588F5}" name="Table9" displayName="Table9" ref="A1:E9" totalsRowShown="0">
  <autoFilter ref="A1:E9" xr:uid="{9C9190EF-FE40-49DA-958A-04F239A588F5}"/>
  <tableColumns count="5">
    <tableColumn id="1" xr3:uid="{2AE308CC-A1EF-462D-854F-67F020AEBD8E}" name="Timeline" dataDxfId="50"/>
    <tableColumn id="2" xr3:uid="{66D02CA8-4E0C-4C34-9637-D846FC16CA89}" name="Values" dataDxfId="49"/>
    <tableColumn id="3" xr3:uid="{B74D6B59-6030-4354-B155-4E4C78119B21}" name="Forecast" dataDxfId="48"/>
    <tableColumn id="4" xr3:uid="{EE8AFB2A-C6C8-4314-B96E-5C3360645CFC}" name="Lower Confidence Bound" dataDxfId="47"/>
    <tableColumn id="5" xr3:uid="{6A9EBBE6-0050-406D-A0AE-325CC51B0F92}" name="Upper Confidence Bound" dataDxfId="4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9585D61-B385-4835-9434-DA94A0D91155}" name="Table10" displayName="Table10" ref="G1:H8" totalsRowShown="0">
  <autoFilter ref="G1:H8" xr:uid="{C9585D61-B385-4835-9434-DA94A0D91155}"/>
  <tableColumns count="2">
    <tableColumn id="1" xr3:uid="{90F299AA-762A-4919-9845-541CC9938D6A}" name="Statistic"/>
    <tableColumn id="2" xr3:uid="{E3E71066-8DD1-4B1D-A642-E95D337F9B8D}" name="Value" dataDxfId="4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1F52FBE-E0BA-4892-873E-DE4FD85DD9F2}" name="Table13" displayName="Table13" ref="A1:E9" totalsRowShown="0">
  <autoFilter ref="A1:E9" xr:uid="{B1F52FBE-E0BA-4892-873E-DE4FD85DD9F2}"/>
  <tableColumns count="5">
    <tableColumn id="1" xr3:uid="{82FE492E-40B6-43F9-BC95-5F04FD706D30}" name="Месяц " dataDxfId="44"/>
    <tableColumn id="2" xr3:uid="{253565E8-1570-4B57-B8CE-8D4C4856E137}" name="Маржинальность" dataDxfId="43"/>
    <tableColumn id="3" xr3:uid="{8035C376-D9F5-455A-8D00-E35DD92AE4AB}" name="Forecast(Маржинальность)" dataDxfId="42"/>
    <tableColumn id="4" xr3:uid="{9695FA3A-0401-4335-A233-8DB423E00AD5}" name="Lower Confidence Bound(Маржинальность)" dataDxfId="41"/>
    <tableColumn id="5" xr3:uid="{FD70AAD5-EE33-4DA6-AEDF-2CEA67B440AE}" name="Upper Confidence Bound(Маржинальность)" dataDxfId="4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A1F7655-7288-4FAC-9CFD-7DCC72396648}" name="Table15" displayName="Table15" ref="A1:E9" totalsRowShown="0">
  <autoFilter ref="A1:E9" xr:uid="{BA1F7655-7288-4FAC-9CFD-7DCC72396648}"/>
  <tableColumns count="5">
    <tableColumn id="1" xr3:uid="{9471C7E8-C715-4B5C-BC35-4D142EFB0039}" name="Месяц " dataDxfId="39"/>
    <tableColumn id="2" xr3:uid="{87452D05-1CEF-4F9D-9D0B-F052AE0743E8}" name="Себестоимость" dataDxfId="38"/>
    <tableColumn id="3" xr3:uid="{A2DF3FD1-FB4F-4EDF-B037-ED0EEE4E1ADF}" name="Forecast(Себестоимость)" dataDxfId="37"/>
    <tableColumn id="4" xr3:uid="{C554BA7F-C5E0-489A-93F0-144079DA9F02}" name="Lower Confidence Bound(Себестоимость)" dataDxfId="36"/>
    <tableColumn id="5" xr3:uid="{7EF50598-C621-48F2-A237-E647EEA02610}" name="Upper Confidence Bound(Себестоимость)" dataDxfId="3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microsoft.com/office/2007/relationships/slicer" Target="../slicers/slicer2.xml"/><Relationship Id="rId2" Type="http://schemas.openxmlformats.org/officeDocument/2006/relationships/pivotTable" Target="../pivotTables/pivotTable2.xml"/><Relationship Id="rId16" Type="http://schemas.openxmlformats.org/officeDocument/2006/relationships/drawing" Target="../drawings/drawing1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16.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pivotTable" Target="../pivotTables/pivotTable17.xml"/><Relationship Id="rId7" Type="http://schemas.openxmlformats.org/officeDocument/2006/relationships/printerSettings" Target="../printerSettings/printerSettings2.bin"/><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28.xml"/><Relationship Id="rId3" Type="http://schemas.openxmlformats.org/officeDocument/2006/relationships/pivotTable" Target="../pivotTables/pivotTable23.xml"/><Relationship Id="rId7" Type="http://schemas.openxmlformats.org/officeDocument/2006/relationships/pivotTable" Target="../pivotTables/pivotTable27.xml"/><Relationship Id="rId2" Type="http://schemas.openxmlformats.org/officeDocument/2006/relationships/pivotTable" Target="../pivotTables/pivotTable22.xml"/><Relationship Id="rId1" Type="http://schemas.openxmlformats.org/officeDocument/2006/relationships/pivotTable" Target="../pivotTables/pivotTable21.xml"/><Relationship Id="rId6" Type="http://schemas.openxmlformats.org/officeDocument/2006/relationships/pivotTable" Target="../pivotTables/pivotTable26.xml"/><Relationship Id="rId11" Type="http://schemas.microsoft.com/office/2007/relationships/slicer" Target="../slicers/slicer3.xml"/><Relationship Id="rId5" Type="http://schemas.openxmlformats.org/officeDocument/2006/relationships/pivotTable" Target="../pivotTables/pivotTable25.xml"/><Relationship Id="rId10" Type="http://schemas.openxmlformats.org/officeDocument/2006/relationships/drawing" Target="../drawings/drawing13.xml"/><Relationship Id="rId4" Type="http://schemas.openxmlformats.org/officeDocument/2006/relationships/pivotTable" Target="../pivotTables/pivotTable24.xml"/><Relationship Id="rId9" Type="http://schemas.openxmlformats.org/officeDocument/2006/relationships/printerSettings" Target="../printerSettings/printerSettings3.bin"/></Relationships>
</file>

<file path=xl/worksheets/_rels/sheet18.xml.rels><?xml version="1.0" encoding="UTF-8" standalone="yes"?>
<Relationships xmlns="http://schemas.openxmlformats.org/package/2006/relationships"><Relationship Id="rId8" Type="http://schemas.openxmlformats.org/officeDocument/2006/relationships/pivotTable" Target="../pivotTables/pivotTable36.xml"/><Relationship Id="rId3" Type="http://schemas.openxmlformats.org/officeDocument/2006/relationships/pivotTable" Target="../pivotTables/pivotTable31.xml"/><Relationship Id="rId7" Type="http://schemas.openxmlformats.org/officeDocument/2006/relationships/pivotTable" Target="../pivotTables/pivotTable35.xml"/><Relationship Id="rId12" Type="http://schemas.microsoft.com/office/2007/relationships/slicer" Target="../slicers/slicer4.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pivotTable" Target="../pivotTables/pivotTable34.xml"/><Relationship Id="rId11" Type="http://schemas.openxmlformats.org/officeDocument/2006/relationships/drawing" Target="../drawings/drawing14.xml"/><Relationship Id="rId5" Type="http://schemas.openxmlformats.org/officeDocument/2006/relationships/pivotTable" Target="../pivotTables/pivotTable33.xml"/><Relationship Id="rId10" Type="http://schemas.openxmlformats.org/officeDocument/2006/relationships/printerSettings" Target="../printerSettings/printerSettings4.bin"/><Relationship Id="rId4" Type="http://schemas.openxmlformats.org/officeDocument/2006/relationships/pivotTable" Target="../pivotTables/pivotTable32.xml"/><Relationship Id="rId9" Type="http://schemas.openxmlformats.org/officeDocument/2006/relationships/pivotTable" Target="../pivotTables/pivotTable3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9.xml"/><Relationship Id="rId1" Type="http://schemas.openxmlformats.org/officeDocument/2006/relationships/pivotTable" Target="../pivotTables/pivotTable38.xml"/><Relationship Id="rId4"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87120-9207-46E0-BFFF-7D4196413C9D}">
  <sheetPr codeName="Sheet12"/>
  <dimension ref="A2:M47"/>
  <sheetViews>
    <sheetView showGridLines="0" tabSelected="1" zoomScaleNormal="100" workbookViewId="0"/>
  </sheetViews>
  <sheetFormatPr defaultRowHeight="15" x14ac:dyDescent="0.25"/>
  <sheetData>
    <row r="2" spans="1:13" x14ac:dyDescent="0.25">
      <c r="C2" s="44"/>
      <c r="D2" s="44"/>
      <c r="E2" s="44"/>
      <c r="F2" s="44"/>
      <c r="G2" s="44"/>
      <c r="H2" s="44"/>
      <c r="I2" s="44"/>
      <c r="J2" s="44"/>
      <c r="K2" s="44"/>
      <c r="L2" s="44"/>
      <c r="M2" s="44"/>
    </row>
    <row r="3" spans="1:13" x14ac:dyDescent="0.25">
      <c r="C3" s="44"/>
      <c r="D3" s="44"/>
      <c r="E3" s="44"/>
      <c r="F3" s="44"/>
      <c r="G3" s="44"/>
      <c r="H3" s="44"/>
      <c r="I3" s="44"/>
      <c r="J3" s="44"/>
      <c r="K3" s="44"/>
      <c r="L3" s="44"/>
      <c r="M3" s="44"/>
    </row>
    <row r="4" spans="1:13" x14ac:dyDescent="0.25">
      <c r="C4" s="44"/>
      <c r="D4" s="44"/>
      <c r="E4" s="44"/>
      <c r="F4" s="44"/>
      <c r="G4" s="44"/>
      <c r="H4" s="44"/>
      <c r="I4" s="44"/>
      <c r="J4" s="44"/>
      <c r="K4" s="44"/>
      <c r="L4" s="44"/>
      <c r="M4" s="44"/>
    </row>
    <row r="5" spans="1:13" x14ac:dyDescent="0.25">
      <c r="C5" s="44"/>
      <c r="D5" s="44"/>
      <c r="E5" s="44"/>
      <c r="F5" s="44"/>
      <c r="G5" s="44"/>
      <c r="H5" s="44"/>
      <c r="I5" s="44"/>
      <c r="J5" s="44"/>
      <c r="K5" s="44"/>
      <c r="L5" s="44"/>
      <c r="M5" s="44"/>
    </row>
    <row r="6" spans="1:13" x14ac:dyDescent="0.25">
      <c r="A6" s="43"/>
      <c r="C6" s="44"/>
      <c r="D6" s="44"/>
      <c r="E6" s="44"/>
      <c r="F6" s="44"/>
      <c r="G6" s="44"/>
      <c r="H6" s="44"/>
      <c r="I6" s="44"/>
      <c r="J6" s="44"/>
      <c r="K6" s="44"/>
      <c r="L6" s="44"/>
      <c r="M6" s="44"/>
    </row>
    <row r="7" spans="1:13" x14ac:dyDescent="0.25">
      <c r="C7" s="44"/>
      <c r="D7" s="44"/>
      <c r="E7" s="44"/>
      <c r="F7" s="44"/>
      <c r="G7" s="44"/>
      <c r="H7" s="44"/>
      <c r="I7" s="44"/>
      <c r="J7" s="44"/>
      <c r="K7" s="44"/>
      <c r="L7" s="44"/>
      <c r="M7" s="44"/>
    </row>
    <row r="8" spans="1:13" x14ac:dyDescent="0.25">
      <c r="C8" s="44"/>
      <c r="D8" s="44"/>
      <c r="E8" s="44"/>
      <c r="F8" s="44"/>
      <c r="G8" s="44"/>
      <c r="H8" s="44"/>
      <c r="I8" s="44"/>
      <c r="J8" s="44"/>
      <c r="K8" s="44"/>
      <c r="L8" s="44"/>
      <c r="M8" s="44"/>
    </row>
    <row r="9" spans="1:13" x14ac:dyDescent="0.25">
      <c r="C9" s="44"/>
      <c r="D9" s="44"/>
      <c r="E9" s="44"/>
      <c r="F9" s="44"/>
      <c r="G9" s="44"/>
      <c r="H9" s="44"/>
      <c r="I9" s="44"/>
      <c r="J9" s="44"/>
      <c r="K9" s="44"/>
      <c r="L9" s="44"/>
      <c r="M9" s="44"/>
    </row>
    <row r="10" spans="1:13" x14ac:dyDescent="0.25">
      <c r="C10" s="44"/>
      <c r="D10" s="44"/>
      <c r="E10" s="44"/>
      <c r="F10" s="44"/>
      <c r="G10" s="44"/>
      <c r="H10" s="44"/>
      <c r="I10" s="44"/>
      <c r="J10" s="44"/>
      <c r="K10" s="44"/>
      <c r="L10" s="44"/>
      <c r="M10" s="44"/>
    </row>
    <row r="11" spans="1:13" x14ac:dyDescent="0.25">
      <c r="C11" s="44"/>
      <c r="D11" s="44"/>
      <c r="E11" s="44"/>
      <c r="F11" s="44"/>
      <c r="G11" s="44"/>
      <c r="H11" s="44"/>
      <c r="I11" s="44"/>
      <c r="J11" s="44"/>
      <c r="K11" s="44"/>
      <c r="L11" s="44"/>
      <c r="M11" s="44"/>
    </row>
    <row r="12" spans="1:13" x14ac:dyDescent="0.25">
      <c r="C12" s="44"/>
      <c r="D12" s="44"/>
      <c r="E12" s="44"/>
      <c r="F12" s="44"/>
      <c r="G12" s="44"/>
      <c r="H12" s="44"/>
      <c r="I12" s="44"/>
      <c r="J12" s="44"/>
      <c r="K12" s="44"/>
      <c r="L12" s="44"/>
      <c r="M12" s="44"/>
    </row>
    <row r="13" spans="1:13" x14ac:dyDescent="0.25">
      <c r="C13" s="44"/>
      <c r="D13" s="44"/>
      <c r="E13" s="44"/>
      <c r="F13" s="44"/>
      <c r="G13" s="44"/>
      <c r="H13" s="44"/>
      <c r="I13" s="44"/>
      <c r="J13" s="44"/>
      <c r="K13" s="44"/>
      <c r="L13" s="44"/>
      <c r="M13" s="44"/>
    </row>
    <row r="14" spans="1:13" x14ac:dyDescent="0.25">
      <c r="C14" s="44"/>
      <c r="D14" s="44"/>
      <c r="E14" s="44"/>
      <c r="F14" s="44"/>
      <c r="G14" s="44"/>
      <c r="H14" s="44"/>
      <c r="I14" s="44"/>
      <c r="J14" s="44"/>
      <c r="K14" s="44"/>
      <c r="L14" s="44"/>
      <c r="M14" s="44"/>
    </row>
    <row r="15" spans="1:13" x14ac:dyDescent="0.25">
      <c r="C15" s="44"/>
      <c r="D15" s="44"/>
      <c r="E15" s="44"/>
      <c r="F15" s="44"/>
      <c r="G15" s="44"/>
      <c r="H15" s="44"/>
      <c r="I15" s="44"/>
      <c r="J15" s="44"/>
      <c r="K15" s="44"/>
      <c r="L15" s="44"/>
      <c r="M15" s="44"/>
    </row>
    <row r="42" spans="2:2" x14ac:dyDescent="0.25">
      <c r="B42" s="55" t="s">
        <v>90</v>
      </c>
    </row>
    <row r="43" spans="2:2" x14ac:dyDescent="0.25">
      <c r="B43" s="56" t="s">
        <v>91</v>
      </c>
    </row>
    <row r="44" spans="2:2" x14ac:dyDescent="0.25">
      <c r="B44" s="57" t="s">
        <v>92</v>
      </c>
    </row>
    <row r="45" spans="2:2" x14ac:dyDescent="0.25">
      <c r="B45" s="58" t="s">
        <v>93</v>
      </c>
    </row>
    <row r="46" spans="2:2" x14ac:dyDescent="0.25">
      <c r="B46" s="59" t="s">
        <v>94</v>
      </c>
    </row>
    <row r="47" spans="2:2" x14ac:dyDescent="0.25">
      <c r="B47" s="60" t="s">
        <v>95</v>
      </c>
    </row>
  </sheetData>
  <sheetProtection sheet="1" scenarios="1" selectLockedCells="1" sort="0" autoFilter="0"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8A202-F686-4AF2-986E-D0E8E03DC641}">
  <sheetPr codeName="Sheet1"/>
  <dimension ref="A1:CA55"/>
  <sheetViews>
    <sheetView zoomScale="85" zoomScaleNormal="85" workbookViewId="0">
      <pane xSplit="1" ySplit="1" topLeftCell="B27" activePane="bottomRight" state="frozen"/>
      <selection pane="topRight" activeCell="B1" sqref="B1"/>
      <selection pane="bottomLeft" activeCell="A2" sqref="A2"/>
      <selection pane="bottomRight" activeCell="A50" sqref="A50"/>
    </sheetView>
  </sheetViews>
  <sheetFormatPr defaultColWidth="8.85546875" defaultRowHeight="15" x14ac:dyDescent="0.25"/>
  <cols>
    <col min="1" max="1" width="45.140625" style="2" bestFit="1" customWidth="1"/>
    <col min="2" max="4" width="13.7109375" style="14" customWidth="1"/>
    <col min="5" max="7" width="14.42578125" style="14" bestFit="1" customWidth="1"/>
    <col min="8" max="13" width="13.7109375" style="14" customWidth="1"/>
    <col min="14" max="14" width="15" style="34" bestFit="1" customWidth="1"/>
    <col min="15" max="18" width="13.7109375" style="14" customWidth="1"/>
    <col min="19" max="19" width="15.5703125" style="14" bestFit="1" customWidth="1"/>
    <col min="20" max="26" width="13.7109375" style="14" customWidth="1"/>
    <col min="27" max="27" width="15" style="34" bestFit="1" customWidth="1"/>
    <col min="28" max="39" width="13.7109375" style="14" customWidth="1"/>
    <col min="40" max="40" width="15" style="34" bestFit="1" customWidth="1"/>
    <col min="41" max="52" width="13.7109375" style="14" customWidth="1"/>
    <col min="53" max="53" width="13.7109375" style="34" customWidth="1"/>
    <col min="54" max="65" width="13.7109375" style="14" customWidth="1"/>
    <col min="66" max="66" width="15" style="34" bestFit="1" customWidth="1"/>
    <col min="67" max="78" width="13.7109375" style="14" customWidth="1"/>
    <col min="79" max="79" width="13.7109375" style="34" customWidth="1"/>
    <col min="80" max="97" width="13.7109375" style="2" customWidth="1"/>
    <col min="98" max="16384" width="8.85546875" style="2"/>
  </cols>
  <sheetData>
    <row r="1" spans="1:79" x14ac:dyDescent="0.25">
      <c r="B1" s="13">
        <v>42736</v>
      </c>
      <c r="C1" s="13">
        <v>42767</v>
      </c>
      <c r="D1" s="13">
        <v>42795</v>
      </c>
      <c r="E1" s="13">
        <v>42826</v>
      </c>
      <c r="F1" s="13">
        <v>42856</v>
      </c>
      <c r="G1" s="13">
        <v>42887</v>
      </c>
      <c r="H1" s="13">
        <v>42917</v>
      </c>
      <c r="I1" s="13">
        <v>42948</v>
      </c>
      <c r="J1" s="13">
        <v>42979</v>
      </c>
      <c r="K1" s="13">
        <v>43009</v>
      </c>
      <c r="L1" s="13">
        <v>43040</v>
      </c>
      <c r="M1" s="13">
        <v>43070</v>
      </c>
      <c r="N1" s="22" t="s">
        <v>16</v>
      </c>
      <c r="O1" s="13">
        <v>43101</v>
      </c>
      <c r="P1" s="13">
        <v>43132</v>
      </c>
      <c r="Q1" s="13">
        <v>43160</v>
      </c>
      <c r="R1" s="13">
        <v>43191</v>
      </c>
      <c r="S1" s="13">
        <v>43221</v>
      </c>
      <c r="T1" s="13">
        <v>43252</v>
      </c>
      <c r="U1" s="13">
        <v>43282</v>
      </c>
      <c r="V1" s="13">
        <v>43313</v>
      </c>
      <c r="W1" s="13">
        <v>43344</v>
      </c>
      <c r="X1" s="13">
        <v>43374</v>
      </c>
      <c r="Y1" s="13">
        <v>43405</v>
      </c>
      <c r="Z1" s="13">
        <v>43435</v>
      </c>
      <c r="AA1" s="22" t="s">
        <v>17</v>
      </c>
      <c r="AB1" s="13">
        <v>43466</v>
      </c>
      <c r="AC1" s="13">
        <v>43497</v>
      </c>
      <c r="AD1" s="13">
        <v>43525</v>
      </c>
      <c r="AE1" s="13">
        <v>43556</v>
      </c>
      <c r="AF1" s="13">
        <v>43586</v>
      </c>
      <c r="AG1" s="13">
        <v>43617</v>
      </c>
      <c r="AH1" s="13">
        <v>43647</v>
      </c>
      <c r="AI1" s="13">
        <v>43678</v>
      </c>
      <c r="AJ1" s="13">
        <v>43709</v>
      </c>
      <c r="AK1" s="13">
        <v>43739</v>
      </c>
      <c r="AL1" s="13">
        <v>43770</v>
      </c>
      <c r="AM1" s="13">
        <v>43800</v>
      </c>
      <c r="AN1" s="22" t="s">
        <v>18</v>
      </c>
      <c r="AO1" s="13">
        <v>43831</v>
      </c>
      <c r="AP1" s="13">
        <v>43862</v>
      </c>
      <c r="AQ1" s="13">
        <v>43891</v>
      </c>
      <c r="AR1" s="13">
        <v>43922</v>
      </c>
      <c r="AS1" s="13">
        <v>43952</v>
      </c>
      <c r="AT1" s="13">
        <v>43983</v>
      </c>
      <c r="AU1" s="13">
        <v>44013</v>
      </c>
      <c r="AV1" s="13">
        <v>44044</v>
      </c>
      <c r="AW1" s="13">
        <v>44075</v>
      </c>
      <c r="AX1" s="13">
        <v>44105</v>
      </c>
      <c r="AY1" s="13">
        <v>44136</v>
      </c>
      <c r="AZ1" s="13">
        <v>44166</v>
      </c>
      <c r="BA1" s="22" t="s">
        <v>19</v>
      </c>
      <c r="BB1" s="13">
        <v>44197</v>
      </c>
      <c r="BC1" s="13">
        <v>44228</v>
      </c>
      <c r="BD1" s="13">
        <v>44256</v>
      </c>
      <c r="BE1" s="13">
        <v>44287</v>
      </c>
      <c r="BF1" s="13">
        <v>44317</v>
      </c>
      <c r="BG1" s="13">
        <v>44348</v>
      </c>
      <c r="BH1" s="13">
        <v>44378</v>
      </c>
      <c r="BI1" s="13">
        <v>44409</v>
      </c>
      <c r="BJ1" s="13">
        <v>44440</v>
      </c>
      <c r="BK1" s="13">
        <v>44470</v>
      </c>
      <c r="BL1" s="13">
        <v>44501</v>
      </c>
      <c r="BM1" s="13">
        <v>44531</v>
      </c>
      <c r="BN1" s="22" t="s">
        <v>20</v>
      </c>
      <c r="BO1" s="13">
        <v>44562</v>
      </c>
      <c r="BP1" s="13">
        <v>44593</v>
      </c>
      <c r="BQ1" s="13">
        <v>44621</v>
      </c>
      <c r="BR1" s="13">
        <v>44652</v>
      </c>
      <c r="BS1" s="13">
        <v>44682</v>
      </c>
      <c r="BT1" s="13">
        <v>44713</v>
      </c>
      <c r="BU1" s="13">
        <v>44743</v>
      </c>
      <c r="BV1" s="13">
        <v>44774</v>
      </c>
      <c r="BW1" s="13">
        <v>44805</v>
      </c>
      <c r="BX1" s="13">
        <v>44835</v>
      </c>
      <c r="BY1" s="13">
        <v>44866</v>
      </c>
      <c r="BZ1" s="13">
        <v>44896</v>
      </c>
      <c r="CA1" s="34" t="s">
        <v>21</v>
      </c>
    </row>
    <row r="2" spans="1:79" s="3" customFormat="1" x14ac:dyDescent="0.25">
      <c r="A2" s="3" t="s">
        <v>12</v>
      </c>
      <c r="B2" s="4">
        <v>8410477</v>
      </c>
      <c r="C2" s="4">
        <v>8781008</v>
      </c>
      <c r="D2" s="4">
        <v>9994730</v>
      </c>
      <c r="E2" s="4">
        <v>10482743</v>
      </c>
      <c r="F2" s="4">
        <v>13324007</v>
      </c>
      <c r="G2" s="4">
        <v>12665976</v>
      </c>
      <c r="H2" s="4">
        <v>13362147</v>
      </c>
      <c r="I2" s="4">
        <v>12258656</v>
      </c>
      <c r="J2" s="4">
        <v>13790745</v>
      </c>
      <c r="K2" s="4">
        <v>13104174</v>
      </c>
      <c r="L2" s="4">
        <v>10410288</v>
      </c>
      <c r="M2" s="4">
        <v>14161423</v>
      </c>
      <c r="N2" s="23">
        <f>SUM(B2:M2)</f>
        <v>140746374</v>
      </c>
      <c r="O2" s="4">
        <v>8666531</v>
      </c>
      <c r="P2" s="4">
        <v>9471679</v>
      </c>
      <c r="Q2" s="4">
        <v>11074954</v>
      </c>
      <c r="R2" s="4">
        <v>13081063</v>
      </c>
      <c r="S2" s="4">
        <v>13754112</v>
      </c>
      <c r="T2" s="4">
        <v>12515143</v>
      </c>
      <c r="U2" s="4">
        <v>13934231</v>
      </c>
      <c r="V2" s="4">
        <v>12916943</v>
      </c>
      <c r="W2" s="4">
        <v>15072902</v>
      </c>
      <c r="X2" s="4">
        <v>14590559</v>
      </c>
      <c r="Y2" s="4">
        <v>12189742</v>
      </c>
      <c r="Z2" s="4">
        <v>12901234</v>
      </c>
      <c r="AA2" s="23">
        <f>SUM(O2:Z2)</f>
        <v>150169093</v>
      </c>
      <c r="AB2" s="4">
        <v>6550883</v>
      </c>
      <c r="AC2" s="4">
        <v>8363283</v>
      </c>
      <c r="AD2" s="4">
        <v>7935684</v>
      </c>
      <c r="AE2" s="4">
        <v>11031285</v>
      </c>
      <c r="AF2" s="4">
        <v>12192533</v>
      </c>
      <c r="AG2" s="4">
        <v>10036330</v>
      </c>
      <c r="AH2" s="4">
        <v>13989437</v>
      </c>
      <c r="AI2" s="4">
        <v>11808377</v>
      </c>
      <c r="AJ2" s="4">
        <v>13561815</v>
      </c>
      <c r="AK2" s="4">
        <v>9864028</v>
      </c>
      <c r="AL2" s="4">
        <v>10806325</v>
      </c>
      <c r="AM2" s="4">
        <v>11999947</v>
      </c>
      <c r="AN2" s="23">
        <f>SUM(AB2:AM2)</f>
        <v>128139927</v>
      </c>
      <c r="AO2" s="4">
        <v>5978967</v>
      </c>
      <c r="AP2" s="4">
        <v>7583876</v>
      </c>
      <c r="AQ2" s="4">
        <v>12524631</v>
      </c>
      <c r="AR2" s="4">
        <v>11577352.359999999</v>
      </c>
      <c r="AS2" s="4">
        <v>12947927.33</v>
      </c>
      <c r="AT2" s="4">
        <v>11902556</v>
      </c>
      <c r="AU2" s="4">
        <v>11413037</v>
      </c>
      <c r="AV2" s="4">
        <v>11491012</v>
      </c>
      <c r="AW2" s="4">
        <v>10323500</v>
      </c>
      <c r="AX2" s="4">
        <v>12795408</v>
      </c>
      <c r="AY2" s="4">
        <v>12202888</v>
      </c>
      <c r="AZ2" s="4">
        <v>12398731</v>
      </c>
      <c r="BA2" s="23">
        <f>SUM(AO2:AZ2)</f>
        <v>133139885.69</v>
      </c>
      <c r="BB2" s="4">
        <v>6667726</v>
      </c>
      <c r="BC2" s="4">
        <v>7611996</v>
      </c>
      <c r="BD2" s="4">
        <v>12074039</v>
      </c>
      <c r="BE2" s="4">
        <v>13512832</v>
      </c>
      <c r="BF2" s="4">
        <v>11412354.42</v>
      </c>
      <c r="BG2" s="4">
        <v>11694165</v>
      </c>
      <c r="BH2" s="4">
        <v>10900540</v>
      </c>
      <c r="BI2" s="4">
        <v>11301926</v>
      </c>
      <c r="BJ2" s="4">
        <v>12700295</v>
      </c>
      <c r="BK2" s="4">
        <v>11905965</v>
      </c>
      <c r="BL2" s="4">
        <v>9747352</v>
      </c>
      <c r="BM2" s="4">
        <v>22718925</v>
      </c>
      <c r="BN2" s="23">
        <f>SUM(BB2:BM2)</f>
        <v>142248115.42000002</v>
      </c>
      <c r="BO2" s="4">
        <v>6179301.2800000003</v>
      </c>
      <c r="BP2" s="4">
        <v>8244750.7699999996</v>
      </c>
      <c r="BQ2" s="4">
        <v>17640985.559999999</v>
      </c>
      <c r="BR2" s="4">
        <v>16545016.859999999</v>
      </c>
      <c r="BS2" s="4">
        <v>14569736.24</v>
      </c>
      <c r="BT2" s="4">
        <v>14177801.85</v>
      </c>
      <c r="BU2" s="4">
        <v>12722329.810000001</v>
      </c>
      <c r="BV2" s="4">
        <v>14065414.59</v>
      </c>
      <c r="BW2" s="4">
        <v>13465585.890000001</v>
      </c>
      <c r="BX2" s="4">
        <v>16183936.4</v>
      </c>
      <c r="BY2" s="4">
        <v>10971669.289999999</v>
      </c>
      <c r="BZ2" s="4">
        <v>14337958.02</v>
      </c>
      <c r="CA2" s="26">
        <f>SUM(BO2:BZ2)</f>
        <v>159104486.56000003</v>
      </c>
    </row>
    <row r="3" spans="1:79" s="11" customFormat="1" x14ac:dyDescent="0.25">
      <c r="A3" s="15" t="s">
        <v>2</v>
      </c>
      <c r="B3" s="10"/>
      <c r="C3" s="10"/>
      <c r="D3" s="10"/>
      <c r="E3" s="10"/>
      <c r="F3" s="10"/>
      <c r="G3" s="10"/>
      <c r="H3" s="10"/>
      <c r="I3" s="10"/>
      <c r="J3" s="10"/>
      <c r="K3" s="10"/>
      <c r="L3" s="10"/>
      <c r="M3" s="10"/>
      <c r="N3" s="24"/>
      <c r="O3" s="10">
        <f t="shared" ref="O3:AT3" si="0">(O2/B2)-1</f>
        <v>3.0444646599711245E-2</v>
      </c>
      <c r="P3" s="10">
        <f t="shared" si="0"/>
        <v>7.8655092900496104E-2</v>
      </c>
      <c r="Q3" s="10">
        <f t="shared" si="0"/>
        <v>0.10807935782157196</v>
      </c>
      <c r="R3" s="10">
        <f t="shared" si="0"/>
        <v>0.24786642198516162</v>
      </c>
      <c r="S3" s="10">
        <f t="shared" si="0"/>
        <v>3.2280454370821055E-2</v>
      </c>
      <c r="T3" s="10">
        <f t="shared" si="0"/>
        <v>-1.1908517748651981E-2</v>
      </c>
      <c r="U3" s="10">
        <f t="shared" si="0"/>
        <v>4.2813778354631182E-2</v>
      </c>
      <c r="V3" s="10">
        <f t="shared" si="0"/>
        <v>5.3699769371128525E-2</v>
      </c>
      <c r="W3" s="10">
        <f t="shared" si="0"/>
        <v>9.2972279597657748E-2</v>
      </c>
      <c r="X3" s="10">
        <f t="shared" si="0"/>
        <v>0.11342836259652844</v>
      </c>
      <c r="Y3" s="10">
        <f t="shared" si="0"/>
        <v>0.17093225470803497</v>
      </c>
      <c r="Z3" s="10">
        <f t="shared" si="0"/>
        <v>-8.8987455568554141E-2</v>
      </c>
      <c r="AA3" s="24">
        <f t="shared" si="0"/>
        <v>6.6948218502595358E-2</v>
      </c>
      <c r="AB3" s="10">
        <f t="shared" si="0"/>
        <v>-0.24411705214000845</v>
      </c>
      <c r="AC3" s="10">
        <f t="shared" si="0"/>
        <v>-0.1170221245884705</v>
      </c>
      <c r="AD3" s="10">
        <f t="shared" si="0"/>
        <v>-0.28345670781115662</v>
      </c>
      <c r="AE3" s="10">
        <f t="shared" si="0"/>
        <v>-0.15669812155174234</v>
      </c>
      <c r="AF3" s="10">
        <f t="shared" si="0"/>
        <v>-0.1135354285322091</v>
      </c>
      <c r="AG3" s="10">
        <f t="shared" si="0"/>
        <v>-0.19806509602007749</v>
      </c>
      <c r="AH3" s="10">
        <f t="shared" si="0"/>
        <v>3.9618978614608391E-3</v>
      </c>
      <c r="AI3" s="10">
        <f t="shared" si="0"/>
        <v>-8.5822628465574202E-2</v>
      </c>
      <c r="AJ3" s="10">
        <f t="shared" si="0"/>
        <v>-0.10025189575305404</v>
      </c>
      <c r="AK3" s="10">
        <f t="shared" si="0"/>
        <v>-0.32394447669893933</v>
      </c>
      <c r="AL3" s="10">
        <f t="shared" si="0"/>
        <v>-0.11349026090954184</v>
      </c>
      <c r="AM3" s="10">
        <f t="shared" si="0"/>
        <v>-6.9860526520176269E-2</v>
      </c>
      <c r="AN3" s="24">
        <f t="shared" si="0"/>
        <v>-0.14669573851658013</v>
      </c>
      <c r="AO3" s="10">
        <f t="shared" si="0"/>
        <v>-8.73036505155107E-2</v>
      </c>
      <c r="AP3" s="10">
        <f t="shared" si="0"/>
        <v>-9.3193904833783536E-2</v>
      </c>
      <c r="AQ3" s="10">
        <f t="shared" si="0"/>
        <v>0.5782673554037685</v>
      </c>
      <c r="AR3" s="10">
        <f t="shared" si="0"/>
        <v>4.9501699937949173E-2</v>
      </c>
      <c r="AS3" s="10">
        <f t="shared" si="0"/>
        <v>6.1955487838335266E-2</v>
      </c>
      <c r="AT3" s="10">
        <f t="shared" si="0"/>
        <v>0.18594705435154091</v>
      </c>
      <c r="AU3" s="10">
        <f t="shared" ref="AU3:BZ3" si="1">(AU2/AH2)-1</f>
        <v>-0.18416752582680773</v>
      </c>
      <c r="AV3" s="10">
        <f t="shared" si="1"/>
        <v>-2.6876259116727086E-2</v>
      </c>
      <c r="AW3" s="10">
        <f t="shared" si="1"/>
        <v>-0.23878182971821982</v>
      </c>
      <c r="AX3" s="10">
        <f t="shared" si="1"/>
        <v>0.29717879957356153</v>
      </c>
      <c r="AY3" s="10">
        <f t="shared" si="1"/>
        <v>0.12923570223919789</v>
      </c>
      <c r="AZ3" s="10">
        <f t="shared" si="1"/>
        <v>3.3232146775314941E-2</v>
      </c>
      <c r="BA3" s="24">
        <f t="shared" si="1"/>
        <v>3.9019521916849431E-2</v>
      </c>
      <c r="BB3" s="10">
        <f t="shared" si="1"/>
        <v>0.11519698971410941</v>
      </c>
      <c r="BC3" s="10">
        <f t="shared" si="1"/>
        <v>3.7078665315730674E-3</v>
      </c>
      <c r="BD3" s="10">
        <f t="shared" si="1"/>
        <v>-3.5976469087193097E-2</v>
      </c>
      <c r="BE3" s="10">
        <f t="shared" si="1"/>
        <v>0.16717808872148732</v>
      </c>
      <c r="BF3" s="10">
        <f t="shared" si="1"/>
        <v>-0.11859604018954595</v>
      </c>
      <c r="BG3" s="10">
        <f t="shared" si="1"/>
        <v>-1.7508088178707193E-2</v>
      </c>
      <c r="BH3" s="10">
        <f t="shared" si="1"/>
        <v>-4.4904524536282464E-2</v>
      </c>
      <c r="BI3" s="10">
        <f t="shared" si="1"/>
        <v>-1.6455121620271518E-2</v>
      </c>
      <c r="BJ3" s="10">
        <f t="shared" si="1"/>
        <v>0.23023151063108438</v>
      </c>
      <c r="BK3" s="10">
        <f t="shared" si="1"/>
        <v>-6.9512672046096569E-2</v>
      </c>
      <c r="BL3" s="10">
        <f t="shared" si="1"/>
        <v>-0.20122580818573443</v>
      </c>
      <c r="BM3" s="10">
        <f t="shared" si="1"/>
        <v>0.83235889221243697</v>
      </c>
      <c r="BN3" s="24">
        <f t="shared" si="1"/>
        <v>6.8410977542878726E-2</v>
      </c>
      <c r="BO3" s="10">
        <f t="shared" si="1"/>
        <v>-7.3252068246355662E-2</v>
      </c>
      <c r="BP3" s="10">
        <f t="shared" si="1"/>
        <v>8.3125998752495267E-2</v>
      </c>
      <c r="BQ3" s="10">
        <f t="shared" si="1"/>
        <v>0.46106746549352695</v>
      </c>
      <c r="BR3" s="10">
        <f t="shared" si="1"/>
        <v>0.22439299622758568</v>
      </c>
      <c r="BS3" s="10">
        <f t="shared" si="1"/>
        <v>0.27666349149363345</v>
      </c>
      <c r="BT3" s="10">
        <f t="shared" si="1"/>
        <v>0.21238257284722772</v>
      </c>
      <c r="BU3" s="10">
        <f t="shared" si="1"/>
        <v>0.16712840006091456</v>
      </c>
      <c r="BV3" s="10">
        <f t="shared" si="1"/>
        <v>0.24451483667474028</v>
      </c>
      <c r="BW3" s="10">
        <f t="shared" si="1"/>
        <v>6.0257725509525573E-2</v>
      </c>
      <c r="BX3" s="10">
        <f t="shared" si="1"/>
        <v>0.35931328539937768</v>
      </c>
      <c r="BY3" s="10">
        <f t="shared" si="1"/>
        <v>0.12560511716412814</v>
      </c>
      <c r="BZ3" s="10">
        <f t="shared" si="1"/>
        <v>-0.36889804337133036</v>
      </c>
      <c r="CA3" s="24">
        <f>(CA2/BN2)-1</f>
        <v>0.1184997853239047</v>
      </c>
    </row>
    <row r="4" spans="1:79" s="5" customFormat="1" x14ac:dyDescent="0.25">
      <c r="B4" s="8"/>
      <c r="C4" s="8"/>
      <c r="D4" s="8"/>
      <c r="E4" s="8"/>
      <c r="F4" s="8"/>
      <c r="G4" s="8"/>
      <c r="H4" s="8"/>
      <c r="I4" s="8"/>
      <c r="J4" s="8"/>
      <c r="K4" s="8"/>
      <c r="L4" s="8"/>
      <c r="M4" s="8"/>
      <c r="N4" s="25"/>
      <c r="O4" s="8"/>
      <c r="P4" s="8"/>
      <c r="Q4" s="8"/>
      <c r="R4" s="8"/>
      <c r="S4" s="8"/>
      <c r="T4" s="8"/>
      <c r="U4" s="8"/>
      <c r="V4" s="8"/>
      <c r="W4" s="8"/>
      <c r="X4" s="8"/>
      <c r="Y4" s="8"/>
      <c r="Z4" s="8"/>
      <c r="AA4" s="25"/>
      <c r="AB4" s="8"/>
      <c r="AC4" s="8"/>
      <c r="AD4" s="8"/>
      <c r="AE4" s="8"/>
      <c r="AF4" s="8"/>
      <c r="AG4" s="8"/>
      <c r="AH4" s="8"/>
      <c r="AI4" s="8"/>
      <c r="AJ4" s="8"/>
      <c r="AK4" s="8"/>
      <c r="AL4" s="8"/>
      <c r="AM4" s="8"/>
      <c r="AN4" s="25"/>
      <c r="AO4" s="8"/>
      <c r="AP4" s="8"/>
      <c r="AQ4" s="8"/>
      <c r="AR4" s="8"/>
      <c r="AS4" s="8"/>
      <c r="AT4" s="8"/>
      <c r="AU4" s="8"/>
      <c r="AV4" s="8"/>
      <c r="AW4" s="8"/>
      <c r="AX4" s="8"/>
      <c r="AY4" s="8"/>
      <c r="AZ4" s="8"/>
      <c r="BA4" s="25"/>
      <c r="BB4" s="8"/>
      <c r="BC4" s="8"/>
      <c r="BD4" s="8"/>
      <c r="BE4" s="8"/>
      <c r="BF4" s="8"/>
      <c r="BG4" s="8"/>
      <c r="BH4" s="8"/>
      <c r="BI4" s="8"/>
      <c r="BJ4" s="8"/>
      <c r="BK4" s="8"/>
      <c r="BL4" s="8"/>
      <c r="BM4" s="8"/>
      <c r="BN4" s="25"/>
      <c r="BO4" s="8"/>
      <c r="BP4" s="8"/>
      <c r="BQ4" s="8"/>
      <c r="BR4" s="8"/>
      <c r="BS4" s="8"/>
      <c r="BT4" s="8"/>
      <c r="BU4" s="8"/>
      <c r="BV4" s="8"/>
      <c r="BW4" s="8"/>
      <c r="BX4" s="8"/>
      <c r="BY4" s="8"/>
      <c r="BZ4" s="8"/>
      <c r="CA4" s="25"/>
    </row>
    <row r="5" spans="1:79" s="3" customFormat="1" x14ac:dyDescent="0.25">
      <c r="A5" s="3" t="s">
        <v>13</v>
      </c>
      <c r="B5" s="7">
        <f t="shared" ref="B5:M5" si="2">B2-B8</f>
        <v>4771814</v>
      </c>
      <c r="C5" s="7">
        <f t="shared" si="2"/>
        <v>5371774</v>
      </c>
      <c r="D5" s="7">
        <f t="shared" si="2"/>
        <v>5478590</v>
      </c>
      <c r="E5" s="7">
        <f t="shared" si="2"/>
        <v>5528713</v>
      </c>
      <c r="F5" s="7">
        <f t="shared" si="2"/>
        <v>6361003</v>
      </c>
      <c r="G5" s="7">
        <f t="shared" si="2"/>
        <v>5823615</v>
      </c>
      <c r="H5" s="7">
        <f t="shared" si="2"/>
        <v>6061291</v>
      </c>
      <c r="I5" s="7">
        <f t="shared" si="2"/>
        <v>5159166</v>
      </c>
      <c r="J5" s="7">
        <f t="shared" si="2"/>
        <v>6149169</v>
      </c>
      <c r="K5" s="7">
        <f t="shared" si="2"/>
        <v>5725361</v>
      </c>
      <c r="L5" s="7">
        <f t="shared" si="2"/>
        <v>4716458</v>
      </c>
      <c r="M5" s="7">
        <f t="shared" si="2"/>
        <v>6611395</v>
      </c>
      <c r="N5" s="26">
        <f>SUM(B5:M5)</f>
        <v>67758349</v>
      </c>
      <c r="O5" s="7">
        <f t="shared" ref="O5:Z5" si="3">O2-O8</f>
        <v>3756576</v>
      </c>
      <c r="P5" s="7">
        <f t="shared" si="3"/>
        <v>4129429</v>
      </c>
      <c r="Q5" s="7">
        <f t="shared" si="3"/>
        <v>4038973</v>
      </c>
      <c r="R5" s="7">
        <f t="shared" si="3"/>
        <v>5184081</v>
      </c>
      <c r="S5" s="7">
        <f t="shared" si="3"/>
        <v>6250507</v>
      </c>
      <c r="T5" s="7">
        <f t="shared" si="3"/>
        <v>5528409</v>
      </c>
      <c r="U5" s="7">
        <f t="shared" si="3"/>
        <v>5370909</v>
      </c>
      <c r="V5" s="7">
        <f t="shared" si="3"/>
        <v>6196649</v>
      </c>
      <c r="W5" s="7">
        <f t="shared" si="3"/>
        <v>6726661</v>
      </c>
      <c r="X5" s="7">
        <f t="shared" si="3"/>
        <v>5737809</v>
      </c>
      <c r="Y5" s="7">
        <f t="shared" si="3"/>
        <v>5295347</v>
      </c>
      <c r="Z5" s="7">
        <f t="shared" si="3"/>
        <v>5543485</v>
      </c>
      <c r="AA5" s="26">
        <f>SUM(O5:Z5)</f>
        <v>63758835</v>
      </c>
      <c r="AB5" s="7">
        <f t="shared" ref="AB5:AM5" si="4">AB2-AB8</f>
        <v>2707538</v>
      </c>
      <c r="AC5" s="7">
        <f t="shared" si="4"/>
        <v>3282247</v>
      </c>
      <c r="AD5" s="7">
        <f t="shared" si="4"/>
        <v>3493000.6500000004</v>
      </c>
      <c r="AE5" s="7">
        <f t="shared" si="4"/>
        <v>4464229.42</v>
      </c>
      <c r="AF5" s="7">
        <f t="shared" si="4"/>
        <v>4655800.57</v>
      </c>
      <c r="AG5" s="7">
        <f t="shared" si="4"/>
        <v>3822094.3499999996</v>
      </c>
      <c r="AH5" s="7">
        <f t="shared" si="4"/>
        <v>5293727.68</v>
      </c>
      <c r="AI5" s="7">
        <f t="shared" si="4"/>
        <v>4807554.03</v>
      </c>
      <c r="AJ5" s="7">
        <f t="shared" si="4"/>
        <v>6528658</v>
      </c>
      <c r="AK5" s="7">
        <f t="shared" si="4"/>
        <v>4192589.75</v>
      </c>
      <c r="AL5" s="7">
        <f t="shared" si="4"/>
        <v>4562052.2699999996</v>
      </c>
      <c r="AM5" s="7">
        <f t="shared" si="4"/>
        <v>6019756</v>
      </c>
      <c r="AN5" s="26">
        <f>SUM(AB5:AM5)</f>
        <v>53829247.719999999</v>
      </c>
      <c r="AO5" s="7">
        <f t="shared" ref="AO5:AZ5" si="5">AO2-AO8</f>
        <v>2537994.11</v>
      </c>
      <c r="AP5" s="7">
        <f t="shared" si="5"/>
        <v>3369768.9299999997</v>
      </c>
      <c r="AQ5" s="7">
        <f t="shared" si="5"/>
        <v>6179149.96</v>
      </c>
      <c r="AR5" s="7">
        <f t="shared" si="5"/>
        <v>4832467.2699999996</v>
      </c>
      <c r="AS5" s="7">
        <f t="shared" si="5"/>
        <v>5343250.26</v>
      </c>
      <c r="AT5" s="7">
        <f t="shared" si="5"/>
        <v>5123673.03</v>
      </c>
      <c r="AU5" s="7">
        <f t="shared" si="5"/>
        <v>4802246.5999999996</v>
      </c>
      <c r="AV5" s="7">
        <f t="shared" si="5"/>
        <v>4670223.21</v>
      </c>
      <c r="AW5" s="7">
        <f t="shared" si="5"/>
        <v>4316448.34</v>
      </c>
      <c r="AX5" s="7">
        <f t="shared" si="5"/>
        <v>5478261.5899999999</v>
      </c>
      <c r="AY5" s="7">
        <f t="shared" si="5"/>
        <v>4756643.4000000004</v>
      </c>
      <c r="AZ5" s="7">
        <f t="shared" si="5"/>
        <v>5192102.1900000004</v>
      </c>
      <c r="BA5" s="26">
        <f>SUM(AO5:AZ5)</f>
        <v>56602228.890000008</v>
      </c>
      <c r="BB5" s="7">
        <f t="shared" ref="BB5:BM5" si="6">BB2-BB8</f>
        <v>2665663.61</v>
      </c>
      <c r="BC5" s="7">
        <f t="shared" si="6"/>
        <v>2796197.7800000003</v>
      </c>
      <c r="BD5" s="7">
        <f t="shared" si="6"/>
        <v>5524938.8700000001</v>
      </c>
      <c r="BE5" s="7">
        <f t="shared" si="6"/>
        <v>5642977.1600000001</v>
      </c>
      <c r="BF5" s="7">
        <f t="shared" si="6"/>
        <v>4805563.43</v>
      </c>
      <c r="BG5" s="7">
        <f t="shared" si="6"/>
        <v>5254086.76</v>
      </c>
      <c r="BH5" s="7">
        <f t="shared" si="6"/>
        <v>4983518.63</v>
      </c>
      <c r="BI5" s="7">
        <f t="shared" si="6"/>
        <v>4879147.9400000004</v>
      </c>
      <c r="BJ5" s="7">
        <f t="shared" si="6"/>
        <v>5821550.7800000003</v>
      </c>
      <c r="BK5" s="7">
        <f t="shared" si="6"/>
        <v>5198650.71</v>
      </c>
      <c r="BL5" s="7">
        <f t="shared" si="6"/>
        <v>4260231.5599999996</v>
      </c>
      <c r="BM5" s="7">
        <f t="shared" si="6"/>
        <v>11151425.91</v>
      </c>
      <c r="BN5" s="26">
        <f>SUM(BB5:BM5)</f>
        <v>62983953.140000001</v>
      </c>
      <c r="BO5" s="7">
        <f t="shared" ref="BO5:BZ5" si="7">BO2-BO8</f>
        <v>2606104.4900000002</v>
      </c>
      <c r="BP5" s="7">
        <f t="shared" si="7"/>
        <v>3452192.7699999996</v>
      </c>
      <c r="BQ5" s="7">
        <f t="shared" si="7"/>
        <v>8741360.8699999992</v>
      </c>
      <c r="BR5" s="7">
        <f t="shared" si="7"/>
        <v>7306042.8899999987</v>
      </c>
      <c r="BS5" s="7">
        <f t="shared" si="7"/>
        <v>6047198.2599999998</v>
      </c>
      <c r="BT5" s="7">
        <f t="shared" si="7"/>
        <v>5720184.2699999996</v>
      </c>
      <c r="BU5" s="7">
        <f t="shared" si="7"/>
        <v>5137360.5900000008</v>
      </c>
      <c r="BV5" s="7">
        <f t="shared" si="7"/>
        <v>6105535.5199999996</v>
      </c>
      <c r="BW5" s="7">
        <f t="shared" si="7"/>
        <v>5783694.9200000009</v>
      </c>
      <c r="BX5" s="7">
        <f t="shared" si="7"/>
        <v>6579027.4199999999</v>
      </c>
      <c r="BY5" s="7">
        <f t="shared" si="7"/>
        <v>4394369.629999999</v>
      </c>
      <c r="BZ5" s="7">
        <f t="shared" si="7"/>
        <v>6021602.5499999998</v>
      </c>
      <c r="CA5" s="26">
        <f>SUM(BO5:BZ5)</f>
        <v>67894674.179999992</v>
      </c>
    </row>
    <row r="6" spans="1:79" s="11" customFormat="1" x14ac:dyDescent="0.25">
      <c r="A6" s="15" t="s">
        <v>2</v>
      </c>
      <c r="B6" s="10"/>
      <c r="C6" s="10"/>
      <c r="D6" s="10"/>
      <c r="E6" s="10"/>
      <c r="F6" s="10"/>
      <c r="G6" s="10"/>
      <c r="H6" s="10"/>
      <c r="I6" s="10"/>
      <c r="J6" s="10"/>
      <c r="K6" s="10"/>
      <c r="L6" s="10"/>
      <c r="M6" s="10"/>
      <c r="N6" s="24"/>
      <c r="O6" s="10">
        <f t="shared" ref="O6:AT6" si="8">(O5/B5)-1</f>
        <v>-0.21275724493871717</v>
      </c>
      <c r="P6" s="10">
        <f t="shared" si="8"/>
        <v>-0.23127276017196552</v>
      </c>
      <c r="Q6" s="10">
        <f t="shared" si="8"/>
        <v>-0.26277144301727273</v>
      </c>
      <c r="R6" s="10">
        <f t="shared" si="8"/>
        <v>-6.2334941242202291E-2</v>
      </c>
      <c r="S6" s="10">
        <f t="shared" si="8"/>
        <v>-1.7370845446857963E-2</v>
      </c>
      <c r="T6" s="10">
        <f t="shared" si="8"/>
        <v>-5.0691194386991545E-2</v>
      </c>
      <c r="U6" s="10">
        <f t="shared" si="8"/>
        <v>-0.11390015757369176</v>
      </c>
      <c r="V6" s="10">
        <f t="shared" si="8"/>
        <v>0.20109509947925686</v>
      </c>
      <c r="W6" s="10">
        <f t="shared" si="8"/>
        <v>9.3913828031072066E-2</v>
      </c>
      <c r="X6" s="10">
        <f t="shared" si="8"/>
        <v>2.174186046958404E-3</v>
      </c>
      <c r="Y6" s="10">
        <f t="shared" si="8"/>
        <v>0.12273808014404031</v>
      </c>
      <c r="Z6" s="10">
        <f t="shared" si="8"/>
        <v>-0.16152566893976228</v>
      </c>
      <c r="AA6" s="24">
        <f t="shared" si="8"/>
        <v>-5.9026143036631562E-2</v>
      </c>
      <c r="AB6" s="10">
        <f t="shared" si="8"/>
        <v>-0.27925376726039886</v>
      </c>
      <c r="AC6" s="10">
        <f t="shared" si="8"/>
        <v>-0.20515717790522614</v>
      </c>
      <c r="AD6" s="10">
        <f t="shared" si="8"/>
        <v>-0.13517603361052422</v>
      </c>
      <c r="AE6" s="10">
        <f t="shared" si="8"/>
        <v>-0.13885808883001638</v>
      </c>
      <c r="AF6" s="10">
        <f t="shared" si="8"/>
        <v>-0.2551323324651904</v>
      </c>
      <c r="AG6" s="10">
        <f t="shared" si="8"/>
        <v>-0.30864479274236045</v>
      </c>
      <c r="AH6" s="10">
        <f t="shared" si="8"/>
        <v>-1.4370252782164084E-2</v>
      </c>
      <c r="AI6" s="10">
        <f t="shared" si="8"/>
        <v>-0.22416873539230631</v>
      </c>
      <c r="AJ6" s="10">
        <f t="shared" si="8"/>
        <v>-2.943555502499684E-2</v>
      </c>
      <c r="AK6" s="10">
        <f t="shared" si="8"/>
        <v>-0.26930475552602051</v>
      </c>
      <c r="AL6" s="10">
        <f t="shared" si="8"/>
        <v>-0.13847907039897489</v>
      </c>
      <c r="AM6" s="10">
        <f t="shared" si="8"/>
        <v>8.5915448494944924E-2</v>
      </c>
      <c r="AN6" s="24">
        <f t="shared" si="8"/>
        <v>-0.15573664857584057</v>
      </c>
      <c r="AO6" s="10">
        <f t="shared" si="8"/>
        <v>-6.2619209776557216E-2</v>
      </c>
      <c r="AP6" s="10">
        <f t="shared" si="8"/>
        <v>2.6665247923145285E-2</v>
      </c>
      <c r="AQ6" s="10">
        <f t="shared" si="8"/>
        <v>0.76900910682624679</v>
      </c>
      <c r="AR6" s="10">
        <f t="shared" si="8"/>
        <v>8.2486318545877957E-2</v>
      </c>
      <c r="AS6" s="10">
        <f t="shared" si="8"/>
        <v>0.14765445376454323</v>
      </c>
      <c r="AT6" s="10">
        <f t="shared" si="8"/>
        <v>0.340540698583226</v>
      </c>
      <c r="AU6" s="10">
        <f t="shared" ref="AU6:BZ6" si="9">(AU5/AH5)-1</f>
        <v>-9.2842153905430935E-2</v>
      </c>
      <c r="AV6" s="10">
        <f t="shared" si="9"/>
        <v>-2.8565632157856458E-2</v>
      </c>
      <c r="AW6" s="10">
        <f t="shared" si="9"/>
        <v>-0.33884600173573198</v>
      </c>
      <c r="AX6" s="10">
        <f t="shared" si="9"/>
        <v>0.30665338529723773</v>
      </c>
      <c r="AY6" s="10">
        <f t="shared" si="9"/>
        <v>4.2654296462061536E-2</v>
      </c>
      <c r="AZ6" s="10">
        <f t="shared" si="9"/>
        <v>-0.13748959426262453</v>
      </c>
      <c r="BA6" s="24">
        <f t="shared" si="9"/>
        <v>5.1514395750504205E-2</v>
      </c>
      <c r="BB6" s="10">
        <f t="shared" si="9"/>
        <v>5.0303308229505683E-2</v>
      </c>
      <c r="BC6" s="10">
        <f t="shared" si="9"/>
        <v>-0.17021082510841468</v>
      </c>
      <c r="BD6" s="10">
        <f t="shared" si="9"/>
        <v>-0.10587396231438928</v>
      </c>
      <c r="BE6" s="10">
        <f t="shared" si="9"/>
        <v>0.16772175468867712</v>
      </c>
      <c r="BF6" s="10">
        <f t="shared" si="9"/>
        <v>-0.10062916835940983</v>
      </c>
      <c r="BG6" s="10">
        <f t="shared" si="9"/>
        <v>2.545317182349538E-2</v>
      </c>
      <c r="BH6" s="10">
        <f t="shared" si="9"/>
        <v>3.7747338922578422E-2</v>
      </c>
      <c r="BI6" s="10">
        <f t="shared" si="9"/>
        <v>4.4735491347104306E-2</v>
      </c>
      <c r="BJ6" s="10">
        <f t="shared" si="9"/>
        <v>0.34869001582907866</v>
      </c>
      <c r="BK6" s="10">
        <f t="shared" si="9"/>
        <v>-5.1040074557666348E-2</v>
      </c>
      <c r="BL6" s="10">
        <f t="shared" si="9"/>
        <v>-0.10436179428544101</v>
      </c>
      <c r="BM6" s="10">
        <f t="shared" si="9"/>
        <v>1.1477670319119815</v>
      </c>
      <c r="BN6" s="24">
        <f t="shared" si="9"/>
        <v>0.11274687190149613</v>
      </c>
      <c r="BO6" s="10">
        <f t="shared" si="9"/>
        <v>-2.2343074263597607E-2</v>
      </c>
      <c r="BP6" s="10">
        <f t="shared" si="9"/>
        <v>0.23460250011356476</v>
      </c>
      <c r="BQ6" s="10">
        <f t="shared" si="9"/>
        <v>0.58216426926729037</v>
      </c>
      <c r="BR6" s="10">
        <f t="shared" si="9"/>
        <v>0.29471424087777076</v>
      </c>
      <c r="BS6" s="10">
        <f t="shared" si="9"/>
        <v>0.25837445454340835</v>
      </c>
      <c r="BT6" s="10">
        <f t="shared" si="9"/>
        <v>8.8711422420439723E-2</v>
      </c>
      <c r="BU6" s="10">
        <f t="shared" si="9"/>
        <v>3.0870148467770697E-2</v>
      </c>
      <c r="BV6" s="10">
        <f t="shared" si="9"/>
        <v>0.25135281714782343</v>
      </c>
      <c r="BW6" s="10">
        <f t="shared" si="9"/>
        <v>-6.5027106059185602E-3</v>
      </c>
      <c r="BX6" s="10">
        <f t="shared" si="9"/>
        <v>0.26552595798458634</v>
      </c>
      <c r="BY6" s="10">
        <f t="shared" si="9"/>
        <v>3.14860983753662E-2</v>
      </c>
      <c r="BZ6" s="10">
        <f t="shared" si="9"/>
        <v>-0.46001501524570509</v>
      </c>
      <c r="CA6" s="24">
        <f>(CA5/BN5)-1</f>
        <v>7.796781235824457E-2</v>
      </c>
    </row>
    <row r="7" spans="1:79" s="5" customFormat="1" x14ac:dyDescent="0.25">
      <c r="B7" s="8"/>
      <c r="C7" s="8"/>
      <c r="D7" s="8"/>
      <c r="E7" s="8"/>
      <c r="F7" s="8"/>
      <c r="G7" s="8"/>
      <c r="H7" s="8"/>
      <c r="I7" s="8"/>
      <c r="J7" s="8"/>
      <c r="K7" s="8"/>
      <c r="L7" s="8"/>
      <c r="M7" s="8"/>
      <c r="N7" s="25"/>
      <c r="O7" s="8"/>
      <c r="P7" s="8"/>
      <c r="Q7" s="8"/>
      <c r="R7" s="8"/>
      <c r="S7" s="8"/>
      <c r="T7" s="8"/>
      <c r="U7" s="8"/>
      <c r="V7" s="8"/>
      <c r="W7" s="8"/>
      <c r="X7" s="8"/>
      <c r="Y7" s="8"/>
      <c r="Z7" s="8"/>
      <c r="AA7" s="25"/>
      <c r="AB7" s="8"/>
      <c r="AC7" s="8"/>
      <c r="AD7" s="8"/>
      <c r="AE7" s="8"/>
      <c r="AF7" s="8"/>
      <c r="AG7" s="8"/>
      <c r="AH7" s="8"/>
      <c r="AI7" s="8"/>
      <c r="AJ7" s="8"/>
      <c r="AK7" s="8"/>
      <c r="AL7" s="8"/>
      <c r="AM7" s="8"/>
      <c r="AN7" s="25"/>
      <c r="AO7" s="8"/>
      <c r="AP7" s="8"/>
      <c r="AQ7" s="8"/>
      <c r="AR7" s="8"/>
      <c r="AS7" s="8"/>
      <c r="AT7" s="8"/>
      <c r="AU7" s="8"/>
      <c r="AV7" s="8"/>
      <c r="AW7" s="8"/>
      <c r="AX7" s="8"/>
      <c r="AY7" s="8"/>
      <c r="AZ7" s="8"/>
      <c r="BA7" s="25"/>
      <c r="BB7" s="8"/>
      <c r="BC7" s="8"/>
      <c r="BD7" s="8"/>
      <c r="BE7" s="8"/>
      <c r="BF7" s="8"/>
      <c r="BG7" s="8"/>
      <c r="BH7" s="8"/>
      <c r="BI7" s="8"/>
      <c r="BJ7" s="8"/>
      <c r="BK7" s="8"/>
      <c r="BL7" s="8"/>
      <c r="BM7" s="8"/>
      <c r="BN7" s="25"/>
      <c r="BO7" s="8"/>
      <c r="BP7" s="8"/>
      <c r="BQ7" s="8"/>
      <c r="BR7" s="8"/>
      <c r="BS7" s="8"/>
      <c r="BT7" s="8"/>
      <c r="BU7" s="8"/>
      <c r="BV7" s="8"/>
      <c r="BW7" s="8"/>
      <c r="BX7" s="8"/>
      <c r="BY7" s="8"/>
      <c r="BZ7" s="8"/>
      <c r="CA7" s="25"/>
    </row>
    <row r="8" spans="1:79" s="3" customFormat="1" x14ac:dyDescent="0.25">
      <c r="A8" s="3" t="s">
        <v>14</v>
      </c>
      <c r="B8" s="4">
        <v>3638663</v>
      </c>
      <c r="C8" s="4">
        <v>3409234</v>
      </c>
      <c r="D8" s="4">
        <v>4516140</v>
      </c>
      <c r="E8" s="4">
        <v>4954030</v>
      </c>
      <c r="F8" s="4">
        <v>6963004</v>
      </c>
      <c r="G8" s="4">
        <v>6842361</v>
      </c>
      <c r="H8" s="4">
        <v>7300856</v>
      </c>
      <c r="I8" s="4">
        <v>7099490</v>
      </c>
      <c r="J8" s="4">
        <v>7641576</v>
      </c>
      <c r="K8" s="4">
        <v>7378813</v>
      </c>
      <c r="L8" s="4">
        <v>5693830</v>
      </c>
      <c r="M8" s="4">
        <v>7550028</v>
      </c>
      <c r="N8" s="23">
        <f>SUM(B8:M8)</f>
        <v>72988025</v>
      </c>
      <c r="O8" s="4">
        <v>4909955</v>
      </c>
      <c r="P8" s="4">
        <v>5342250</v>
      </c>
      <c r="Q8" s="4">
        <v>7035981</v>
      </c>
      <c r="R8" s="4">
        <v>7896982</v>
      </c>
      <c r="S8" s="4">
        <v>7503605</v>
      </c>
      <c r="T8" s="4">
        <v>6986734</v>
      </c>
      <c r="U8" s="4">
        <v>8563322</v>
      </c>
      <c r="V8" s="4">
        <v>6720294</v>
      </c>
      <c r="W8" s="4">
        <v>8346241</v>
      </c>
      <c r="X8" s="4">
        <v>8852750</v>
      </c>
      <c r="Y8" s="4">
        <v>6894395</v>
      </c>
      <c r="Z8" s="4">
        <v>7357749</v>
      </c>
      <c r="AA8" s="23">
        <f>SUM(O8:Z8)</f>
        <v>86410258</v>
      </c>
      <c r="AB8" s="4">
        <v>3843345</v>
      </c>
      <c r="AC8" s="4">
        <v>5081036</v>
      </c>
      <c r="AD8" s="4">
        <v>4442683.3499999996</v>
      </c>
      <c r="AE8" s="4">
        <v>6567055.5800000001</v>
      </c>
      <c r="AF8" s="4">
        <v>7536732.4299999997</v>
      </c>
      <c r="AG8" s="4">
        <v>6214235.6500000004</v>
      </c>
      <c r="AH8" s="4">
        <v>8695709.3200000003</v>
      </c>
      <c r="AI8" s="4">
        <v>7000822.9699999997</v>
      </c>
      <c r="AJ8" s="4">
        <v>7033157</v>
      </c>
      <c r="AK8" s="4">
        <v>5671438.25</v>
      </c>
      <c r="AL8" s="4">
        <v>6244272.7300000004</v>
      </c>
      <c r="AM8" s="4">
        <v>5980191</v>
      </c>
      <c r="AN8" s="23">
        <f>SUM(AB8:AM8)</f>
        <v>74310679.280000001</v>
      </c>
      <c r="AO8" s="4">
        <v>3440972.89</v>
      </c>
      <c r="AP8" s="4">
        <v>4214107.07</v>
      </c>
      <c r="AQ8" s="4">
        <v>6345481.04</v>
      </c>
      <c r="AR8" s="4">
        <v>6744885.0899999999</v>
      </c>
      <c r="AS8" s="4">
        <v>7604677.0700000003</v>
      </c>
      <c r="AT8" s="4">
        <v>6778882.9699999997</v>
      </c>
      <c r="AU8" s="4">
        <v>6610790.4000000004</v>
      </c>
      <c r="AV8" s="4">
        <v>6820788.79</v>
      </c>
      <c r="AW8" s="4">
        <v>6007051.6600000001</v>
      </c>
      <c r="AX8" s="4">
        <v>7317146.4100000001</v>
      </c>
      <c r="AY8" s="4">
        <v>7446244.5999999996</v>
      </c>
      <c r="AZ8" s="4">
        <v>7206628.8099999996</v>
      </c>
      <c r="BA8" s="23">
        <f>SUM(AO8:AZ8)</f>
        <v>76537656.799999997</v>
      </c>
      <c r="BB8" s="4">
        <v>4002062.39</v>
      </c>
      <c r="BC8" s="4">
        <v>4815798.22</v>
      </c>
      <c r="BD8" s="4">
        <v>6549100.1299999999</v>
      </c>
      <c r="BE8" s="4">
        <v>7869854.8399999999</v>
      </c>
      <c r="BF8" s="4">
        <v>6606790.9900000002</v>
      </c>
      <c r="BG8" s="4">
        <v>6440078.2400000002</v>
      </c>
      <c r="BH8" s="4">
        <v>5917021.3700000001</v>
      </c>
      <c r="BI8" s="4">
        <v>6422778.0599999996</v>
      </c>
      <c r="BJ8" s="4">
        <v>6878744.2199999997</v>
      </c>
      <c r="BK8" s="4">
        <v>6707314.29</v>
      </c>
      <c r="BL8" s="4">
        <v>5487120.4400000004</v>
      </c>
      <c r="BM8" s="4">
        <v>11567499.09</v>
      </c>
      <c r="BN8" s="23">
        <f>SUM(BB8:BM8)</f>
        <v>79264162.280000001</v>
      </c>
      <c r="BO8" s="4">
        <v>3573196.79</v>
      </c>
      <c r="BP8" s="4">
        <v>4792558</v>
      </c>
      <c r="BQ8" s="4">
        <v>8899624.6899999995</v>
      </c>
      <c r="BR8" s="4">
        <v>9238973.9700000007</v>
      </c>
      <c r="BS8" s="4">
        <v>8522537.9800000004</v>
      </c>
      <c r="BT8" s="4">
        <v>8457617.5800000001</v>
      </c>
      <c r="BU8" s="4">
        <v>7584969.2199999997</v>
      </c>
      <c r="BV8" s="4">
        <v>7959879.0700000003</v>
      </c>
      <c r="BW8" s="4">
        <v>7681890.9699999997</v>
      </c>
      <c r="BX8" s="4">
        <v>9604908.9800000004</v>
      </c>
      <c r="BY8" s="4">
        <v>6577299.6600000001</v>
      </c>
      <c r="BZ8" s="4">
        <v>8316355.4699999997</v>
      </c>
      <c r="CA8" s="26">
        <f>SUM(BO8:BZ8)</f>
        <v>91209812.379999995</v>
      </c>
    </row>
    <row r="9" spans="1:79" s="15" customFormat="1" x14ac:dyDescent="0.25">
      <c r="A9" s="15" t="s">
        <v>2</v>
      </c>
      <c r="B9" s="16"/>
      <c r="C9" s="16"/>
      <c r="D9" s="16"/>
      <c r="E9" s="16"/>
      <c r="F9" s="16"/>
      <c r="G9" s="16"/>
      <c r="H9" s="16"/>
      <c r="I9" s="16"/>
      <c r="J9" s="16"/>
      <c r="K9" s="16"/>
      <c r="L9" s="16"/>
      <c r="M9" s="16"/>
      <c r="N9" s="27"/>
      <c r="O9" s="16">
        <f t="shared" ref="O9:AT9" si="10">(O8/B8)-1</f>
        <v>0.34938437552474633</v>
      </c>
      <c r="P9" s="16">
        <f t="shared" si="10"/>
        <v>0.56699422802893551</v>
      </c>
      <c r="Q9" s="16">
        <f t="shared" si="10"/>
        <v>0.55796343780307955</v>
      </c>
      <c r="R9" s="16">
        <f t="shared" si="10"/>
        <v>0.59405211514665845</v>
      </c>
      <c r="S9" s="16">
        <f t="shared" si="10"/>
        <v>7.763904774433561E-2</v>
      </c>
      <c r="T9" s="16">
        <f t="shared" si="10"/>
        <v>2.1099880582155839E-2</v>
      </c>
      <c r="U9" s="16">
        <f t="shared" si="10"/>
        <v>0.17292027126682141</v>
      </c>
      <c r="V9" s="16">
        <f t="shared" si="10"/>
        <v>-5.3411723940733791E-2</v>
      </c>
      <c r="W9" s="16">
        <f t="shared" si="10"/>
        <v>9.2214616461316457E-2</v>
      </c>
      <c r="X9" s="16">
        <f t="shared" si="10"/>
        <v>0.19975258893266434</v>
      </c>
      <c r="Y9" s="16">
        <f t="shared" si="10"/>
        <v>0.21085367845545089</v>
      </c>
      <c r="Z9" s="16">
        <f t="shared" si="10"/>
        <v>-2.5467322770193701E-2</v>
      </c>
      <c r="AA9" s="27">
        <f t="shared" si="10"/>
        <v>0.18389637204185205</v>
      </c>
      <c r="AB9" s="16">
        <f t="shared" si="10"/>
        <v>-0.21723417017060243</v>
      </c>
      <c r="AC9" s="16">
        <f t="shared" si="10"/>
        <v>-4.8895877205297422E-2</v>
      </c>
      <c r="AD9" s="16">
        <f t="shared" si="10"/>
        <v>-0.36857655670190137</v>
      </c>
      <c r="AE9" s="16">
        <f t="shared" si="10"/>
        <v>-0.16840945313032241</v>
      </c>
      <c r="AF9" s="16">
        <f t="shared" si="10"/>
        <v>4.4148685864993098E-3</v>
      </c>
      <c r="AG9" s="16">
        <f t="shared" si="10"/>
        <v>-0.11056644635390434</v>
      </c>
      <c r="AH9" s="16">
        <f t="shared" si="10"/>
        <v>1.5459808705079681E-2</v>
      </c>
      <c r="AI9" s="16">
        <f t="shared" si="10"/>
        <v>4.1743556159894224E-2</v>
      </c>
      <c r="AJ9" s="16">
        <f t="shared" si="10"/>
        <v>-0.15732639400180271</v>
      </c>
      <c r="AK9" s="16">
        <f t="shared" si="10"/>
        <v>-0.35935858913896812</v>
      </c>
      <c r="AL9" s="16">
        <f t="shared" si="10"/>
        <v>-9.429721824757642E-2</v>
      </c>
      <c r="AM9" s="16">
        <f t="shared" si="10"/>
        <v>-0.18722546800658735</v>
      </c>
      <c r="AN9" s="27">
        <f t="shared" si="10"/>
        <v>-0.14002479566719961</v>
      </c>
      <c r="AO9" s="16">
        <f t="shared" si="10"/>
        <v>-0.10469320604837706</v>
      </c>
      <c r="AP9" s="16">
        <f t="shared" si="10"/>
        <v>-0.17062050534576012</v>
      </c>
      <c r="AQ9" s="16">
        <f t="shared" si="10"/>
        <v>0.42829919219878687</v>
      </c>
      <c r="AR9" s="16">
        <f t="shared" si="10"/>
        <v>2.7079032274613279E-2</v>
      </c>
      <c r="AS9" s="16">
        <f t="shared" si="10"/>
        <v>9.0151323044913578E-3</v>
      </c>
      <c r="AT9" s="16">
        <f t="shared" si="10"/>
        <v>9.0863519152190486E-2</v>
      </c>
      <c r="AU9" s="16">
        <f t="shared" ref="AU9:BZ9" si="11">(AU8/AH8)-1</f>
        <v>-0.23976410011828686</v>
      </c>
      <c r="AV9" s="16">
        <f t="shared" si="11"/>
        <v>-2.571614519771237E-2</v>
      </c>
      <c r="AW9" s="16">
        <f t="shared" si="11"/>
        <v>-0.14589541225938796</v>
      </c>
      <c r="AX9" s="16">
        <f t="shared" si="11"/>
        <v>0.29017474711992142</v>
      </c>
      <c r="AY9" s="16">
        <f t="shared" si="11"/>
        <v>0.19249189168583913</v>
      </c>
      <c r="AZ9" s="16">
        <f t="shared" si="11"/>
        <v>0.20508338446046293</v>
      </c>
      <c r="BA9" s="27">
        <f t="shared" si="11"/>
        <v>2.9968472117026801E-2</v>
      </c>
      <c r="BB9" s="16">
        <f t="shared" si="11"/>
        <v>0.16306129630681276</v>
      </c>
      <c r="BC9" s="16">
        <f t="shared" si="11"/>
        <v>0.14278022366432164</v>
      </c>
      <c r="BD9" s="16">
        <f t="shared" si="11"/>
        <v>3.2088834355732399E-2</v>
      </c>
      <c r="BE9" s="16">
        <f t="shared" si="11"/>
        <v>0.16678857163450944</v>
      </c>
      <c r="BF9" s="16">
        <f t="shared" si="11"/>
        <v>-0.13122004666530829</v>
      </c>
      <c r="BG9" s="16">
        <f t="shared" si="11"/>
        <v>-4.9979433410988539E-2</v>
      </c>
      <c r="BH9" s="16">
        <f t="shared" si="11"/>
        <v>-0.1049449442535646</v>
      </c>
      <c r="BI9" s="16">
        <f t="shared" si="11"/>
        <v>-5.8352595609400204E-2</v>
      </c>
      <c r="BJ9" s="16">
        <f t="shared" si="11"/>
        <v>0.14511154711794161</v>
      </c>
      <c r="BK9" s="16">
        <f t="shared" si="11"/>
        <v>-8.3342888857133035E-2</v>
      </c>
      <c r="BL9" s="16">
        <f t="shared" si="11"/>
        <v>-0.26310231066006073</v>
      </c>
      <c r="BM9" s="16">
        <f t="shared" si="11"/>
        <v>0.60511931375580308</v>
      </c>
      <c r="BN9" s="27">
        <f t="shared" si="11"/>
        <v>3.5623059210247554E-2</v>
      </c>
      <c r="BO9" s="16">
        <f t="shared" si="11"/>
        <v>-0.10716114798000442</v>
      </c>
      <c r="BP9" s="16">
        <f t="shared" si="11"/>
        <v>-4.8258292682370474E-3</v>
      </c>
      <c r="BQ9" s="16">
        <f t="shared" si="11"/>
        <v>0.35890801993280874</v>
      </c>
      <c r="BR9" s="16">
        <f t="shared" si="11"/>
        <v>0.17397006143508498</v>
      </c>
      <c r="BS9" s="16">
        <f t="shared" si="11"/>
        <v>0.28996633810569516</v>
      </c>
      <c r="BT9" s="16">
        <f t="shared" si="11"/>
        <v>0.31327870016684756</v>
      </c>
      <c r="BU9" s="16">
        <f t="shared" si="11"/>
        <v>0.28188977962065387</v>
      </c>
      <c r="BV9" s="16">
        <f t="shared" si="11"/>
        <v>0.2393202747535077</v>
      </c>
      <c r="BW9" s="16">
        <f t="shared" si="11"/>
        <v>0.11675775756639495</v>
      </c>
      <c r="BX9" s="16">
        <f t="shared" si="11"/>
        <v>0.43200520576768753</v>
      </c>
      <c r="BY9" s="16">
        <f t="shared" si="11"/>
        <v>0.19867965938068588</v>
      </c>
      <c r="BZ9" s="16">
        <f t="shared" si="11"/>
        <v>-0.28105847207808166</v>
      </c>
      <c r="CA9" s="27">
        <f>(CA8/BN8)-1</f>
        <v>0.15070682331571339</v>
      </c>
    </row>
    <row r="11" spans="1:79" s="6" customFormat="1" x14ac:dyDescent="0.25">
      <c r="A11" s="6" t="s">
        <v>0</v>
      </c>
      <c r="B11" s="9">
        <f t="shared" ref="B11:M11" si="12">B8/B2</f>
        <v>0.43263455806371032</v>
      </c>
      <c r="C11" s="9">
        <f t="shared" si="12"/>
        <v>0.38825087051509349</v>
      </c>
      <c r="D11" s="9">
        <f t="shared" si="12"/>
        <v>0.45185212607043912</v>
      </c>
      <c r="E11" s="9">
        <f t="shared" si="12"/>
        <v>0.47258909237782515</v>
      </c>
      <c r="F11" s="9">
        <f t="shared" si="12"/>
        <v>0.52259083922726846</v>
      </c>
      <c r="G11" s="9">
        <f t="shared" si="12"/>
        <v>0.5402158507169128</v>
      </c>
      <c r="H11" s="9">
        <f t="shared" si="12"/>
        <v>0.54638345170128721</v>
      </c>
      <c r="I11" s="9">
        <f t="shared" si="12"/>
        <v>0.57914097597648551</v>
      </c>
      <c r="J11" s="9">
        <f t="shared" si="12"/>
        <v>0.55410900571361443</v>
      </c>
      <c r="K11" s="9">
        <f t="shared" si="12"/>
        <v>0.5630887532476293</v>
      </c>
      <c r="L11" s="9">
        <f t="shared" si="12"/>
        <v>0.54694260139584994</v>
      </c>
      <c r="M11" s="9">
        <f t="shared" si="12"/>
        <v>0.53314049018943932</v>
      </c>
      <c r="N11" s="28">
        <f>AVERAGE(B11:M11)</f>
        <v>0.51091155126629628</v>
      </c>
      <c r="O11" s="9">
        <f t="shared" ref="O11:Z11" si="13">O8/O2</f>
        <v>0.5665421377942339</v>
      </c>
      <c r="P11" s="9">
        <f t="shared" si="13"/>
        <v>0.5640235485176387</v>
      </c>
      <c r="Q11" s="9">
        <f t="shared" si="13"/>
        <v>0.63530566357205642</v>
      </c>
      <c r="R11" s="9">
        <f t="shared" si="13"/>
        <v>0.60369573940588772</v>
      </c>
      <c r="S11" s="9">
        <f t="shared" si="13"/>
        <v>0.5455535769957377</v>
      </c>
      <c r="T11" s="9">
        <f t="shared" si="13"/>
        <v>0.55826241857564074</v>
      </c>
      <c r="U11" s="9">
        <f t="shared" si="13"/>
        <v>0.61455289495344234</v>
      </c>
      <c r="V11" s="9">
        <f t="shared" si="13"/>
        <v>0.52026969539154888</v>
      </c>
      <c r="W11" s="9">
        <f t="shared" si="13"/>
        <v>0.55372488987190394</v>
      </c>
      <c r="X11" s="9">
        <f t="shared" si="13"/>
        <v>0.60674508769677704</v>
      </c>
      <c r="Y11" s="9">
        <f t="shared" si="13"/>
        <v>0.56558990337941528</v>
      </c>
      <c r="Z11" s="9">
        <f t="shared" si="13"/>
        <v>0.57031358395638743</v>
      </c>
      <c r="AA11" s="28">
        <f>AVERAGE(O11:Z11)</f>
        <v>0.57538159500922248</v>
      </c>
      <c r="AB11" s="9">
        <f t="shared" ref="AB11:AM11" si="14">AB8/AB2</f>
        <v>0.58669113766800596</v>
      </c>
      <c r="AC11" s="9">
        <f t="shared" si="14"/>
        <v>0.60754084251363971</v>
      </c>
      <c r="AD11" s="9">
        <f t="shared" si="14"/>
        <v>0.55983622205722905</v>
      </c>
      <c r="AE11" s="9">
        <f t="shared" si="14"/>
        <v>0.5953119314748917</v>
      </c>
      <c r="AF11" s="9">
        <f t="shared" si="14"/>
        <v>0.61814328737104918</v>
      </c>
      <c r="AG11" s="9">
        <f t="shared" si="14"/>
        <v>0.61917410547481</v>
      </c>
      <c r="AH11" s="9">
        <f t="shared" si="14"/>
        <v>0.62159108475916514</v>
      </c>
      <c r="AI11" s="9">
        <f t="shared" si="14"/>
        <v>0.5928691953178663</v>
      </c>
      <c r="AJ11" s="9">
        <f t="shared" si="14"/>
        <v>0.51859998090226123</v>
      </c>
      <c r="AK11" s="9">
        <f t="shared" si="14"/>
        <v>0.57496169414766463</v>
      </c>
      <c r="AL11" s="9">
        <f t="shared" si="14"/>
        <v>0.57783499293237994</v>
      </c>
      <c r="AM11" s="9">
        <f t="shared" si="14"/>
        <v>0.49835145105224216</v>
      </c>
      <c r="AN11" s="28">
        <f>AVERAGE(AB11:AM11)</f>
        <v>0.58090882713926717</v>
      </c>
      <c r="AO11" s="9">
        <f t="shared" ref="AO11:AZ11" si="15">AO8/AO2</f>
        <v>0.5755129422858497</v>
      </c>
      <c r="AP11" s="9">
        <f t="shared" si="15"/>
        <v>0.55566666306252899</v>
      </c>
      <c r="AQ11" s="9">
        <f t="shared" si="15"/>
        <v>0.50664015889969138</v>
      </c>
      <c r="AR11" s="9">
        <f t="shared" si="15"/>
        <v>0.58259305584441934</v>
      </c>
      <c r="AS11" s="9">
        <f t="shared" si="15"/>
        <v>0.58732775340653698</v>
      </c>
      <c r="AT11" s="9">
        <f t="shared" si="15"/>
        <v>0.5695317014261474</v>
      </c>
      <c r="AU11" s="9">
        <f t="shared" si="15"/>
        <v>0.57923148763996823</v>
      </c>
      <c r="AV11" s="9">
        <f t="shared" si="15"/>
        <v>0.59357598704100212</v>
      </c>
      <c r="AW11" s="9">
        <f t="shared" si="15"/>
        <v>0.58188130575870589</v>
      </c>
      <c r="AX11" s="9">
        <f t="shared" si="15"/>
        <v>0.57185721705786952</v>
      </c>
      <c r="AY11" s="9">
        <f t="shared" si="15"/>
        <v>0.61020346986713303</v>
      </c>
      <c r="AZ11" s="9">
        <f t="shared" si="15"/>
        <v>0.58123922601433964</v>
      </c>
      <c r="BA11" s="28">
        <f>AVERAGE(AO11:AZ11)</f>
        <v>0.57460508069201599</v>
      </c>
      <c r="BB11" s="9">
        <f t="shared" ref="BB11:BM11" si="16">BB8/BB2</f>
        <v>0.60021398449786334</v>
      </c>
      <c r="BC11" s="9">
        <f t="shared" si="16"/>
        <v>0.63265905814979406</v>
      </c>
      <c r="BD11" s="9">
        <f t="shared" si="16"/>
        <v>0.54241170912235748</v>
      </c>
      <c r="BE11" s="9">
        <f t="shared" si="16"/>
        <v>0.5823986296876924</v>
      </c>
      <c r="BF11" s="9">
        <f t="shared" si="16"/>
        <v>0.57891568618143219</v>
      </c>
      <c r="BG11" s="9">
        <f t="shared" si="16"/>
        <v>0.55070868591301736</v>
      </c>
      <c r="BH11" s="9">
        <f t="shared" si="16"/>
        <v>0.54281910529203137</v>
      </c>
      <c r="BI11" s="9">
        <f t="shared" si="16"/>
        <v>0.56829057808377081</v>
      </c>
      <c r="BJ11" s="9">
        <f t="shared" si="16"/>
        <v>0.54162082219350016</v>
      </c>
      <c r="BK11" s="9">
        <f t="shared" si="16"/>
        <v>0.56335746745433912</v>
      </c>
      <c r="BL11" s="9">
        <f t="shared" si="16"/>
        <v>0.56293447081833103</v>
      </c>
      <c r="BM11" s="9">
        <f t="shared" si="16"/>
        <v>0.50915697331629906</v>
      </c>
      <c r="BN11" s="28">
        <f>AVERAGE(BB11:BM11)</f>
        <v>0.56462393089253571</v>
      </c>
      <c r="BO11" s="9">
        <f t="shared" ref="BO11:BZ11" si="17">BO8/BO2</f>
        <v>0.57825256094326571</v>
      </c>
      <c r="BP11" s="9">
        <f t="shared" si="17"/>
        <v>0.58128597621635569</v>
      </c>
      <c r="BQ11" s="9">
        <f t="shared" si="17"/>
        <v>0.50448568532244753</v>
      </c>
      <c r="BR11" s="9">
        <f t="shared" si="17"/>
        <v>0.55841429768116901</v>
      </c>
      <c r="BS11" s="9">
        <f t="shared" si="17"/>
        <v>0.58494799354034155</v>
      </c>
      <c r="BT11" s="9">
        <f t="shared" si="17"/>
        <v>0.59653941206689953</v>
      </c>
      <c r="BU11" s="9">
        <f t="shared" si="17"/>
        <v>0.59619341215616539</v>
      </c>
      <c r="BV11" s="9">
        <f t="shared" si="17"/>
        <v>0.56591855284942583</v>
      </c>
      <c r="BW11" s="9">
        <f t="shared" si="17"/>
        <v>0.57048323279455904</v>
      </c>
      <c r="BX11" s="9">
        <f t="shared" si="17"/>
        <v>0.59348410316293632</v>
      </c>
      <c r="BY11" s="9">
        <f t="shared" si="17"/>
        <v>0.59948030569922517</v>
      </c>
      <c r="BZ11" s="9">
        <f t="shared" si="17"/>
        <v>0.58002370061340158</v>
      </c>
      <c r="CA11" s="28">
        <f>AVERAGE(BO11:BZ11)</f>
        <v>0.57579243608718267</v>
      </c>
    </row>
    <row r="13" spans="1:79" s="1" customFormat="1" x14ac:dyDescent="0.25">
      <c r="A13" s="1" t="s">
        <v>1</v>
      </c>
      <c r="B13" s="21">
        <f>B16+B19+B22+B25+B28+B31+B34</f>
        <v>2440127</v>
      </c>
      <c r="C13" s="21">
        <f t="shared" ref="C13:BS13" si="18">C16+C19+C22+C25+C28+C31+C34</f>
        <v>3074358</v>
      </c>
      <c r="D13" s="21">
        <f t="shared" si="18"/>
        <v>3423016</v>
      </c>
      <c r="E13" s="21">
        <f t="shared" si="18"/>
        <v>4356975</v>
      </c>
      <c r="F13" s="21">
        <f t="shared" si="18"/>
        <v>4780952</v>
      </c>
      <c r="G13" s="21">
        <f t="shared" si="18"/>
        <v>5154070</v>
      </c>
      <c r="H13" s="21">
        <f t="shared" si="18"/>
        <v>4549423</v>
      </c>
      <c r="I13" s="21">
        <f t="shared" si="18"/>
        <v>5663979</v>
      </c>
      <c r="J13" s="21">
        <f t="shared" si="18"/>
        <v>5837142</v>
      </c>
      <c r="K13" s="21">
        <f t="shared" si="18"/>
        <v>6752826</v>
      </c>
      <c r="L13" s="21">
        <f t="shared" si="18"/>
        <v>5464864</v>
      </c>
      <c r="M13" s="21">
        <f t="shared" si="18"/>
        <v>6030316</v>
      </c>
      <c r="N13" s="29">
        <f>SUM(B13:M13)</f>
        <v>57528048</v>
      </c>
      <c r="O13" s="21">
        <f t="shared" si="18"/>
        <v>4706978</v>
      </c>
      <c r="P13" s="21">
        <f t="shared" si="18"/>
        <v>5414096</v>
      </c>
      <c r="Q13" s="21">
        <f t="shared" si="18"/>
        <v>5015918</v>
      </c>
      <c r="R13" s="21">
        <f t="shared" si="18"/>
        <v>5200058</v>
      </c>
      <c r="S13" s="21">
        <f t="shared" si="18"/>
        <v>5792034</v>
      </c>
      <c r="T13" s="21">
        <f t="shared" si="18"/>
        <v>5501146</v>
      </c>
      <c r="U13" s="21">
        <f t="shared" si="18"/>
        <v>5977910</v>
      </c>
      <c r="V13" s="21">
        <f t="shared" si="18"/>
        <v>6015274</v>
      </c>
      <c r="W13" s="21">
        <f t="shared" si="18"/>
        <v>5797201</v>
      </c>
      <c r="X13" s="21">
        <f t="shared" si="18"/>
        <v>5848257</v>
      </c>
      <c r="Y13" s="21">
        <f t="shared" si="18"/>
        <v>5491906</v>
      </c>
      <c r="Z13" s="21">
        <f t="shared" si="18"/>
        <v>5557663</v>
      </c>
      <c r="AA13" s="29">
        <f>SUM(O13:Z13)</f>
        <v>66318441</v>
      </c>
      <c r="AB13" s="21">
        <f t="shared" si="18"/>
        <v>4333388</v>
      </c>
      <c r="AC13" s="21">
        <f t="shared" si="18"/>
        <v>4455002</v>
      </c>
      <c r="AD13" s="21">
        <f t="shared" si="18"/>
        <v>4065839</v>
      </c>
      <c r="AE13" s="21">
        <f t="shared" si="18"/>
        <v>2852762</v>
      </c>
      <c r="AF13" s="21">
        <f t="shared" si="18"/>
        <v>5026397.63</v>
      </c>
      <c r="AG13" s="21">
        <f t="shared" si="18"/>
        <v>5378859.3200000003</v>
      </c>
      <c r="AH13" s="21">
        <f t="shared" si="18"/>
        <v>5718625</v>
      </c>
      <c r="AI13" s="21">
        <f t="shared" si="18"/>
        <v>5853930</v>
      </c>
      <c r="AJ13" s="21">
        <f t="shared" si="18"/>
        <v>5713072</v>
      </c>
      <c r="AK13" s="21">
        <f t="shared" si="18"/>
        <v>5866469</v>
      </c>
      <c r="AL13" s="21">
        <f t="shared" si="18"/>
        <v>5600507</v>
      </c>
      <c r="AM13" s="21">
        <f t="shared" si="18"/>
        <v>6123695</v>
      </c>
      <c r="AN13" s="29">
        <f>SUM(AB13:AM13)</f>
        <v>60988545.950000003</v>
      </c>
      <c r="AO13" s="21">
        <f t="shared" si="18"/>
        <v>4783739</v>
      </c>
      <c r="AP13" s="21">
        <f t="shared" si="18"/>
        <v>4714552</v>
      </c>
      <c r="AQ13" s="21">
        <f t="shared" si="18"/>
        <v>4295637</v>
      </c>
      <c r="AR13" s="21">
        <f t="shared" si="18"/>
        <v>4179731.69</v>
      </c>
      <c r="AS13" s="21">
        <f t="shared" si="18"/>
        <v>4511100.72</v>
      </c>
      <c r="AT13" s="21">
        <f t="shared" si="18"/>
        <v>4291480.7</v>
      </c>
      <c r="AU13" s="21">
        <f t="shared" si="18"/>
        <v>4388811</v>
      </c>
      <c r="AV13" s="21">
        <f t="shared" si="18"/>
        <v>4701126</v>
      </c>
      <c r="AW13" s="21">
        <f t="shared" si="18"/>
        <v>4273476</v>
      </c>
      <c r="AX13" s="21">
        <f t="shared" si="18"/>
        <v>4615869</v>
      </c>
      <c r="AY13" s="21">
        <f t="shared" si="18"/>
        <v>4838977</v>
      </c>
      <c r="AZ13" s="21">
        <f t="shared" si="18"/>
        <v>4724136</v>
      </c>
      <c r="BA13" s="29">
        <f>SUM(AO13:AZ13)</f>
        <v>54318636.109999999</v>
      </c>
      <c r="BB13" s="21">
        <f t="shared" si="18"/>
        <v>4268079</v>
      </c>
      <c r="BC13" s="21">
        <f t="shared" si="18"/>
        <v>4129333</v>
      </c>
      <c r="BD13" s="21">
        <f t="shared" si="18"/>
        <v>4603275</v>
      </c>
      <c r="BE13" s="21">
        <f t="shared" si="18"/>
        <v>5300007.0999999996</v>
      </c>
      <c r="BF13" s="21">
        <f t="shared" si="18"/>
        <v>5224551</v>
      </c>
      <c r="BG13" s="21">
        <f t="shared" si="18"/>
        <v>5578424.0499999998</v>
      </c>
      <c r="BH13" s="21">
        <f t="shared" si="18"/>
        <v>5125862</v>
      </c>
      <c r="BI13" s="21">
        <f t="shared" si="18"/>
        <v>5058719</v>
      </c>
      <c r="BJ13" s="21">
        <f t="shared" si="18"/>
        <v>5426905</v>
      </c>
      <c r="BK13" s="21">
        <f t="shared" si="18"/>
        <v>5585503</v>
      </c>
      <c r="BL13" s="21">
        <f t="shared" si="18"/>
        <v>5310032</v>
      </c>
      <c r="BM13" s="21">
        <f t="shared" si="18"/>
        <v>4822542</v>
      </c>
      <c r="BN13" s="29">
        <f>SUM(BB13:BM13)</f>
        <v>60433232.150000006</v>
      </c>
      <c r="BO13" s="21">
        <f t="shared" si="18"/>
        <v>4426734</v>
      </c>
      <c r="BP13" s="21">
        <f t="shared" si="18"/>
        <v>3998447</v>
      </c>
      <c r="BQ13" s="21">
        <f t="shared" si="18"/>
        <v>4316014</v>
      </c>
      <c r="BR13" s="21">
        <f t="shared" si="18"/>
        <v>5696313</v>
      </c>
      <c r="BS13" s="21">
        <f t="shared" si="18"/>
        <v>5782425</v>
      </c>
      <c r="BT13" s="21">
        <f t="shared" ref="BT13:BZ13" si="19">BT16+BT19+BT22+BT25+BT28+BT31+BT34</f>
        <v>5868170</v>
      </c>
      <c r="BU13" s="21">
        <f t="shared" si="19"/>
        <v>5754502</v>
      </c>
      <c r="BV13" s="21">
        <f t="shared" si="19"/>
        <v>5793847</v>
      </c>
      <c r="BW13" s="21">
        <f t="shared" si="19"/>
        <v>5941806</v>
      </c>
      <c r="BX13" s="21">
        <f t="shared" si="19"/>
        <v>5617857</v>
      </c>
      <c r="BY13" s="21">
        <f t="shared" si="19"/>
        <v>5515873</v>
      </c>
      <c r="BZ13" s="21">
        <f t="shared" si="19"/>
        <v>5500235</v>
      </c>
      <c r="CA13" s="29">
        <f>SUM(BO13:BZ13)</f>
        <v>64212223</v>
      </c>
    </row>
    <row r="14" spans="1:79" s="15" customFormat="1" x14ac:dyDescent="0.25">
      <c r="A14" s="15" t="s">
        <v>2</v>
      </c>
      <c r="B14" s="16"/>
      <c r="C14" s="16"/>
      <c r="D14" s="16"/>
      <c r="E14" s="16"/>
      <c r="F14" s="16"/>
      <c r="G14" s="16"/>
      <c r="H14" s="16"/>
      <c r="I14" s="16"/>
      <c r="J14" s="16"/>
      <c r="K14" s="16"/>
      <c r="L14" s="16"/>
      <c r="M14" s="16"/>
      <c r="N14" s="27"/>
      <c r="O14" s="16">
        <f t="shared" ref="O14:AT14" si="20">(O13/B13)-1</f>
        <v>0.92898894196900406</v>
      </c>
      <c r="P14" s="16">
        <f t="shared" si="20"/>
        <v>0.76104929874790117</v>
      </c>
      <c r="Q14" s="16">
        <f t="shared" si="20"/>
        <v>0.4653504394954624</v>
      </c>
      <c r="R14" s="16">
        <f t="shared" si="20"/>
        <v>0.1935019135983107</v>
      </c>
      <c r="S14" s="16">
        <f t="shared" si="20"/>
        <v>0.21148131167181772</v>
      </c>
      <c r="T14" s="16">
        <f t="shared" si="20"/>
        <v>6.7340179702642722E-2</v>
      </c>
      <c r="U14" s="16">
        <f t="shared" si="20"/>
        <v>0.31399300526682183</v>
      </c>
      <c r="V14" s="16">
        <f t="shared" si="20"/>
        <v>6.2022652273251655E-2</v>
      </c>
      <c r="W14" s="16">
        <f t="shared" si="20"/>
        <v>-6.8425609656231901E-3</v>
      </c>
      <c r="X14" s="16">
        <f t="shared" si="20"/>
        <v>-0.13395414008890505</v>
      </c>
      <c r="Y14" s="16">
        <f t="shared" si="20"/>
        <v>4.9483390620517209E-3</v>
      </c>
      <c r="Z14" s="16">
        <f t="shared" si="20"/>
        <v>-7.8379474641129931E-2</v>
      </c>
      <c r="AA14" s="27">
        <f t="shared" si="20"/>
        <v>0.15280186457917022</v>
      </c>
      <c r="AB14" s="16">
        <f t="shared" si="20"/>
        <v>-7.9369395820418132E-2</v>
      </c>
      <c r="AC14" s="16">
        <f t="shared" si="20"/>
        <v>-0.17714757920805246</v>
      </c>
      <c r="AD14" s="16">
        <f t="shared" si="20"/>
        <v>-0.18941278545622153</v>
      </c>
      <c r="AE14" s="16">
        <f t="shared" si="20"/>
        <v>-0.45139804209876122</v>
      </c>
      <c r="AF14" s="16">
        <f t="shared" si="20"/>
        <v>-0.13218782382838223</v>
      </c>
      <c r="AG14" s="16">
        <f t="shared" si="20"/>
        <v>-2.2229310038308303E-2</v>
      </c>
      <c r="AH14" s="16">
        <f t="shared" si="20"/>
        <v>-4.3373854741874718E-2</v>
      </c>
      <c r="AI14" s="16">
        <f t="shared" si="20"/>
        <v>-2.6822385813181526E-2</v>
      </c>
      <c r="AJ14" s="16">
        <f t="shared" si="20"/>
        <v>-1.4512003292623477E-2</v>
      </c>
      <c r="AK14" s="16">
        <f t="shared" si="20"/>
        <v>3.1140902323547603E-3</v>
      </c>
      <c r="AL14" s="16">
        <f t="shared" si="20"/>
        <v>1.9774737586550017E-2</v>
      </c>
      <c r="AM14" s="16">
        <f t="shared" si="20"/>
        <v>0.10184712531148432</v>
      </c>
      <c r="AN14" s="27">
        <f t="shared" si="20"/>
        <v>-8.0368219904324856E-2</v>
      </c>
      <c r="AO14" s="16">
        <f t="shared" si="20"/>
        <v>0.1039258427816756</v>
      </c>
      <c r="AP14" s="16">
        <f t="shared" si="20"/>
        <v>5.8260355438673139E-2</v>
      </c>
      <c r="AQ14" s="16">
        <f t="shared" si="20"/>
        <v>5.6519207966670537E-2</v>
      </c>
      <c r="AR14" s="16">
        <f t="shared" si="20"/>
        <v>0.46515260999690833</v>
      </c>
      <c r="AS14" s="16">
        <f t="shared" si="20"/>
        <v>-0.10251813484163208</v>
      </c>
      <c r="AT14" s="16">
        <f t="shared" si="20"/>
        <v>-0.20215784710279427</v>
      </c>
      <c r="AU14" s="16">
        <f t="shared" ref="AU14:BZ14" si="21">(AU13/AH13)-1</f>
        <v>-0.23254086428118648</v>
      </c>
      <c r="AV14" s="16">
        <f t="shared" si="21"/>
        <v>-0.19692821745391553</v>
      </c>
      <c r="AW14" s="16">
        <f t="shared" si="21"/>
        <v>-0.25198282115121251</v>
      </c>
      <c r="AX14" s="16">
        <f t="shared" si="21"/>
        <v>-0.21317763717834359</v>
      </c>
      <c r="AY14" s="16">
        <f t="shared" si="21"/>
        <v>-0.13597518938910347</v>
      </c>
      <c r="AZ14" s="16">
        <f t="shared" si="21"/>
        <v>-0.22854812331443675</v>
      </c>
      <c r="BA14" s="27">
        <f t="shared" si="21"/>
        <v>-0.10936331955623546</v>
      </c>
      <c r="BB14" s="16">
        <f t="shared" si="21"/>
        <v>-0.10779434245890085</v>
      </c>
      <c r="BC14" s="16">
        <f t="shared" si="21"/>
        <v>-0.12413035215222989</v>
      </c>
      <c r="BD14" s="16">
        <f t="shared" si="21"/>
        <v>7.1616386580150904E-2</v>
      </c>
      <c r="BE14" s="16">
        <f t="shared" si="21"/>
        <v>0.26802567559067403</v>
      </c>
      <c r="BF14" s="16">
        <f t="shared" si="21"/>
        <v>0.15815436725606968</v>
      </c>
      <c r="BG14" s="16">
        <f t="shared" si="21"/>
        <v>0.29988328969998612</v>
      </c>
      <c r="BH14" s="16">
        <f t="shared" si="21"/>
        <v>0.16793865126568441</v>
      </c>
      <c r="BI14" s="16">
        <f t="shared" si="21"/>
        <v>7.6065393695042394E-2</v>
      </c>
      <c r="BJ14" s="16">
        <f t="shared" si="21"/>
        <v>0.26990417168599978</v>
      </c>
      <c r="BK14" s="16">
        <f t="shared" si="21"/>
        <v>0.2100653203113001</v>
      </c>
      <c r="BL14" s="16">
        <f t="shared" si="21"/>
        <v>9.7345988625281654E-2</v>
      </c>
      <c r="BM14" s="16">
        <f t="shared" si="21"/>
        <v>2.0830475667931614E-2</v>
      </c>
      <c r="BN14" s="27">
        <f t="shared" si="21"/>
        <v>0.11256902746264497</v>
      </c>
      <c r="BO14" s="16">
        <f t="shared" si="21"/>
        <v>3.7172460959602693E-2</v>
      </c>
      <c r="BP14" s="16">
        <f t="shared" si="21"/>
        <v>-3.1696644470184387E-2</v>
      </c>
      <c r="BQ14" s="16">
        <f t="shared" si="21"/>
        <v>-6.2403614817711284E-2</v>
      </c>
      <c r="BR14" s="16">
        <f t="shared" si="21"/>
        <v>7.4774597943463306E-2</v>
      </c>
      <c r="BS14" s="16">
        <f t="shared" si="21"/>
        <v>0.10677931940945729</v>
      </c>
      <c r="BT14" s="16">
        <f t="shared" si="21"/>
        <v>5.1940466949621733E-2</v>
      </c>
      <c r="BU14" s="16">
        <f t="shared" si="21"/>
        <v>0.12264083582429652</v>
      </c>
      <c r="BV14" s="16">
        <f t="shared" si="21"/>
        <v>0.14531900269613707</v>
      </c>
      <c r="BW14" s="16">
        <f t="shared" si="21"/>
        <v>9.4879309661768607E-2</v>
      </c>
      <c r="BX14" s="16">
        <f t="shared" si="21"/>
        <v>5.7924953222654452E-3</v>
      </c>
      <c r="BY14" s="16">
        <f t="shared" si="21"/>
        <v>3.8764549818155469E-2</v>
      </c>
      <c r="BZ14" s="16">
        <f t="shared" si="21"/>
        <v>0.14052609598838117</v>
      </c>
      <c r="CA14" s="27">
        <f>(CA13/BN13)-1</f>
        <v>6.2531668678919017E-2</v>
      </c>
    </row>
    <row r="16" spans="1:79" s="1" customFormat="1" x14ac:dyDescent="0.25">
      <c r="A16" s="1" t="s">
        <v>3</v>
      </c>
      <c r="B16" s="18">
        <v>881803</v>
      </c>
      <c r="C16" s="18">
        <v>474357</v>
      </c>
      <c r="D16" s="18">
        <v>466134</v>
      </c>
      <c r="E16" s="18">
        <v>468834</v>
      </c>
      <c r="F16" s="18">
        <v>501208</v>
      </c>
      <c r="G16" s="18">
        <v>591094</v>
      </c>
      <c r="H16" s="18">
        <v>675842</v>
      </c>
      <c r="I16" s="18">
        <v>756303</v>
      </c>
      <c r="J16" s="18">
        <v>538149</v>
      </c>
      <c r="K16" s="18">
        <v>1367080</v>
      </c>
      <c r="L16" s="18">
        <v>912663</v>
      </c>
      <c r="M16" s="18">
        <v>986022</v>
      </c>
      <c r="N16" s="30">
        <f>SUM(C16:M16)</f>
        <v>7737686</v>
      </c>
      <c r="O16" s="18">
        <v>880479</v>
      </c>
      <c r="P16" s="18">
        <v>1257610</v>
      </c>
      <c r="Q16" s="18">
        <v>973120</v>
      </c>
      <c r="R16" s="18">
        <v>918441</v>
      </c>
      <c r="S16" s="18">
        <v>927335</v>
      </c>
      <c r="T16" s="18">
        <v>939172</v>
      </c>
      <c r="U16" s="18">
        <v>900000</v>
      </c>
      <c r="V16" s="18">
        <v>1081408</v>
      </c>
      <c r="W16" s="18">
        <v>1129953</v>
      </c>
      <c r="X16" s="18">
        <v>945710</v>
      </c>
      <c r="Y16" s="18">
        <v>681267</v>
      </c>
      <c r="Z16" s="18">
        <v>986491</v>
      </c>
      <c r="AA16" s="30">
        <f>SUM(O16:Z16)</f>
        <v>11620986</v>
      </c>
      <c r="AB16" s="18">
        <v>491760</v>
      </c>
      <c r="AC16" s="18">
        <v>438014</v>
      </c>
      <c r="AD16" s="18">
        <v>474578</v>
      </c>
      <c r="AE16" s="18">
        <v>438293</v>
      </c>
      <c r="AF16" s="18">
        <v>494429.63</v>
      </c>
      <c r="AG16" s="18">
        <v>516097.32</v>
      </c>
      <c r="AH16" s="18">
        <v>391802</v>
      </c>
      <c r="AI16" s="18">
        <v>560171</v>
      </c>
      <c r="AJ16" s="18">
        <v>706233</v>
      </c>
      <c r="AK16" s="18">
        <v>643857</v>
      </c>
      <c r="AL16" s="18">
        <v>655275</v>
      </c>
      <c r="AM16" s="18">
        <v>684106</v>
      </c>
      <c r="AN16" s="30">
        <f>SUM(AB16:AM16)</f>
        <v>6494615.9499999993</v>
      </c>
      <c r="AO16" s="18">
        <v>449153</v>
      </c>
      <c r="AP16" s="18">
        <v>532390</v>
      </c>
      <c r="AQ16" s="18">
        <v>381400</v>
      </c>
      <c r="AR16" s="18">
        <v>350360</v>
      </c>
      <c r="AS16" s="18">
        <v>504597.5</v>
      </c>
      <c r="AT16" s="18">
        <v>443102</v>
      </c>
      <c r="AU16" s="18">
        <v>420860</v>
      </c>
      <c r="AV16" s="18">
        <v>474053</v>
      </c>
      <c r="AW16" s="18">
        <v>320636</v>
      </c>
      <c r="AX16" s="18">
        <v>537779</v>
      </c>
      <c r="AY16" s="18">
        <v>637156</v>
      </c>
      <c r="AZ16" s="18">
        <v>642294</v>
      </c>
      <c r="BA16" s="30">
        <f>SUM(AO16:AZ16)</f>
        <v>5693780.5</v>
      </c>
      <c r="BB16" s="18">
        <v>417771</v>
      </c>
      <c r="BC16" s="18">
        <v>487920</v>
      </c>
      <c r="BD16" s="18">
        <v>565755</v>
      </c>
      <c r="BE16" s="18">
        <v>600922.1</v>
      </c>
      <c r="BF16" s="18">
        <v>500932</v>
      </c>
      <c r="BG16" s="18">
        <v>597393.05000000005</v>
      </c>
      <c r="BH16" s="18">
        <v>639384</v>
      </c>
      <c r="BI16" s="18">
        <v>766357</v>
      </c>
      <c r="BJ16" s="18">
        <v>927470</v>
      </c>
      <c r="BK16" s="18">
        <v>745236</v>
      </c>
      <c r="BL16" s="18">
        <v>591429</v>
      </c>
      <c r="BM16" s="18">
        <v>480614</v>
      </c>
      <c r="BN16" s="30">
        <f>SUM(BB16:BM16)</f>
        <v>7321183.1500000004</v>
      </c>
      <c r="BO16" s="18">
        <v>242045</v>
      </c>
      <c r="BP16" s="18">
        <v>291579</v>
      </c>
      <c r="BQ16" s="18">
        <v>289788</v>
      </c>
      <c r="BR16" s="18">
        <v>648404</v>
      </c>
      <c r="BS16" s="18">
        <v>423876</v>
      </c>
      <c r="BT16" s="18">
        <v>462917</v>
      </c>
      <c r="BU16" s="18">
        <v>448405</v>
      </c>
      <c r="BV16" s="18">
        <v>463731</v>
      </c>
      <c r="BW16" s="18">
        <v>454389</v>
      </c>
      <c r="BX16" s="18">
        <v>336427</v>
      </c>
      <c r="BY16" s="18">
        <v>365430</v>
      </c>
      <c r="BZ16" s="18">
        <v>351089</v>
      </c>
      <c r="CA16" s="29">
        <f>SUM(BO16:BZ16)</f>
        <v>4778080</v>
      </c>
    </row>
    <row r="17" spans="1:79" s="15" customFormat="1" x14ac:dyDescent="0.25">
      <c r="A17" s="15" t="s">
        <v>2</v>
      </c>
      <c r="B17" s="20"/>
      <c r="C17" s="20"/>
      <c r="D17" s="20"/>
      <c r="E17" s="20"/>
      <c r="F17" s="20"/>
      <c r="G17" s="20"/>
      <c r="H17" s="20"/>
      <c r="I17" s="20"/>
      <c r="J17" s="20"/>
      <c r="K17" s="20"/>
      <c r="L17" s="20"/>
      <c r="M17" s="20"/>
      <c r="N17" s="31"/>
      <c r="O17" s="20">
        <f t="shared" ref="O17:AT17" si="22">(O16/B16)-1</f>
        <v>-1.5014691490049525E-3</v>
      </c>
      <c r="P17" s="20">
        <f t="shared" si="22"/>
        <v>1.6511888725158479</v>
      </c>
      <c r="Q17" s="20">
        <f t="shared" si="22"/>
        <v>1.087640034839767</v>
      </c>
      <c r="R17" s="20">
        <f t="shared" si="22"/>
        <v>0.95898974903697254</v>
      </c>
      <c r="S17" s="20">
        <f t="shared" si="22"/>
        <v>0.85019991700052677</v>
      </c>
      <c r="T17" s="20">
        <f t="shared" si="22"/>
        <v>0.58887080565866001</v>
      </c>
      <c r="U17" s="20">
        <f t="shared" si="22"/>
        <v>0.33167219557233785</v>
      </c>
      <c r="V17" s="20">
        <f t="shared" si="22"/>
        <v>0.4298607833103929</v>
      </c>
      <c r="W17" s="20">
        <f t="shared" si="22"/>
        <v>1.0997028703946303</v>
      </c>
      <c r="X17" s="20">
        <f t="shared" si="22"/>
        <v>-0.30822629253591594</v>
      </c>
      <c r="Y17" s="20">
        <f t="shared" si="22"/>
        <v>-0.25353936776225183</v>
      </c>
      <c r="Z17" s="20">
        <f t="shared" si="22"/>
        <v>4.7564861635951416E-4</v>
      </c>
      <c r="AA17" s="31">
        <f t="shared" si="22"/>
        <v>0.50186838804262668</v>
      </c>
      <c r="AB17" s="20">
        <f t="shared" si="22"/>
        <v>-0.44148582760065824</v>
      </c>
      <c r="AC17" s="20">
        <f t="shared" si="22"/>
        <v>-0.65170919442434461</v>
      </c>
      <c r="AD17" s="20">
        <f t="shared" si="22"/>
        <v>-0.51231297270634657</v>
      </c>
      <c r="AE17" s="20">
        <f t="shared" si="22"/>
        <v>-0.52278589479345983</v>
      </c>
      <c r="AF17" s="20">
        <f t="shared" si="22"/>
        <v>-0.46682738169054327</v>
      </c>
      <c r="AG17" s="20">
        <f t="shared" si="22"/>
        <v>-0.45047624929192953</v>
      </c>
      <c r="AH17" s="20">
        <f t="shared" si="22"/>
        <v>-0.56466444444444441</v>
      </c>
      <c r="AI17" s="20">
        <f t="shared" si="22"/>
        <v>-0.48199846866307627</v>
      </c>
      <c r="AJ17" s="20">
        <f t="shared" si="22"/>
        <v>-0.3749890482170497</v>
      </c>
      <c r="AK17" s="20">
        <f t="shared" si="22"/>
        <v>-0.31918135580674833</v>
      </c>
      <c r="AL17" s="20">
        <f t="shared" si="22"/>
        <v>-3.8152442434464029E-2</v>
      </c>
      <c r="AM17" s="20">
        <f t="shared" si="22"/>
        <v>-0.30652585781319852</v>
      </c>
      <c r="AN17" s="31">
        <f t="shared" si="22"/>
        <v>-0.44113038687078709</v>
      </c>
      <c r="AO17" s="20">
        <f t="shared" si="22"/>
        <v>-8.6641857816821211E-2</v>
      </c>
      <c r="AP17" s="20">
        <f t="shared" si="22"/>
        <v>0.21546343267566792</v>
      </c>
      <c r="AQ17" s="20">
        <f t="shared" si="22"/>
        <v>-0.196338641909233</v>
      </c>
      <c r="AR17" s="20">
        <f t="shared" si="22"/>
        <v>-0.20062606521208415</v>
      </c>
      <c r="AS17" s="20">
        <f t="shared" si="22"/>
        <v>2.0564847620479387E-2</v>
      </c>
      <c r="AT17" s="20">
        <f t="shared" si="22"/>
        <v>-0.14143712275041465</v>
      </c>
      <c r="AU17" s="20">
        <f t="shared" ref="AU17:BZ17" si="23">(AU16/AH16)-1</f>
        <v>7.4165011919285817E-2</v>
      </c>
      <c r="AV17" s="20">
        <f t="shared" si="23"/>
        <v>-0.1537351987161063</v>
      </c>
      <c r="AW17" s="20">
        <f t="shared" si="23"/>
        <v>-0.54599119554028208</v>
      </c>
      <c r="AX17" s="20">
        <f t="shared" si="23"/>
        <v>-0.16475397487330257</v>
      </c>
      <c r="AY17" s="20">
        <f t="shared" si="23"/>
        <v>-2.765098622715656E-2</v>
      </c>
      <c r="AZ17" s="20">
        <f t="shared" si="23"/>
        <v>-6.1119183284461753E-2</v>
      </c>
      <c r="BA17" s="31">
        <f t="shared" si="23"/>
        <v>-0.12330759142116776</v>
      </c>
      <c r="BB17" s="20">
        <f t="shared" si="23"/>
        <v>-6.9869287302990246E-2</v>
      </c>
      <c r="BC17" s="20">
        <f t="shared" si="23"/>
        <v>-8.3528991904430971E-2</v>
      </c>
      <c r="BD17" s="20">
        <f t="shared" si="23"/>
        <v>0.4833639223911903</v>
      </c>
      <c r="BE17" s="20">
        <f t="shared" si="23"/>
        <v>0.71515612512843929</v>
      </c>
      <c r="BF17" s="20">
        <f t="shared" si="23"/>
        <v>-7.2642056292391288E-3</v>
      </c>
      <c r="BG17" s="20">
        <f t="shared" si="23"/>
        <v>0.34820662059751495</v>
      </c>
      <c r="BH17" s="20">
        <f t="shared" si="23"/>
        <v>0.51923204866226302</v>
      </c>
      <c r="BI17" s="20">
        <f t="shared" si="23"/>
        <v>0.61660616007070934</v>
      </c>
      <c r="BJ17" s="20">
        <f t="shared" si="23"/>
        <v>1.8925947179979792</v>
      </c>
      <c r="BK17" s="20">
        <f t="shared" si="23"/>
        <v>0.38576627201880331</v>
      </c>
      <c r="BL17" s="20">
        <f t="shared" si="23"/>
        <v>-7.1767353677906209E-2</v>
      </c>
      <c r="BM17" s="20">
        <f t="shared" si="23"/>
        <v>-0.25172273133487155</v>
      </c>
      <c r="BN17" s="31">
        <f t="shared" si="23"/>
        <v>0.28582110778594294</v>
      </c>
      <c r="BO17" s="20">
        <f t="shared" si="23"/>
        <v>-0.42062756869193885</v>
      </c>
      <c r="BP17" s="20">
        <f t="shared" si="23"/>
        <v>-0.40240408263649774</v>
      </c>
      <c r="BQ17" s="20">
        <f t="shared" si="23"/>
        <v>-0.48778534878171642</v>
      </c>
      <c r="BR17" s="20">
        <f t="shared" si="23"/>
        <v>7.9015067011181772E-2</v>
      </c>
      <c r="BS17" s="20">
        <f t="shared" si="23"/>
        <v>-0.15382526969728427</v>
      </c>
      <c r="BT17" s="20">
        <f t="shared" si="23"/>
        <v>-0.22510481164787577</v>
      </c>
      <c r="BU17" s="20">
        <f t="shared" si="23"/>
        <v>-0.29869217872201992</v>
      </c>
      <c r="BV17" s="20">
        <f t="shared" si="23"/>
        <v>-0.39488906606190066</v>
      </c>
      <c r="BW17" s="20">
        <f t="shared" si="23"/>
        <v>-0.51007687580191274</v>
      </c>
      <c r="BX17" s="20">
        <f t="shared" si="23"/>
        <v>-0.54856313973023307</v>
      </c>
      <c r="BY17" s="20">
        <f t="shared" si="23"/>
        <v>-0.38212363614229261</v>
      </c>
      <c r="BZ17" s="20">
        <f t="shared" si="23"/>
        <v>-0.26949901584223512</v>
      </c>
      <c r="CA17" s="31">
        <f>(CA16/BN16)-1</f>
        <v>-0.34736231807013329</v>
      </c>
    </row>
    <row r="18" spans="1:79" x14ac:dyDescent="0.25">
      <c r="B18" s="12"/>
      <c r="C18" s="12"/>
      <c r="D18" s="12"/>
      <c r="E18" s="12"/>
      <c r="F18" s="12"/>
      <c r="G18" s="12"/>
      <c r="H18" s="12"/>
      <c r="I18" s="12"/>
      <c r="J18" s="12"/>
      <c r="K18" s="12"/>
      <c r="L18" s="12"/>
      <c r="M18" s="12"/>
      <c r="N18" s="32"/>
      <c r="O18" s="12"/>
      <c r="P18" s="12"/>
      <c r="Q18" s="12"/>
      <c r="R18" s="12"/>
      <c r="S18" s="12"/>
      <c r="T18" s="12"/>
      <c r="U18" s="12"/>
      <c r="V18" s="12"/>
      <c r="W18" s="12"/>
      <c r="X18" s="12"/>
      <c r="Y18" s="12"/>
      <c r="Z18" s="12"/>
      <c r="AA18" s="32"/>
      <c r="AB18" s="12"/>
      <c r="AC18" s="12"/>
      <c r="AD18" s="12"/>
      <c r="AE18" s="12"/>
      <c r="AF18" s="12"/>
      <c r="AG18" s="12"/>
      <c r="AH18" s="12"/>
      <c r="AI18" s="12"/>
      <c r="AJ18" s="12"/>
      <c r="AK18" s="12"/>
      <c r="AL18" s="12"/>
      <c r="AM18" s="12"/>
      <c r="AN18" s="32"/>
      <c r="AO18" s="12"/>
      <c r="AP18" s="12"/>
      <c r="AQ18" s="12"/>
      <c r="AR18" s="12"/>
      <c r="AS18" s="12"/>
      <c r="AT18" s="12"/>
      <c r="AU18" s="12"/>
      <c r="AV18" s="12"/>
      <c r="AW18" s="12"/>
      <c r="AX18" s="12"/>
      <c r="AY18" s="12"/>
      <c r="AZ18" s="12"/>
      <c r="BA18" s="32"/>
      <c r="BB18" s="12"/>
      <c r="BC18" s="12"/>
      <c r="BD18" s="12"/>
      <c r="BE18" s="12"/>
      <c r="BF18" s="12"/>
      <c r="BG18" s="12"/>
      <c r="BH18" s="12"/>
      <c r="BI18" s="12"/>
      <c r="BJ18" s="12"/>
      <c r="BK18" s="12"/>
      <c r="BL18" s="12"/>
      <c r="BM18" s="12"/>
      <c r="BN18" s="32"/>
      <c r="BO18" s="12"/>
      <c r="BP18" s="12"/>
      <c r="BQ18" s="12"/>
      <c r="BR18" s="12"/>
      <c r="BS18" s="12"/>
      <c r="BT18" s="12"/>
      <c r="BU18" s="12"/>
      <c r="BV18" s="12"/>
      <c r="BW18" s="12"/>
      <c r="BX18" s="12"/>
      <c r="BY18" s="12"/>
      <c r="BZ18" s="12"/>
    </row>
    <row r="19" spans="1:79" s="1" customFormat="1" x14ac:dyDescent="0.25">
      <c r="A19" s="1" t="s">
        <v>15</v>
      </c>
      <c r="B19" s="18">
        <v>852043</v>
      </c>
      <c r="C19" s="18">
        <v>1519296</v>
      </c>
      <c r="D19" s="18">
        <v>1842973</v>
      </c>
      <c r="E19" s="18">
        <v>2345767</v>
      </c>
      <c r="F19" s="18">
        <v>2502672</v>
      </c>
      <c r="G19" s="18">
        <v>2726686</v>
      </c>
      <c r="H19" s="18">
        <v>2646065</v>
      </c>
      <c r="I19" s="18">
        <v>3036202</v>
      </c>
      <c r="J19" s="18">
        <v>3032555</v>
      </c>
      <c r="K19" s="18">
        <v>3298039</v>
      </c>
      <c r="L19" s="18">
        <v>3245718</v>
      </c>
      <c r="M19" s="18">
        <v>3514689</v>
      </c>
      <c r="N19" s="30">
        <f>SUM(C19:M19)</f>
        <v>29710662</v>
      </c>
      <c r="O19" s="18">
        <v>2670474</v>
      </c>
      <c r="P19" s="18">
        <v>2850184</v>
      </c>
      <c r="Q19" s="18">
        <v>2689146</v>
      </c>
      <c r="R19" s="18">
        <v>2808901</v>
      </c>
      <c r="S19" s="18">
        <v>3097272</v>
      </c>
      <c r="T19" s="18">
        <v>3166886</v>
      </c>
      <c r="U19" s="18">
        <v>3200000</v>
      </c>
      <c r="V19" s="18">
        <v>3257871</v>
      </c>
      <c r="W19" s="18">
        <v>3298025</v>
      </c>
      <c r="X19" s="18">
        <v>3330370</v>
      </c>
      <c r="Y19" s="18">
        <v>3318435</v>
      </c>
      <c r="Z19" s="18">
        <v>3031356</v>
      </c>
      <c r="AA19" s="30">
        <f>SUM(O19:Z19)</f>
        <v>36718920</v>
      </c>
      <c r="AB19" s="18">
        <v>2447823</v>
      </c>
      <c r="AC19" s="18">
        <v>2771850</v>
      </c>
      <c r="AD19" s="18">
        <v>2228772</v>
      </c>
      <c r="AE19" s="18">
        <v>1126314</v>
      </c>
      <c r="AF19" s="18">
        <v>3161900</v>
      </c>
      <c r="AG19" s="18">
        <v>3367016</v>
      </c>
      <c r="AH19" s="18">
        <v>3448755</v>
      </c>
      <c r="AI19" s="18">
        <v>3745196</v>
      </c>
      <c r="AJ19" s="18">
        <v>3593776</v>
      </c>
      <c r="AK19" s="18">
        <v>3818433</v>
      </c>
      <c r="AL19" s="18">
        <v>3602012</v>
      </c>
      <c r="AM19" s="18">
        <v>3903499</v>
      </c>
      <c r="AN19" s="30">
        <f>SUM(AB19:AM19)</f>
        <v>37215346</v>
      </c>
      <c r="AO19" s="18">
        <v>3186171</v>
      </c>
      <c r="AP19" s="18">
        <v>2910160</v>
      </c>
      <c r="AQ19" s="18">
        <v>2862134</v>
      </c>
      <c r="AR19" s="18">
        <v>2906284.27</v>
      </c>
      <c r="AS19" s="18">
        <v>3138257</v>
      </c>
      <c r="AT19" s="18">
        <v>3031579</v>
      </c>
      <c r="AU19" s="18">
        <v>3080248</v>
      </c>
      <c r="AV19" s="18">
        <v>3193273</v>
      </c>
      <c r="AW19" s="18">
        <v>3088101</v>
      </c>
      <c r="AX19" s="18">
        <v>3035236</v>
      </c>
      <c r="AY19" s="18">
        <v>3251708</v>
      </c>
      <c r="AZ19" s="18">
        <v>3013558</v>
      </c>
      <c r="BA19" s="30">
        <f>SUM(AO19:AZ19)</f>
        <v>36696709.269999996</v>
      </c>
      <c r="BB19" s="18">
        <v>3101693</v>
      </c>
      <c r="BC19" s="18">
        <v>2791665</v>
      </c>
      <c r="BD19" s="18">
        <v>2737046</v>
      </c>
      <c r="BE19" s="18">
        <v>3221481</v>
      </c>
      <c r="BF19" s="18">
        <v>3535030</v>
      </c>
      <c r="BG19" s="18">
        <v>3589762</v>
      </c>
      <c r="BH19" s="18">
        <v>3235480</v>
      </c>
      <c r="BI19" s="18">
        <v>3210411</v>
      </c>
      <c r="BJ19" s="18">
        <v>3313251</v>
      </c>
      <c r="BK19" s="18">
        <v>3631911</v>
      </c>
      <c r="BL19" s="18">
        <v>3545585</v>
      </c>
      <c r="BM19" s="18">
        <v>3046229</v>
      </c>
      <c r="BN19" s="30">
        <f>SUM(BB19:BM19)</f>
        <v>38959544</v>
      </c>
      <c r="BO19" s="18">
        <v>3294762</v>
      </c>
      <c r="BP19" s="18">
        <v>2794117</v>
      </c>
      <c r="BQ19" s="18">
        <v>2985328</v>
      </c>
      <c r="BR19" s="18">
        <v>3894547</v>
      </c>
      <c r="BS19" s="18">
        <v>4166343</v>
      </c>
      <c r="BT19" s="18">
        <v>4182396</v>
      </c>
      <c r="BU19" s="18">
        <v>4156562</v>
      </c>
      <c r="BV19" s="18">
        <v>4209870</v>
      </c>
      <c r="BW19" s="18">
        <v>4227841</v>
      </c>
      <c r="BX19" s="18">
        <v>4068037</v>
      </c>
      <c r="BY19" s="18">
        <v>4094214</v>
      </c>
      <c r="BZ19" s="18">
        <v>3908270</v>
      </c>
      <c r="CA19" s="29">
        <f>SUM(BO19:BZ19)</f>
        <v>45982287</v>
      </c>
    </row>
    <row r="20" spans="1:79" s="15" customFormat="1" x14ac:dyDescent="0.25">
      <c r="A20" s="15" t="s">
        <v>2</v>
      </c>
      <c r="B20" s="20"/>
      <c r="C20" s="20"/>
      <c r="D20" s="20"/>
      <c r="E20" s="20"/>
      <c r="F20" s="20"/>
      <c r="G20" s="20"/>
      <c r="H20" s="20"/>
      <c r="I20" s="20"/>
      <c r="J20" s="20"/>
      <c r="K20" s="20"/>
      <c r="L20" s="20"/>
      <c r="M20" s="20"/>
      <c r="N20" s="31"/>
      <c r="O20" s="20">
        <f t="shared" ref="O20:AT20" si="24">(O19/B19)-1</f>
        <v>2.1342009734250502</v>
      </c>
      <c r="P20" s="20">
        <f t="shared" si="24"/>
        <v>0.87598993217911447</v>
      </c>
      <c r="Q20" s="20">
        <f t="shared" si="24"/>
        <v>0.45913477842594541</v>
      </c>
      <c r="R20" s="20">
        <f t="shared" si="24"/>
        <v>0.19743393099144124</v>
      </c>
      <c r="S20" s="20">
        <f t="shared" si="24"/>
        <v>0.23758606801051041</v>
      </c>
      <c r="T20" s="20">
        <f t="shared" si="24"/>
        <v>0.16144139809277647</v>
      </c>
      <c r="U20" s="20">
        <f t="shared" si="24"/>
        <v>0.20934292997337556</v>
      </c>
      <c r="V20" s="20">
        <f t="shared" si="24"/>
        <v>7.3008646987255732E-2</v>
      </c>
      <c r="W20" s="20">
        <f t="shared" si="24"/>
        <v>8.7540044615843637E-2</v>
      </c>
      <c r="X20" s="20">
        <f t="shared" si="24"/>
        <v>9.80309814407887E-3</v>
      </c>
      <c r="Y20" s="20">
        <f t="shared" si="24"/>
        <v>2.2403979643333072E-2</v>
      </c>
      <c r="Z20" s="20">
        <f t="shared" si="24"/>
        <v>-0.13751799945884258</v>
      </c>
      <c r="AA20" s="31">
        <f t="shared" si="24"/>
        <v>0.23588360299746935</v>
      </c>
      <c r="AB20" s="20">
        <f t="shared" si="24"/>
        <v>-8.3375086220648487E-2</v>
      </c>
      <c r="AC20" s="20">
        <f t="shared" si="24"/>
        <v>-2.7483839639826813E-2</v>
      </c>
      <c r="AD20" s="20">
        <f t="shared" si="24"/>
        <v>-0.17119710123585707</v>
      </c>
      <c r="AE20" s="20">
        <f t="shared" si="24"/>
        <v>-0.59901968777112469</v>
      </c>
      <c r="AF20" s="20">
        <f t="shared" si="24"/>
        <v>2.0866104107098105E-2</v>
      </c>
      <c r="AG20" s="20">
        <f t="shared" si="24"/>
        <v>6.3194570312919307E-2</v>
      </c>
      <c r="AH20" s="20">
        <f t="shared" si="24"/>
        <v>7.7735937499999963E-2</v>
      </c>
      <c r="AI20" s="20">
        <f t="shared" si="24"/>
        <v>0.14958388469033923</v>
      </c>
      <c r="AJ20" s="20">
        <f t="shared" si="24"/>
        <v>8.9675184390658025E-2</v>
      </c>
      <c r="AK20" s="20">
        <f t="shared" si="24"/>
        <v>0.14654918222299629</v>
      </c>
      <c r="AL20" s="20">
        <f t="shared" si="24"/>
        <v>8.5455041307122226E-2</v>
      </c>
      <c r="AM20" s="20">
        <f t="shared" si="24"/>
        <v>0.28770721749606443</v>
      </c>
      <c r="AN20" s="31">
        <f t="shared" si="24"/>
        <v>1.3519624215527104E-2</v>
      </c>
      <c r="AO20" s="20">
        <f t="shared" si="24"/>
        <v>0.30163455445920717</v>
      </c>
      <c r="AP20" s="20">
        <f t="shared" si="24"/>
        <v>4.989808250807215E-2</v>
      </c>
      <c r="AQ20" s="20">
        <f t="shared" si="24"/>
        <v>0.28417532165694825</v>
      </c>
      <c r="AR20" s="20">
        <f t="shared" si="24"/>
        <v>1.5803499468176727</v>
      </c>
      <c r="AS20" s="20">
        <f t="shared" si="24"/>
        <v>-7.4774660805212445E-3</v>
      </c>
      <c r="AT20" s="20">
        <f t="shared" si="24"/>
        <v>-9.9624415209194184E-2</v>
      </c>
      <c r="AU20" s="20">
        <f t="shared" ref="AU20:BZ20" si="25">(AU19/AH19)-1</f>
        <v>-0.10685218288918752</v>
      </c>
      <c r="AV20" s="20">
        <f t="shared" si="25"/>
        <v>-0.1473682552261617</v>
      </c>
      <c r="AW20" s="20">
        <f t="shared" si="25"/>
        <v>-0.14070854722164094</v>
      </c>
      <c r="AX20" s="20">
        <f t="shared" si="25"/>
        <v>-0.20510953053255088</v>
      </c>
      <c r="AY20" s="20">
        <f t="shared" si="25"/>
        <v>-9.7252313429272319E-2</v>
      </c>
      <c r="AZ20" s="20">
        <f t="shared" si="25"/>
        <v>-0.22798545612538901</v>
      </c>
      <c r="BA20" s="31">
        <f t="shared" si="25"/>
        <v>-1.3936098565360711E-2</v>
      </c>
      <c r="BB20" s="20">
        <f t="shared" si="25"/>
        <v>-2.6513956721092469E-2</v>
      </c>
      <c r="BC20" s="20">
        <f t="shared" si="25"/>
        <v>-4.0717692498006941E-2</v>
      </c>
      <c r="BD20" s="20">
        <f t="shared" si="25"/>
        <v>-4.3704452691593065E-2</v>
      </c>
      <c r="BE20" s="20">
        <f t="shared" si="25"/>
        <v>0.10845350995207359</v>
      </c>
      <c r="BF20" s="20">
        <f t="shared" si="25"/>
        <v>0.12643100931504336</v>
      </c>
      <c r="BG20" s="20">
        <f t="shared" si="25"/>
        <v>0.18412286138675582</v>
      </c>
      <c r="BH20" s="20">
        <f t="shared" si="25"/>
        <v>5.0395942144918271E-2</v>
      </c>
      <c r="BI20" s="20">
        <f t="shared" si="25"/>
        <v>5.3669072453248479E-3</v>
      </c>
      <c r="BJ20" s="20">
        <f t="shared" si="25"/>
        <v>7.2908884780646721E-2</v>
      </c>
      <c r="BK20" s="20">
        <f t="shared" si="25"/>
        <v>0.19658273689426453</v>
      </c>
      <c r="BL20" s="20">
        <f t="shared" si="25"/>
        <v>9.0376196140612874E-2</v>
      </c>
      <c r="BM20" s="20">
        <f t="shared" si="25"/>
        <v>1.0841337714422528E-2</v>
      </c>
      <c r="BN20" s="31">
        <f t="shared" si="25"/>
        <v>6.166315113845644E-2</v>
      </c>
      <c r="BO20" s="20">
        <f t="shared" si="25"/>
        <v>6.2246328053743527E-2</v>
      </c>
      <c r="BP20" s="20">
        <f t="shared" si="25"/>
        <v>8.7832888258443376E-4</v>
      </c>
      <c r="BQ20" s="20">
        <f t="shared" si="25"/>
        <v>9.0711665057876312E-2</v>
      </c>
      <c r="BR20" s="20">
        <f t="shared" si="25"/>
        <v>0.2089306129696249</v>
      </c>
      <c r="BS20" s="20">
        <f t="shared" si="25"/>
        <v>0.17858773475755507</v>
      </c>
      <c r="BT20" s="20">
        <f t="shared" si="25"/>
        <v>0.16509005332386928</v>
      </c>
      <c r="BU20" s="20">
        <f t="shared" si="25"/>
        <v>0.2846817164686537</v>
      </c>
      <c r="BV20" s="20">
        <f t="shared" si="25"/>
        <v>0.31131808357247714</v>
      </c>
      <c r="BW20" s="20">
        <f t="shared" si="25"/>
        <v>0.27604005854069014</v>
      </c>
      <c r="BX20" s="20">
        <f t="shared" si="25"/>
        <v>0.12008168702371846</v>
      </c>
      <c r="BY20" s="20">
        <f t="shared" si="25"/>
        <v>0.15473581933587832</v>
      </c>
      <c r="BZ20" s="20">
        <f t="shared" si="25"/>
        <v>0.28298627581839719</v>
      </c>
      <c r="CA20" s="31">
        <f>(CA19/BN19)-1</f>
        <v>0.18025732026021668</v>
      </c>
    </row>
    <row r="21" spans="1:79" x14ac:dyDescent="0.25">
      <c r="B21" s="12"/>
      <c r="C21" s="12"/>
      <c r="D21" s="12"/>
      <c r="E21" s="12"/>
      <c r="F21" s="12"/>
      <c r="G21" s="12"/>
      <c r="H21" s="12"/>
      <c r="I21" s="12"/>
      <c r="J21" s="12"/>
      <c r="K21" s="12"/>
      <c r="L21" s="12"/>
      <c r="M21" s="12"/>
      <c r="N21" s="32"/>
      <c r="O21" s="12"/>
      <c r="P21" s="12"/>
      <c r="Q21" s="12"/>
      <c r="R21" s="12"/>
      <c r="S21" s="12"/>
      <c r="T21" s="12"/>
      <c r="U21" s="12"/>
      <c r="V21" s="12"/>
      <c r="W21" s="12"/>
      <c r="X21" s="12"/>
      <c r="Y21" s="12"/>
      <c r="Z21" s="12"/>
      <c r="AA21" s="32"/>
      <c r="AB21" s="12"/>
      <c r="AC21" s="12"/>
      <c r="AD21" s="12"/>
      <c r="AE21" s="12"/>
      <c r="AF21" s="12"/>
      <c r="AG21" s="12"/>
      <c r="AH21" s="12"/>
      <c r="AI21" s="12"/>
      <c r="AJ21" s="12"/>
      <c r="AK21" s="12"/>
      <c r="AL21" s="12"/>
      <c r="AM21" s="12"/>
      <c r="AN21" s="32"/>
      <c r="AO21" s="12"/>
      <c r="AP21" s="12"/>
      <c r="AQ21" s="12"/>
      <c r="AR21" s="12"/>
      <c r="AS21" s="12"/>
      <c r="AT21" s="12"/>
      <c r="AU21" s="12"/>
      <c r="AV21" s="12"/>
      <c r="AW21" s="12"/>
      <c r="AX21" s="12"/>
      <c r="AY21" s="12"/>
      <c r="AZ21" s="12"/>
      <c r="BA21" s="32"/>
      <c r="BB21" s="12"/>
      <c r="BC21" s="12"/>
      <c r="BD21" s="12"/>
      <c r="BE21" s="12"/>
      <c r="BF21" s="12"/>
      <c r="BG21" s="12"/>
      <c r="BH21" s="12"/>
      <c r="BI21" s="12"/>
      <c r="BJ21" s="12"/>
      <c r="BK21" s="12"/>
      <c r="BL21" s="12"/>
      <c r="BM21" s="12"/>
      <c r="BN21" s="32"/>
      <c r="BO21" s="12"/>
      <c r="BP21" s="12"/>
      <c r="BQ21" s="12"/>
      <c r="BR21" s="12"/>
      <c r="BS21" s="12"/>
      <c r="BT21" s="12"/>
      <c r="BU21" s="12"/>
      <c r="BV21" s="12"/>
      <c r="BW21" s="12"/>
      <c r="BX21" s="12"/>
      <c r="BY21" s="12"/>
      <c r="BZ21" s="12"/>
    </row>
    <row r="22" spans="1:79" s="1" customFormat="1" x14ac:dyDescent="0.25">
      <c r="A22" s="1" t="s">
        <v>4</v>
      </c>
      <c r="B22" s="18">
        <v>357806</v>
      </c>
      <c r="C22" s="18">
        <v>465090</v>
      </c>
      <c r="D22" s="18">
        <v>419491</v>
      </c>
      <c r="E22" s="18">
        <v>485344</v>
      </c>
      <c r="F22" s="18">
        <v>572366</v>
      </c>
      <c r="G22" s="18">
        <v>491430</v>
      </c>
      <c r="H22" s="18">
        <v>473256</v>
      </c>
      <c r="I22" s="18">
        <v>820593</v>
      </c>
      <c r="J22" s="18">
        <v>540964</v>
      </c>
      <c r="K22" s="18">
        <v>541922</v>
      </c>
      <c r="L22" s="18">
        <v>473318</v>
      </c>
      <c r="M22" s="18">
        <v>627135</v>
      </c>
      <c r="N22" s="30">
        <f>SUM(C22:M22)</f>
        <v>5910909</v>
      </c>
      <c r="O22" s="18">
        <v>568343</v>
      </c>
      <c r="P22" s="18">
        <v>527169</v>
      </c>
      <c r="Q22" s="18">
        <v>551787</v>
      </c>
      <c r="R22" s="18">
        <v>653449</v>
      </c>
      <c r="S22" s="18">
        <v>726813</v>
      </c>
      <c r="T22" s="18">
        <v>598155</v>
      </c>
      <c r="U22" s="18">
        <v>531615</v>
      </c>
      <c r="V22" s="18">
        <v>524043</v>
      </c>
      <c r="W22" s="18">
        <v>521425</v>
      </c>
      <c r="X22" s="18">
        <v>610999</v>
      </c>
      <c r="Y22" s="18">
        <v>558966</v>
      </c>
      <c r="Z22" s="18">
        <v>550777</v>
      </c>
      <c r="AA22" s="30">
        <f>SUM(O22:Z22)</f>
        <v>6923541</v>
      </c>
      <c r="AB22" s="18">
        <v>512541</v>
      </c>
      <c r="AC22" s="18">
        <v>509265</v>
      </c>
      <c r="AD22" s="18">
        <v>507652</v>
      </c>
      <c r="AE22" s="18">
        <v>531897</v>
      </c>
      <c r="AF22" s="18">
        <v>499402</v>
      </c>
      <c r="AG22" s="18">
        <v>516319</v>
      </c>
      <c r="AH22" s="18">
        <v>516997</v>
      </c>
      <c r="AI22" s="18">
        <v>517816</v>
      </c>
      <c r="AJ22" s="18">
        <v>523843</v>
      </c>
      <c r="AK22" s="18">
        <v>510684</v>
      </c>
      <c r="AL22" s="18">
        <v>499658</v>
      </c>
      <c r="AM22" s="18">
        <v>510920</v>
      </c>
      <c r="AN22" s="30">
        <f>SUM(AB22:AM22)</f>
        <v>6156994</v>
      </c>
      <c r="AO22" s="18">
        <v>493935</v>
      </c>
      <c r="AP22" s="18">
        <v>484945</v>
      </c>
      <c r="AQ22" s="18">
        <v>396413</v>
      </c>
      <c r="AR22" s="18">
        <v>169208.04</v>
      </c>
      <c r="AS22" s="18">
        <v>151786.15</v>
      </c>
      <c r="AT22" s="18">
        <v>102515.87</v>
      </c>
      <c r="AU22" s="18">
        <v>148229</v>
      </c>
      <c r="AV22" s="18">
        <v>169222</v>
      </c>
      <c r="AW22" s="18">
        <v>176127</v>
      </c>
      <c r="AX22" s="18">
        <v>171197</v>
      </c>
      <c r="AY22" s="18">
        <v>204734</v>
      </c>
      <c r="AZ22" s="18">
        <v>211191</v>
      </c>
      <c r="BA22" s="30">
        <f>SUM(AO22:AZ22)</f>
        <v>2879503.06</v>
      </c>
      <c r="BB22" s="18">
        <v>182692</v>
      </c>
      <c r="BC22" s="18">
        <v>188115</v>
      </c>
      <c r="BD22" s="18">
        <v>192535</v>
      </c>
      <c r="BE22" s="18">
        <v>192281</v>
      </c>
      <c r="BF22" s="18">
        <v>187538</v>
      </c>
      <c r="BG22" s="18">
        <v>184495</v>
      </c>
      <c r="BH22" s="18">
        <v>176660</v>
      </c>
      <c r="BI22" s="18">
        <v>177029</v>
      </c>
      <c r="BJ22" s="18">
        <v>179776</v>
      </c>
      <c r="BK22" s="18">
        <v>188378</v>
      </c>
      <c r="BL22" s="18">
        <v>200122</v>
      </c>
      <c r="BM22" s="18">
        <v>210370</v>
      </c>
      <c r="BN22" s="30">
        <f>SUM(BB22:BM22)</f>
        <v>2259991</v>
      </c>
      <c r="BO22" s="18">
        <v>223469</v>
      </c>
      <c r="BP22" s="18">
        <v>228739</v>
      </c>
      <c r="BQ22" s="18">
        <v>199610</v>
      </c>
      <c r="BR22" s="18">
        <v>210468</v>
      </c>
      <c r="BS22" s="18">
        <v>191348</v>
      </c>
      <c r="BT22" s="18">
        <v>191056</v>
      </c>
      <c r="BU22" s="18">
        <v>206430</v>
      </c>
      <c r="BV22" s="18">
        <v>174202</v>
      </c>
      <c r="BW22" s="18">
        <v>183254</v>
      </c>
      <c r="BX22" s="18">
        <v>195519</v>
      </c>
      <c r="BY22" s="18">
        <v>203505</v>
      </c>
      <c r="BZ22" s="18">
        <v>206944</v>
      </c>
      <c r="CA22" s="29">
        <f>SUM(BO22:BZ22)</f>
        <v>2414544</v>
      </c>
    </row>
    <row r="23" spans="1:79" s="15" customFormat="1" x14ac:dyDescent="0.25">
      <c r="A23" s="15" t="s">
        <v>2</v>
      </c>
      <c r="B23" s="20"/>
      <c r="C23" s="20"/>
      <c r="D23" s="20"/>
      <c r="E23" s="20"/>
      <c r="F23" s="20"/>
      <c r="G23" s="20"/>
      <c r="H23" s="20"/>
      <c r="I23" s="20"/>
      <c r="J23" s="20"/>
      <c r="K23" s="20"/>
      <c r="L23" s="20"/>
      <c r="M23" s="20"/>
      <c r="N23" s="31"/>
      <c r="O23" s="20">
        <f t="shared" ref="O23:AT23" si="26">(O22/B22)-1</f>
        <v>0.58841103838392872</v>
      </c>
      <c r="P23" s="20">
        <f t="shared" si="26"/>
        <v>0.13347739147261817</v>
      </c>
      <c r="Q23" s="20">
        <f t="shared" si="26"/>
        <v>0.31537267784052569</v>
      </c>
      <c r="R23" s="20">
        <f t="shared" si="26"/>
        <v>0.34636257994329789</v>
      </c>
      <c r="S23" s="20">
        <f t="shared" si="26"/>
        <v>0.26983957817200888</v>
      </c>
      <c r="T23" s="20">
        <f t="shared" si="26"/>
        <v>0.21717233380135514</v>
      </c>
      <c r="U23" s="20">
        <f t="shared" si="26"/>
        <v>0.12331380901668432</v>
      </c>
      <c r="V23" s="20">
        <f t="shared" si="26"/>
        <v>-0.36138499840968663</v>
      </c>
      <c r="W23" s="20">
        <f t="shared" si="26"/>
        <v>-3.6118854489393004E-2</v>
      </c>
      <c r="X23" s="20">
        <f t="shared" si="26"/>
        <v>0.12746668339724176</v>
      </c>
      <c r="Y23" s="20">
        <f t="shared" si="26"/>
        <v>0.18095234070962851</v>
      </c>
      <c r="Z23" s="20">
        <f t="shared" si="26"/>
        <v>-0.12175687850303363</v>
      </c>
      <c r="AA23" s="31">
        <f t="shared" si="26"/>
        <v>0.17131578239489054</v>
      </c>
      <c r="AB23" s="20">
        <f t="shared" si="26"/>
        <v>-9.8183667257272456E-2</v>
      </c>
      <c r="AC23" s="20">
        <f t="shared" si="26"/>
        <v>-3.3962543321022332E-2</v>
      </c>
      <c r="AD23" s="20">
        <f t="shared" si="26"/>
        <v>-7.9985574143646043E-2</v>
      </c>
      <c r="AE23" s="20">
        <f t="shared" si="26"/>
        <v>-0.18601604715899789</v>
      </c>
      <c r="AF23" s="20">
        <f t="shared" si="26"/>
        <v>-0.31288790926964705</v>
      </c>
      <c r="AG23" s="20">
        <f t="shared" si="26"/>
        <v>-0.13681403649555712</v>
      </c>
      <c r="AH23" s="20">
        <f t="shared" si="26"/>
        <v>-2.7497343001984476E-2</v>
      </c>
      <c r="AI23" s="20">
        <f t="shared" si="26"/>
        <v>-1.1882612686363481E-2</v>
      </c>
      <c r="AJ23" s="20">
        <f t="shared" si="26"/>
        <v>4.6372920362467429E-3</v>
      </c>
      <c r="AK23" s="20">
        <f t="shared" si="26"/>
        <v>-0.16418193810464499</v>
      </c>
      <c r="AL23" s="20">
        <f t="shared" si="26"/>
        <v>-0.10610305456861424</v>
      </c>
      <c r="AM23" s="20">
        <f t="shared" si="26"/>
        <v>-7.2365040660739233E-2</v>
      </c>
      <c r="AN23" s="31">
        <f t="shared" si="26"/>
        <v>-0.11071603389075046</v>
      </c>
      <c r="AO23" s="20">
        <f t="shared" si="26"/>
        <v>-3.6301486125012383E-2</v>
      </c>
      <c r="AP23" s="20">
        <f t="shared" si="26"/>
        <v>-4.7755098033440357E-2</v>
      </c>
      <c r="AQ23" s="20">
        <f t="shared" si="26"/>
        <v>-0.21912451837085245</v>
      </c>
      <c r="AR23" s="20">
        <f t="shared" si="26"/>
        <v>-0.68187818318208215</v>
      </c>
      <c r="AS23" s="20">
        <f t="shared" si="26"/>
        <v>-0.69606419277455833</v>
      </c>
      <c r="AT23" s="20">
        <f t="shared" si="26"/>
        <v>-0.80144858120657969</v>
      </c>
      <c r="AU23" s="20">
        <f t="shared" ref="AU23:BZ23" si="27">(AU22/AH22)-1</f>
        <v>-0.71328847169325926</v>
      </c>
      <c r="AV23" s="20">
        <f t="shared" si="27"/>
        <v>-0.6732005191033108</v>
      </c>
      <c r="AW23" s="20">
        <f t="shared" si="27"/>
        <v>-0.66377903303088903</v>
      </c>
      <c r="AX23" s="20">
        <f t="shared" si="27"/>
        <v>-0.664769211488905</v>
      </c>
      <c r="AY23" s="20">
        <f t="shared" si="27"/>
        <v>-0.59025173218481441</v>
      </c>
      <c r="AZ23" s="20">
        <f t="shared" si="27"/>
        <v>-0.58664565881155561</v>
      </c>
      <c r="BA23" s="31">
        <f t="shared" si="27"/>
        <v>-0.53231998277081316</v>
      </c>
      <c r="BB23" s="20">
        <f t="shared" si="27"/>
        <v>-0.63012947047688461</v>
      </c>
      <c r="BC23" s="20">
        <f t="shared" si="27"/>
        <v>-0.61209003082823821</v>
      </c>
      <c r="BD23" s="20">
        <f t="shared" si="27"/>
        <v>-0.51430704845703845</v>
      </c>
      <c r="BE23" s="20">
        <f t="shared" si="27"/>
        <v>0.13635853237233886</v>
      </c>
      <c r="BF23" s="20">
        <f t="shared" si="27"/>
        <v>0.23554092385899517</v>
      </c>
      <c r="BG23" s="20">
        <f t="shared" si="27"/>
        <v>0.79967257752385068</v>
      </c>
      <c r="BH23" s="20">
        <f t="shared" si="27"/>
        <v>0.19180457265447393</v>
      </c>
      <c r="BI23" s="20">
        <f t="shared" si="27"/>
        <v>4.6134663341645954E-2</v>
      </c>
      <c r="BJ23" s="20">
        <f t="shared" si="27"/>
        <v>2.0718004621665065E-2</v>
      </c>
      <c r="BK23" s="20">
        <f t="shared" si="27"/>
        <v>0.1003580670222024</v>
      </c>
      <c r="BL23" s="20">
        <f t="shared" si="27"/>
        <v>-2.2526790860335821E-2</v>
      </c>
      <c r="BM23" s="20">
        <f t="shared" si="27"/>
        <v>-3.8874762655605188E-3</v>
      </c>
      <c r="BN23" s="31">
        <f t="shared" si="27"/>
        <v>-0.21514547721994781</v>
      </c>
      <c r="BO23" s="20">
        <f t="shared" si="27"/>
        <v>0.22320079696976336</v>
      </c>
      <c r="BP23" s="20">
        <f t="shared" si="27"/>
        <v>0.21595300746883561</v>
      </c>
      <c r="BQ23" s="20">
        <f t="shared" si="27"/>
        <v>3.6746565559508726E-2</v>
      </c>
      <c r="BR23" s="20">
        <f t="shared" si="27"/>
        <v>9.4585528471351932E-2</v>
      </c>
      <c r="BS23" s="20">
        <f t="shared" si="27"/>
        <v>2.031588264778339E-2</v>
      </c>
      <c r="BT23" s="20">
        <f t="shared" si="27"/>
        <v>3.5561939347949822E-2</v>
      </c>
      <c r="BU23" s="20">
        <f t="shared" si="27"/>
        <v>0.16851579304879438</v>
      </c>
      <c r="BV23" s="20">
        <f t="shared" si="27"/>
        <v>-1.5969135000480139E-2</v>
      </c>
      <c r="BW23" s="20">
        <f t="shared" si="27"/>
        <v>1.9346297614809549E-2</v>
      </c>
      <c r="BX23" s="20">
        <f t="shared" si="27"/>
        <v>3.7907823631209592E-2</v>
      </c>
      <c r="BY23" s="20">
        <f t="shared" si="27"/>
        <v>1.6904688140234381E-2</v>
      </c>
      <c r="BZ23" s="20">
        <f t="shared" si="27"/>
        <v>-1.6285592052098674E-2</v>
      </c>
      <c r="CA23" s="31">
        <f>(CA22/BN22)-1</f>
        <v>6.838655552168138E-2</v>
      </c>
    </row>
    <row r="24" spans="1:79" x14ac:dyDescent="0.25">
      <c r="B24" s="12"/>
      <c r="C24" s="12"/>
      <c r="D24" s="12"/>
      <c r="E24" s="12"/>
      <c r="F24" s="12"/>
      <c r="G24" s="12"/>
      <c r="H24" s="12"/>
      <c r="I24" s="12"/>
      <c r="J24" s="12"/>
      <c r="K24" s="12"/>
      <c r="L24" s="12"/>
      <c r="M24" s="12"/>
      <c r="N24" s="32"/>
      <c r="O24" s="12"/>
      <c r="P24" s="12"/>
      <c r="Q24" s="12"/>
      <c r="R24" s="12"/>
      <c r="S24" s="12"/>
      <c r="T24" s="12"/>
      <c r="U24" s="12"/>
      <c r="V24" s="12"/>
      <c r="W24" s="12"/>
      <c r="X24" s="12"/>
      <c r="Y24" s="12"/>
      <c r="Z24" s="12"/>
      <c r="AA24" s="32"/>
      <c r="AB24" s="12"/>
      <c r="AC24" s="12"/>
      <c r="AD24" s="12"/>
      <c r="AE24" s="12"/>
      <c r="AF24" s="12"/>
      <c r="AG24" s="12"/>
      <c r="AH24" s="12"/>
      <c r="AI24" s="12"/>
      <c r="AJ24" s="12"/>
      <c r="AK24" s="12"/>
      <c r="AL24" s="12"/>
      <c r="AM24" s="12"/>
      <c r="AN24" s="32"/>
      <c r="AO24" s="12"/>
      <c r="AP24" s="12"/>
      <c r="AQ24" s="12"/>
      <c r="AR24" s="12"/>
      <c r="AS24" s="12"/>
      <c r="AT24" s="12"/>
      <c r="AU24" s="12"/>
      <c r="AV24" s="12"/>
      <c r="AW24" s="12"/>
      <c r="AX24" s="12"/>
      <c r="AY24" s="12"/>
      <c r="AZ24" s="12"/>
      <c r="BA24" s="32"/>
      <c r="BB24" s="12"/>
      <c r="BC24" s="12"/>
      <c r="BD24" s="12"/>
      <c r="BE24" s="12"/>
      <c r="BF24" s="12"/>
      <c r="BG24" s="12"/>
      <c r="BH24" s="12"/>
      <c r="BI24" s="12"/>
      <c r="BJ24" s="12"/>
      <c r="BK24" s="12"/>
      <c r="BL24" s="12"/>
      <c r="BM24" s="12"/>
      <c r="BN24" s="32"/>
      <c r="BO24" s="12"/>
      <c r="BP24" s="12"/>
      <c r="BQ24" s="12"/>
      <c r="BR24" s="12"/>
      <c r="BS24" s="12"/>
      <c r="BT24" s="12"/>
      <c r="BU24" s="12"/>
      <c r="BV24" s="12"/>
      <c r="BW24" s="12"/>
      <c r="BX24" s="12"/>
      <c r="BY24" s="12"/>
      <c r="BZ24" s="12"/>
    </row>
    <row r="25" spans="1:79" s="1" customFormat="1" x14ac:dyDescent="0.25">
      <c r="A25" s="1" t="s">
        <v>5</v>
      </c>
      <c r="B25" s="18">
        <v>63745</v>
      </c>
      <c r="C25" s="18">
        <v>239229</v>
      </c>
      <c r="D25" s="18">
        <v>152463</v>
      </c>
      <c r="E25" s="18">
        <v>126285</v>
      </c>
      <c r="F25" s="18">
        <v>147708</v>
      </c>
      <c r="G25" s="18">
        <v>133170</v>
      </c>
      <c r="H25" s="18">
        <v>206381</v>
      </c>
      <c r="I25" s="18">
        <v>150548</v>
      </c>
      <c r="J25" s="18">
        <v>280327</v>
      </c>
      <c r="K25" s="18">
        <v>208827</v>
      </c>
      <c r="L25" s="18">
        <v>285914</v>
      </c>
      <c r="M25" s="18">
        <v>313544</v>
      </c>
      <c r="N25" s="30">
        <f>SUM(C25:M25)</f>
        <v>2244396</v>
      </c>
      <c r="O25" s="18">
        <v>223926</v>
      </c>
      <c r="P25" s="18">
        <v>335670</v>
      </c>
      <c r="Q25" s="18">
        <v>221737</v>
      </c>
      <c r="R25" s="18">
        <v>291311</v>
      </c>
      <c r="S25" s="18">
        <v>244492</v>
      </c>
      <c r="T25" s="18">
        <v>209951</v>
      </c>
      <c r="U25" s="18">
        <v>307585</v>
      </c>
      <c r="V25" s="18">
        <v>250549</v>
      </c>
      <c r="W25" s="18">
        <v>232996</v>
      </c>
      <c r="X25" s="18">
        <v>232634</v>
      </c>
      <c r="Y25" s="18">
        <v>243056</v>
      </c>
      <c r="Z25" s="18">
        <v>269519</v>
      </c>
      <c r="AA25" s="30">
        <f>SUM(O25:Z25)</f>
        <v>3063426</v>
      </c>
      <c r="AB25" s="18">
        <v>178892</v>
      </c>
      <c r="AC25" s="18">
        <v>240180</v>
      </c>
      <c r="AD25" s="18">
        <v>265690</v>
      </c>
      <c r="AE25" s="18">
        <v>255437</v>
      </c>
      <c r="AF25" s="18">
        <v>254745</v>
      </c>
      <c r="AG25" s="18">
        <v>229055</v>
      </c>
      <c r="AH25" s="18">
        <v>257687</v>
      </c>
      <c r="AI25" s="18">
        <v>305278</v>
      </c>
      <c r="AJ25" s="18">
        <v>284070</v>
      </c>
      <c r="AK25" s="18">
        <v>291915</v>
      </c>
      <c r="AL25" s="18">
        <v>213261</v>
      </c>
      <c r="AM25" s="18">
        <v>299480</v>
      </c>
      <c r="AN25" s="30">
        <f>SUM(AB25:AM25)</f>
        <v>3075690</v>
      </c>
      <c r="AO25" s="18">
        <v>224351</v>
      </c>
      <c r="AP25" s="18">
        <v>228241</v>
      </c>
      <c r="AQ25" s="18">
        <v>224103</v>
      </c>
      <c r="AR25" s="18">
        <v>265794.71000000002</v>
      </c>
      <c r="AS25" s="18">
        <v>193755.46</v>
      </c>
      <c r="AT25" s="18">
        <v>289602.42</v>
      </c>
      <c r="AU25" s="18">
        <v>238405</v>
      </c>
      <c r="AV25" s="18">
        <v>210064</v>
      </c>
      <c r="AW25" s="18">
        <v>225869</v>
      </c>
      <c r="AX25" s="18">
        <v>295113</v>
      </c>
      <c r="AY25" s="18">
        <v>253648</v>
      </c>
      <c r="AZ25" s="18">
        <v>282853</v>
      </c>
      <c r="BA25" s="30">
        <f>SUM(AO25:AZ25)</f>
        <v>2931799.59</v>
      </c>
      <c r="BB25" s="18">
        <v>191758</v>
      </c>
      <c r="BC25" s="18">
        <v>216109</v>
      </c>
      <c r="BD25" s="18">
        <v>245078</v>
      </c>
      <c r="BE25" s="18">
        <v>217387</v>
      </c>
      <c r="BF25" s="18">
        <v>228492</v>
      </c>
      <c r="BG25" s="18">
        <v>336616</v>
      </c>
      <c r="BH25" s="18">
        <v>318651</v>
      </c>
      <c r="BI25" s="18">
        <v>269478</v>
      </c>
      <c r="BJ25" s="18">
        <v>289792</v>
      </c>
      <c r="BK25" s="18">
        <v>243083</v>
      </c>
      <c r="BL25" s="18">
        <v>317288</v>
      </c>
      <c r="BM25" s="18">
        <v>345950</v>
      </c>
      <c r="BN25" s="30">
        <f>SUM(BB25:BM25)</f>
        <v>3219682</v>
      </c>
      <c r="BO25" s="18">
        <v>262379</v>
      </c>
      <c r="BP25" s="18">
        <v>225941</v>
      </c>
      <c r="BQ25" s="18">
        <v>233460</v>
      </c>
      <c r="BR25" s="18">
        <v>258813</v>
      </c>
      <c r="BS25" s="18">
        <v>290330</v>
      </c>
      <c r="BT25" s="18">
        <v>420201</v>
      </c>
      <c r="BU25" s="18">
        <v>298979</v>
      </c>
      <c r="BV25" s="18">
        <v>332911</v>
      </c>
      <c r="BW25" s="18">
        <v>303809</v>
      </c>
      <c r="BX25" s="18">
        <v>300535</v>
      </c>
      <c r="BY25" s="18">
        <v>290354</v>
      </c>
      <c r="BZ25" s="18">
        <v>349950</v>
      </c>
      <c r="CA25" s="29">
        <f>SUM(BO25:BZ25)</f>
        <v>3567662</v>
      </c>
    </row>
    <row r="26" spans="1:79" s="15" customFormat="1" x14ac:dyDescent="0.25">
      <c r="A26" s="15" t="s">
        <v>2</v>
      </c>
      <c r="B26" s="20"/>
      <c r="C26" s="20"/>
      <c r="D26" s="20"/>
      <c r="E26" s="20"/>
      <c r="F26" s="20"/>
      <c r="G26" s="20"/>
      <c r="H26" s="20"/>
      <c r="I26" s="20"/>
      <c r="J26" s="20"/>
      <c r="K26" s="20"/>
      <c r="L26" s="20"/>
      <c r="M26" s="20"/>
      <c r="N26" s="31"/>
      <c r="O26" s="20">
        <f t="shared" ref="O26:AT26" si="28">(O25/B25)-1</f>
        <v>2.5128402227625695</v>
      </c>
      <c r="P26" s="20">
        <f t="shared" si="28"/>
        <v>0.40313256335979331</v>
      </c>
      <c r="Q26" s="20">
        <f t="shared" si="28"/>
        <v>0.45436597731908734</v>
      </c>
      <c r="R26" s="20">
        <f t="shared" si="28"/>
        <v>1.306774359583482</v>
      </c>
      <c r="S26" s="20">
        <f t="shared" si="28"/>
        <v>0.65523871421994739</v>
      </c>
      <c r="T26" s="20">
        <f t="shared" si="28"/>
        <v>0.57656379064353835</v>
      </c>
      <c r="U26" s="20">
        <f t="shared" si="28"/>
        <v>0.4903745984368717</v>
      </c>
      <c r="V26" s="20">
        <f t="shared" si="28"/>
        <v>0.664246619018519</v>
      </c>
      <c r="W26" s="20">
        <f t="shared" si="28"/>
        <v>-0.16884210225914731</v>
      </c>
      <c r="X26" s="20">
        <f t="shared" si="28"/>
        <v>0.11400345740732765</v>
      </c>
      <c r="Y26" s="20">
        <f t="shared" si="28"/>
        <v>-0.14989822114342077</v>
      </c>
      <c r="Z26" s="20">
        <f t="shared" si="28"/>
        <v>-0.14041091521445159</v>
      </c>
      <c r="AA26" s="31">
        <f t="shared" si="28"/>
        <v>0.36492223297492954</v>
      </c>
      <c r="AB26" s="20">
        <f t="shared" si="28"/>
        <v>-0.20111108133937106</v>
      </c>
      <c r="AC26" s="20">
        <f t="shared" si="28"/>
        <v>-0.28447582447046205</v>
      </c>
      <c r="AD26" s="20">
        <f t="shared" si="28"/>
        <v>0.19822131624401873</v>
      </c>
      <c r="AE26" s="20">
        <f t="shared" si="28"/>
        <v>-0.12314674008190563</v>
      </c>
      <c r="AF26" s="20">
        <f t="shared" si="28"/>
        <v>4.1935932464047809E-2</v>
      </c>
      <c r="AG26" s="20">
        <f t="shared" si="28"/>
        <v>9.0992660192140029E-2</v>
      </c>
      <c r="AH26" s="20">
        <f t="shared" si="28"/>
        <v>-0.16222507599525338</v>
      </c>
      <c r="AI26" s="20">
        <f t="shared" si="28"/>
        <v>0.21843631385477491</v>
      </c>
      <c r="AJ26" s="20">
        <f t="shared" si="28"/>
        <v>0.21920547992240214</v>
      </c>
      <c r="AK26" s="20">
        <f t="shared" si="28"/>
        <v>0.2548251760275797</v>
      </c>
      <c r="AL26" s="20">
        <f t="shared" si="28"/>
        <v>-0.12258491870186294</v>
      </c>
      <c r="AM26" s="20">
        <f t="shared" si="28"/>
        <v>0.1111647045291797</v>
      </c>
      <c r="AN26" s="31">
        <f t="shared" si="28"/>
        <v>4.0033609429441785E-3</v>
      </c>
      <c r="AO26" s="20">
        <f t="shared" si="28"/>
        <v>0.25411421416273505</v>
      </c>
      <c r="AP26" s="20">
        <f t="shared" si="28"/>
        <v>-4.9708551919393829E-2</v>
      </c>
      <c r="AQ26" s="20">
        <f t="shared" si="28"/>
        <v>-0.15652452105837633</v>
      </c>
      <c r="AR26" s="20">
        <f t="shared" si="28"/>
        <v>4.0548980766294651E-2</v>
      </c>
      <c r="AS26" s="20">
        <f t="shared" si="28"/>
        <v>-0.2394140807474141</v>
      </c>
      <c r="AT26" s="20">
        <f t="shared" si="28"/>
        <v>0.2643357272270852</v>
      </c>
      <c r="AU26" s="20">
        <f t="shared" ref="AU26:BZ26" si="29">(AU25/AH25)-1</f>
        <v>-7.4827212859011172E-2</v>
      </c>
      <c r="AV26" s="20">
        <f t="shared" si="29"/>
        <v>-0.31189276659307252</v>
      </c>
      <c r="AW26" s="20">
        <f t="shared" si="29"/>
        <v>-0.20488259935931286</v>
      </c>
      <c r="AX26" s="20">
        <f t="shared" si="29"/>
        <v>1.0955243820975236E-2</v>
      </c>
      <c r="AY26" s="20">
        <f t="shared" si="29"/>
        <v>0.18937827357088266</v>
      </c>
      <c r="AZ26" s="20">
        <f t="shared" si="29"/>
        <v>-5.5519567249899815E-2</v>
      </c>
      <c r="BA26" s="31">
        <f t="shared" si="29"/>
        <v>-4.6783131589984706E-2</v>
      </c>
      <c r="BB26" s="20">
        <f t="shared" si="29"/>
        <v>-0.14527682069614134</v>
      </c>
      <c r="BC26" s="20">
        <f t="shared" si="29"/>
        <v>-5.3154341244561643E-2</v>
      </c>
      <c r="BD26" s="20">
        <f t="shared" si="29"/>
        <v>9.3595355706973971E-2</v>
      </c>
      <c r="BE26" s="20">
        <f t="shared" si="29"/>
        <v>-0.18212442979019416</v>
      </c>
      <c r="BF26" s="20">
        <f t="shared" si="29"/>
        <v>0.17928031550697976</v>
      </c>
      <c r="BG26" s="20">
        <f t="shared" si="29"/>
        <v>0.16233835338806912</v>
      </c>
      <c r="BH26" s="20">
        <f t="shared" si="29"/>
        <v>0.33659528952832374</v>
      </c>
      <c r="BI26" s="20">
        <f t="shared" si="29"/>
        <v>0.28283761139462249</v>
      </c>
      <c r="BJ26" s="20">
        <f t="shared" si="29"/>
        <v>0.28300917788629687</v>
      </c>
      <c r="BK26" s="20">
        <f t="shared" si="29"/>
        <v>-0.17630534744318282</v>
      </c>
      <c r="BL26" s="20">
        <f t="shared" si="29"/>
        <v>0.25089888349208356</v>
      </c>
      <c r="BM26" s="20">
        <f t="shared" si="29"/>
        <v>0.22307346925788307</v>
      </c>
      <c r="BN26" s="31">
        <f t="shared" si="29"/>
        <v>9.8193072603574683E-2</v>
      </c>
      <c r="BO26" s="20">
        <f t="shared" si="29"/>
        <v>0.36828189697431135</v>
      </c>
      <c r="BP26" s="20">
        <f t="shared" si="29"/>
        <v>4.549556011086997E-2</v>
      </c>
      <c r="BQ26" s="20">
        <f t="shared" si="29"/>
        <v>-4.7405315858624619E-2</v>
      </c>
      <c r="BR26" s="20">
        <f t="shared" si="29"/>
        <v>0.19056337315478844</v>
      </c>
      <c r="BS26" s="20">
        <f t="shared" si="29"/>
        <v>0.27063529576527845</v>
      </c>
      <c r="BT26" s="20">
        <f t="shared" si="29"/>
        <v>0.24830964660028054</v>
      </c>
      <c r="BU26" s="20">
        <f t="shared" si="29"/>
        <v>-6.1735252674556151E-2</v>
      </c>
      <c r="BV26" s="20">
        <f t="shared" si="29"/>
        <v>0.23539212848544233</v>
      </c>
      <c r="BW26" s="20">
        <f t="shared" si="29"/>
        <v>4.8369175132508824E-2</v>
      </c>
      <c r="BX26" s="20">
        <f t="shared" si="29"/>
        <v>0.23634725587556504</v>
      </c>
      <c r="BY26" s="20">
        <f t="shared" si="29"/>
        <v>-8.4888177302639867E-2</v>
      </c>
      <c r="BZ26" s="20">
        <f t="shared" si="29"/>
        <v>1.1562364503540978E-2</v>
      </c>
      <c r="CA26" s="31">
        <f>(CA25/BN25)-1</f>
        <v>0.10807899662140552</v>
      </c>
    </row>
    <row r="27" spans="1:79" x14ac:dyDescent="0.25">
      <c r="B27" s="12"/>
      <c r="C27" s="12"/>
      <c r="D27" s="12"/>
      <c r="E27" s="12"/>
      <c r="F27" s="12"/>
      <c r="G27" s="12"/>
      <c r="H27" s="12"/>
      <c r="I27" s="12"/>
      <c r="J27" s="12"/>
      <c r="K27" s="12"/>
      <c r="L27" s="12"/>
      <c r="M27" s="12"/>
      <c r="N27" s="32"/>
      <c r="O27" s="12"/>
      <c r="P27" s="12"/>
      <c r="Q27" s="12"/>
      <c r="R27" s="12"/>
      <c r="S27" s="12"/>
      <c r="T27" s="12"/>
      <c r="U27" s="12"/>
      <c r="V27" s="12"/>
      <c r="W27" s="12"/>
      <c r="X27" s="12"/>
      <c r="Y27" s="12"/>
      <c r="Z27" s="12"/>
      <c r="AA27" s="32"/>
      <c r="AB27" s="12"/>
      <c r="AC27" s="12"/>
      <c r="AD27" s="12"/>
      <c r="AE27" s="12"/>
      <c r="AF27" s="12"/>
      <c r="AG27" s="12"/>
      <c r="AH27" s="12"/>
      <c r="AI27" s="12"/>
      <c r="AJ27" s="12"/>
      <c r="AK27" s="12"/>
      <c r="AL27" s="12"/>
      <c r="AM27" s="12"/>
      <c r="AN27" s="32"/>
      <c r="AO27" s="12"/>
      <c r="AP27" s="12"/>
      <c r="AQ27" s="12"/>
      <c r="AR27" s="12"/>
      <c r="AS27" s="12"/>
      <c r="AT27" s="12"/>
      <c r="AU27" s="12"/>
      <c r="AV27" s="12"/>
      <c r="AW27" s="12"/>
      <c r="AX27" s="12"/>
      <c r="AY27" s="12"/>
      <c r="AZ27" s="12"/>
      <c r="BA27" s="32"/>
      <c r="BB27" s="12"/>
      <c r="BC27" s="12"/>
      <c r="BD27" s="12"/>
      <c r="BE27" s="12"/>
      <c r="BF27" s="12"/>
      <c r="BG27" s="12"/>
      <c r="BH27" s="12"/>
      <c r="BI27" s="12"/>
      <c r="BJ27" s="12"/>
      <c r="BK27" s="12"/>
      <c r="BL27" s="12"/>
      <c r="BM27" s="12"/>
      <c r="BN27" s="32"/>
      <c r="BO27" s="12"/>
      <c r="BP27" s="12"/>
      <c r="BQ27" s="12"/>
      <c r="BR27" s="12"/>
      <c r="BS27" s="12"/>
      <c r="BT27" s="12"/>
      <c r="BU27" s="12"/>
      <c r="BV27" s="12"/>
      <c r="BW27" s="12"/>
      <c r="BX27" s="12"/>
      <c r="BY27" s="12"/>
      <c r="BZ27" s="12"/>
    </row>
    <row r="28" spans="1:79" s="1" customFormat="1" x14ac:dyDescent="0.25">
      <c r="A28" s="1" t="s">
        <v>6</v>
      </c>
      <c r="B28" s="18">
        <v>169921</v>
      </c>
      <c r="C28" s="18">
        <v>189004</v>
      </c>
      <c r="D28" s="18">
        <v>265392</v>
      </c>
      <c r="E28" s="18">
        <v>480540</v>
      </c>
      <c r="F28" s="18">
        <v>335269</v>
      </c>
      <c r="G28" s="18">
        <v>827271</v>
      </c>
      <c r="H28" s="18">
        <v>329704</v>
      </c>
      <c r="I28" s="18">
        <v>333010</v>
      </c>
      <c r="J28" s="18">
        <v>411488</v>
      </c>
      <c r="K28" s="18">
        <v>412576</v>
      </c>
      <c r="L28" s="18">
        <v>323642</v>
      </c>
      <c r="M28" s="18">
        <v>386895</v>
      </c>
      <c r="N28" s="30">
        <f>SUM(C28:M28)</f>
        <v>4294791</v>
      </c>
      <c r="O28" s="18">
        <v>163062</v>
      </c>
      <c r="P28" s="18">
        <v>242857</v>
      </c>
      <c r="Q28" s="18">
        <v>315518</v>
      </c>
      <c r="R28" s="18">
        <v>326028</v>
      </c>
      <c r="S28" s="18">
        <v>360452</v>
      </c>
      <c r="T28" s="18">
        <v>431534</v>
      </c>
      <c r="U28" s="18">
        <v>382631</v>
      </c>
      <c r="V28" s="18">
        <v>374466</v>
      </c>
      <c r="W28" s="18">
        <v>337240</v>
      </c>
      <c r="X28" s="18">
        <v>430222</v>
      </c>
      <c r="Y28" s="18">
        <v>318363</v>
      </c>
      <c r="Z28" s="18">
        <v>348005</v>
      </c>
      <c r="AA28" s="30">
        <f>SUM(O28:Z28)</f>
        <v>4030378</v>
      </c>
      <c r="AB28" s="18">
        <v>219073</v>
      </c>
      <c r="AC28" s="18">
        <v>258055</v>
      </c>
      <c r="AD28" s="18">
        <v>233029</v>
      </c>
      <c r="AE28" s="18">
        <v>343077</v>
      </c>
      <c r="AF28" s="18">
        <v>435398</v>
      </c>
      <c r="AG28" s="18">
        <v>547735</v>
      </c>
      <c r="AH28" s="18">
        <v>465758</v>
      </c>
      <c r="AI28" s="18">
        <v>429922</v>
      </c>
      <c r="AJ28" s="18">
        <v>292137</v>
      </c>
      <c r="AK28" s="18">
        <v>394386</v>
      </c>
      <c r="AL28" s="18">
        <v>427588</v>
      </c>
      <c r="AM28" s="18">
        <v>399797</v>
      </c>
      <c r="AN28" s="30">
        <f>SUM(AB28:AM28)</f>
        <v>4445955</v>
      </c>
      <c r="AO28" s="18">
        <v>248481</v>
      </c>
      <c r="AP28" s="18">
        <v>309666</v>
      </c>
      <c r="AQ28" s="18">
        <v>299601</v>
      </c>
      <c r="AR28" s="18">
        <v>344984.35</v>
      </c>
      <c r="AS28" s="18">
        <v>387867.54</v>
      </c>
      <c r="AT28" s="18">
        <v>285324.82</v>
      </c>
      <c r="AU28" s="18">
        <v>361306</v>
      </c>
      <c r="AV28" s="18">
        <v>353350</v>
      </c>
      <c r="AW28" s="18">
        <v>293290</v>
      </c>
      <c r="AX28" s="18">
        <v>368393</v>
      </c>
      <c r="AY28" s="18">
        <v>316062</v>
      </c>
      <c r="AZ28" s="18">
        <v>416417</v>
      </c>
      <c r="BA28" s="30">
        <f>SUM(AO28:AZ28)</f>
        <v>3984742.71</v>
      </c>
      <c r="BB28" s="18">
        <v>205543</v>
      </c>
      <c r="BC28" s="18">
        <v>317646</v>
      </c>
      <c r="BD28" s="18">
        <v>454905</v>
      </c>
      <c r="BE28" s="18">
        <v>495692</v>
      </c>
      <c r="BF28" s="18">
        <v>420345</v>
      </c>
      <c r="BG28" s="18">
        <v>411521</v>
      </c>
      <c r="BH28" s="18">
        <v>406042</v>
      </c>
      <c r="BI28" s="18">
        <v>355821</v>
      </c>
      <c r="BJ28" s="18">
        <v>468359</v>
      </c>
      <c r="BK28" s="18">
        <v>353469</v>
      </c>
      <c r="BL28" s="18">
        <v>366354</v>
      </c>
      <c r="BM28" s="18">
        <v>433726</v>
      </c>
      <c r="BN28" s="30">
        <f>SUM(BB28:BM28)</f>
        <v>4689423</v>
      </c>
      <c r="BO28" s="18">
        <v>176710</v>
      </c>
      <c r="BP28" s="18">
        <v>261943</v>
      </c>
      <c r="BQ28" s="18">
        <v>364138</v>
      </c>
      <c r="BR28" s="18">
        <v>362901</v>
      </c>
      <c r="BS28" s="18">
        <v>350630</v>
      </c>
      <c r="BT28" s="18">
        <v>370913</v>
      </c>
      <c r="BU28" s="18">
        <v>433228</v>
      </c>
      <c r="BV28" s="18">
        <v>404880</v>
      </c>
      <c r="BW28" s="18">
        <v>456571</v>
      </c>
      <c r="BX28" s="18">
        <v>531444</v>
      </c>
      <c r="BY28" s="18">
        <v>388398</v>
      </c>
      <c r="BZ28" s="18">
        <v>507845</v>
      </c>
      <c r="CA28" s="29">
        <f>SUM(BO28:BZ28)</f>
        <v>4609601</v>
      </c>
    </row>
    <row r="29" spans="1:79" s="15" customFormat="1" x14ac:dyDescent="0.25">
      <c r="A29" s="15" t="s">
        <v>2</v>
      </c>
      <c r="B29" s="20"/>
      <c r="C29" s="20"/>
      <c r="D29" s="20"/>
      <c r="E29" s="20"/>
      <c r="F29" s="20"/>
      <c r="G29" s="20"/>
      <c r="H29" s="20"/>
      <c r="I29" s="20"/>
      <c r="J29" s="20"/>
      <c r="K29" s="20"/>
      <c r="L29" s="20"/>
      <c r="M29" s="20"/>
      <c r="N29" s="31"/>
      <c r="O29" s="20">
        <f t="shared" ref="O29:AT29" si="30">(O28/B28)-1</f>
        <v>-4.0365817056161379E-2</v>
      </c>
      <c r="P29" s="20">
        <f t="shared" si="30"/>
        <v>0.28493047766184842</v>
      </c>
      <c r="Q29" s="20">
        <f t="shared" si="30"/>
        <v>0.18887532404895402</v>
      </c>
      <c r="R29" s="20">
        <f t="shared" si="30"/>
        <v>-0.32153826944687225</v>
      </c>
      <c r="S29" s="20">
        <f t="shared" si="30"/>
        <v>7.5112819855101431E-2</v>
      </c>
      <c r="T29" s="20">
        <f t="shared" si="30"/>
        <v>-0.47836440537623104</v>
      </c>
      <c r="U29" s="20">
        <f t="shared" si="30"/>
        <v>0.16052883798801343</v>
      </c>
      <c r="V29" s="20">
        <f t="shared" si="30"/>
        <v>0.12448875409146876</v>
      </c>
      <c r="W29" s="20">
        <f t="shared" si="30"/>
        <v>-0.18043782564740651</v>
      </c>
      <c r="X29" s="20">
        <f t="shared" si="30"/>
        <v>4.2770301714108339E-2</v>
      </c>
      <c r="Y29" s="20">
        <f t="shared" si="30"/>
        <v>-1.6311232781900942E-2</v>
      </c>
      <c r="Z29" s="20">
        <f t="shared" si="30"/>
        <v>-0.10051822845991809</v>
      </c>
      <c r="AA29" s="31">
        <f t="shared" si="30"/>
        <v>-6.1565976085914298E-2</v>
      </c>
      <c r="AB29" s="20">
        <f t="shared" si="30"/>
        <v>0.34349511228857743</v>
      </c>
      <c r="AC29" s="20">
        <f t="shared" si="30"/>
        <v>6.2580036811786366E-2</v>
      </c>
      <c r="AD29" s="20">
        <f t="shared" si="30"/>
        <v>-0.26143991784937781</v>
      </c>
      <c r="AE29" s="20">
        <f t="shared" si="30"/>
        <v>5.2293054584268805E-2</v>
      </c>
      <c r="AF29" s="20">
        <f t="shared" si="30"/>
        <v>0.20792227536537466</v>
      </c>
      <c r="AG29" s="20">
        <f t="shared" si="30"/>
        <v>0.26927426344158278</v>
      </c>
      <c r="AH29" s="20">
        <f t="shared" si="30"/>
        <v>0.21725108524923487</v>
      </c>
      <c r="AI29" s="20">
        <f t="shared" si="30"/>
        <v>0.14809355188455031</v>
      </c>
      <c r="AJ29" s="20">
        <f t="shared" si="30"/>
        <v>-0.13374154904519042</v>
      </c>
      <c r="AK29" s="20">
        <f t="shared" si="30"/>
        <v>-8.3296530628373278E-2</v>
      </c>
      <c r="AL29" s="20">
        <f t="shared" si="30"/>
        <v>0.34308321004639364</v>
      </c>
      <c r="AM29" s="20">
        <f t="shared" si="30"/>
        <v>0.14882544791023111</v>
      </c>
      <c r="AN29" s="31">
        <f t="shared" si="30"/>
        <v>0.10311117220270649</v>
      </c>
      <c r="AO29" s="20">
        <f t="shared" si="30"/>
        <v>0.13423835890319658</v>
      </c>
      <c r="AP29" s="20">
        <f t="shared" si="30"/>
        <v>0.19999999999999996</v>
      </c>
      <c r="AQ29" s="20">
        <f t="shared" si="30"/>
        <v>0.28568118131219711</v>
      </c>
      <c r="AR29" s="20">
        <f t="shared" si="30"/>
        <v>5.559539112210965E-3</v>
      </c>
      <c r="AS29" s="20">
        <f t="shared" si="30"/>
        <v>-0.10916554508748322</v>
      </c>
      <c r="AT29" s="20">
        <f t="shared" si="30"/>
        <v>-0.47908236647283808</v>
      </c>
      <c r="AU29" s="20">
        <f t="shared" ref="AU29:BZ29" si="31">(AU28/AH28)-1</f>
        <v>-0.22426238518715724</v>
      </c>
      <c r="AV29" s="20">
        <f t="shared" si="31"/>
        <v>-0.17810672633640523</v>
      </c>
      <c r="AW29" s="20">
        <f t="shared" si="31"/>
        <v>3.9467783950679625E-3</v>
      </c>
      <c r="AX29" s="20">
        <f t="shared" si="31"/>
        <v>-6.5907511929936713E-2</v>
      </c>
      <c r="AY29" s="20">
        <f t="shared" si="31"/>
        <v>-0.26082584169808321</v>
      </c>
      <c r="AZ29" s="20">
        <f t="shared" si="31"/>
        <v>4.1571097331895901E-2</v>
      </c>
      <c r="BA29" s="31">
        <f t="shared" si="31"/>
        <v>-0.10373750746465049</v>
      </c>
      <c r="BB29" s="20">
        <f t="shared" si="31"/>
        <v>-0.1728019446154837</v>
      </c>
      <c r="BC29" s="20">
        <f t="shared" si="31"/>
        <v>2.5769700257697092E-2</v>
      </c>
      <c r="BD29" s="20">
        <f t="shared" si="31"/>
        <v>0.51836943134368707</v>
      </c>
      <c r="BE29" s="20">
        <f t="shared" si="31"/>
        <v>0.43685358480754277</v>
      </c>
      <c r="BF29" s="20">
        <f t="shared" si="31"/>
        <v>8.3733379699677979E-2</v>
      </c>
      <c r="BG29" s="20">
        <f t="shared" si="31"/>
        <v>0.44228952812447231</v>
      </c>
      <c r="BH29" s="20">
        <f t="shared" si="31"/>
        <v>0.12381748434844697</v>
      </c>
      <c r="BI29" s="20">
        <f t="shared" si="31"/>
        <v>6.9930663647941316E-3</v>
      </c>
      <c r="BJ29" s="20">
        <f t="shared" si="31"/>
        <v>0.59691431688772201</v>
      </c>
      <c r="BK29" s="20">
        <f t="shared" si="31"/>
        <v>-4.0511084629729632E-2</v>
      </c>
      <c r="BL29" s="20">
        <f t="shared" si="31"/>
        <v>0.15912067885414882</v>
      </c>
      <c r="BM29" s="20">
        <f t="shared" si="31"/>
        <v>4.1566506650785096E-2</v>
      </c>
      <c r="BN29" s="31">
        <f t="shared" si="31"/>
        <v>0.17684461489359249</v>
      </c>
      <c r="BO29" s="20">
        <f t="shared" si="31"/>
        <v>-0.14027721693270989</v>
      </c>
      <c r="BP29" s="20">
        <f t="shared" si="31"/>
        <v>-0.1753618808358991</v>
      </c>
      <c r="BQ29" s="20">
        <f t="shared" si="31"/>
        <v>-0.19952957210846223</v>
      </c>
      <c r="BR29" s="20">
        <f t="shared" si="31"/>
        <v>-0.26789014145880907</v>
      </c>
      <c r="BS29" s="20">
        <f t="shared" si="31"/>
        <v>-0.16585185978184591</v>
      </c>
      <c r="BT29" s="20">
        <f t="shared" si="31"/>
        <v>-9.8677831750992095E-2</v>
      </c>
      <c r="BU29" s="20">
        <f t="shared" si="31"/>
        <v>6.6953664891809206E-2</v>
      </c>
      <c r="BV29" s="20">
        <f t="shared" si="31"/>
        <v>0.13787550481843391</v>
      </c>
      <c r="BW29" s="20">
        <f t="shared" si="31"/>
        <v>-2.5168727407821723E-2</v>
      </c>
      <c r="BX29" s="20">
        <f t="shared" si="31"/>
        <v>0.50350950154044627</v>
      </c>
      <c r="BY29" s="20">
        <f t="shared" si="31"/>
        <v>6.0171309716831267E-2</v>
      </c>
      <c r="BZ29" s="20">
        <f t="shared" si="31"/>
        <v>0.17088899443427419</v>
      </c>
      <c r="CA29" s="31">
        <f>(CA28/BN28)-1</f>
        <v>-1.7021710346880603E-2</v>
      </c>
    </row>
    <row r="30" spans="1:79" x14ac:dyDescent="0.25">
      <c r="B30" s="12"/>
      <c r="C30" s="12"/>
      <c r="D30" s="12"/>
      <c r="E30" s="12"/>
      <c r="F30" s="12"/>
      <c r="G30" s="12"/>
      <c r="H30" s="12"/>
      <c r="I30" s="12"/>
      <c r="J30" s="12"/>
      <c r="K30" s="12"/>
      <c r="L30" s="12"/>
      <c r="M30" s="12"/>
      <c r="N30" s="32"/>
      <c r="O30" s="12"/>
      <c r="P30" s="12"/>
      <c r="Q30" s="12"/>
      <c r="R30" s="12"/>
      <c r="S30" s="12"/>
      <c r="T30" s="12"/>
      <c r="U30" s="12"/>
      <c r="V30" s="12"/>
      <c r="W30" s="12"/>
      <c r="X30" s="12"/>
      <c r="Y30" s="12"/>
      <c r="Z30" s="12"/>
      <c r="AA30" s="32"/>
      <c r="AB30" s="12"/>
      <c r="AC30" s="12"/>
      <c r="AD30" s="12"/>
      <c r="AE30" s="12"/>
      <c r="AF30" s="12"/>
      <c r="AG30" s="12"/>
      <c r="AH30" s="12"/>
      <c r="AI30" s="12"/>
      <c r="AJ30" s="12"/>
      <c r="AK30" s="12"/>
      <c r="AL30" s="12"/>
      <c r="AM30" s="12"/>
      <c r="AN30" s="32"/>
      <c r="AO30" s="12"/>
      <c r="AP30" s="12"/>
      <c r="AQ30" s="12"/>
      <c r="AR30" s="12"/>
      <c r="AS30" s="12"/>
      <c r="AT30" s="12"/>
      <c r="AU30" s="12"/>
      <c r="AV30" s="12"/>
      <c r="AW30" s="12"/>
      <c r="AX30" s="12"/>
      <c r="AY30" s="12"/>
      <c r="AZ30" s="12"/>
      <c r="BA30" s="32"/>
      <c r="BB30" s="12"/>
      <c r="BC30" s="12"/>
      <c r="BD30" s="12"/>
      <c r="BE30" s="12"/>
      <c r="BF30" s="12"/>
      <c r="BG30" s="12"/>
      <c r="BH30" s="12"/>
      <c r="BI30" s="12"/>
      <c r="BJ30" s="12"/>
      <c r="BK30" s="12"/>
      <c r="BL30" s="12"/>
      <c r="BM30" s="12"/>
      <c r="BN30" s="32"/>
      <c r="BO30" s="12"/>
      <c r="BP30" s="12"/>
      <c r="BQ30" s="12"/>
      <c r="BR30" s="12"/>
      <c r="BS30" s="12"/>
      <c r="BT30" s="12"/>
      <c r="BU30" s="12"/>
      <c r="BV30" s="12"/>
      <c r="BW30" s="12"/>
      <c r="BX30" s="12"/>
      <c r="BY30" s="12"/>
      <c r="BZ30" s="12"/>
    </row>
    <row r="31" spans="1:79" s="1" customFormat="1" x14ac:dyDescent="0.25">
      <c r="A31" s="1" t="s">
        <v>7</v>
      </c>
      <c r="B31" s="18">
        <v>102894</v>
      </c>
      <c r="C31" s="18">
        <v>112043</v>
      </c>
      <c r="D31" s="18">
        <v>255411</v>
      </c>
      <c r="E31" s="18">
        <v>342508</v>
      </c>
      <c r="F31" s="18">
        <v>233592</v>
      </c>
      <c r="G31" s="18">
        <v>374131</v>
      </c>
      <c r="H31" s="18">
        <v>190993</v>
      </c>
      <c r="I31" s="18">
        <v>536015</v>
      </c>
      <c r="J31" s="18">
        <v>1001671</v>
      </c>
      <c r="K31" s="18">
        <v>902149</v>
      </c>
      <c r="L31" s="18">
        <v>194440</v>
      </c>
      <c r="M31" s="18">
        <v>164638</v>
      </c>
      <c r="N31" s="30">
        <f>SUM(C31:M31)</f>
        <v>4307591</v>
      </c>
      <c r="O31" s="18">
        <v>106755</v>
      </c>
      <c r="P31" s="18">
        <v>104685</v>
      </c>
      <c r="Q31" s="18">
        <v>167495</v>
      </c>
      <c r="R31" s="18">
        <v>110783</v>
      </c>
      <c r="S31" s="18">
        <v>342498</v>
      </c>
      <c r="T31" s="18">
        <v>62111</v>
      </c>
      <c r="U31" s="18">
        <v>403000</v>
      </c>
      <c r="V31" s="18">
        <v>343596</v>
      </c>
      <c r="W31" s="18">
        <v>158102</v>
      </c>
      <c r="X31" s="18">
        <v>203312</v>
      </c>
      <c r="Y31" s="18">
        <v>280273</v>
      </c>
      <c r="Z31" s="18">
        <v>212643</v>
      </c>
      <c r="AA31" s="30">
        <f>SUM(O31:Z31)</f>
        <v>2495253</v>
      </c>
      <c r="AB31" s="18">
        <v>354957</v>
      </c>
      <c r="AC31" s="18">
        <v>100583</v>
      </c>
      <c r="AD31" s="18">
        <v>248905</v>
      </c>
      <c r="AE31" s="18">
        <v>94387</v>
      </c>
      <c r="AF31" s="18">
        <v>120956</v>
      </c>
      <c r="AG31" s="18">
        <v>152369</v>
      </c>
      <c r="AH31" s="18">
        <v>198949</v>
      </c>
      <c r="AI31" s="18">
        <v>185692</v>
      </c>
      <c r="AJ31" s="18">
        <v>194731</v>
      </c>
      <c r="AK31" s="18">
        <v>58241</v>
      </c>
      <c r="AL31" s="18">
        <v>103697</v>
      </c>
      <c r="AM31" s="18">
        <v>175170</v>
      </c>
      <c r="AN31" s="30">
        <f>SUM(AB31:AM31)</f>
        <v>1988637</v>
      </c>
      <c r="AO31" s="18">
        <v>37708</v>
      </c>
      <c r="AP31" s="18">
        <v>150661</v>
      </c>
      <c r="AQ31" s="18">
        <v>31544</v>
      </c>
      <c r="AR31" s="18">
        <v>21493</v>
      </c>
      <c r="AS31" s="18">
        <v>31692</v>
      </c>
      <c r="AT31" s="18">
        <v>31065</v>
      </c>
      <c r="AU31" s="18">
        <v>21612</v>
      </c>
      <c r="AV31" s="18">
        <v>28716</v>
      </c>
      <c r="AW31" s="18">
        <v>26458</v>
      </c>
      <c r="AX31" s="18">
        <v>25862</v>
      </c>
      <c r="AY31" s="18">
        <v>20680</v>
      </c>
      <c r="AZ31" s="18">
        <v>31780</v>
      </c>
      <c r="BA31" s="30">
        <f>SUM(AO31:AZ31)</f>
        <v>459271</v>
      </c>
      <c r="BB31" s="18">
        <v>25460</v>
      </c>
      <c r="BC31" s="18">
        <v>21090</v>
      </c>
      <c r="BD31" s="18">
        <v>33017</v>
      </c>
      <c r="BE31" s="18">
        <v>56531</v>
      </c>
      <c r="BF31" s="18">
        <v>47302</v>
      </c>
      <c r="BG31" s="18">
        <v>75265</v>
      </c>
      <c r="BH31" s="18">
        <v>115215</v>
      </c>
      <c r="BI31" s="18">
        <v>59221</v>
      </c>
      <c r="BJ31" s="18">
        <v>74342</v>
      </c>
      <c r="BK31" s="18">
        <v>150298</v>
      </c>
      <c r="BL31" s="18">
        <v>48005</v>
      </c>
      <c r="BM31" s="18">
        <v>25448</v>
      </c>
      <c r="BN31" s="30">
        <f>SUM(BB31:BM31)</f>
        <v>731194</v>
      </c>
      <c r="BO31" s="18">
        <v>34149</v>
      </c>
      <c r="BP31" s="18">
        <v>36972</v>
      </c>
      <c r="BQ31" s="18">
        <v>41983</v>
      </c>
      <c r="BR31" s="18">
        <v>80672</v>
      </c>
      <c r="BS31" s="18">
        <v>113413</v>
      </c>
      <c r="BT31" s="18">
        <v>58970</v>
      </c>
      <c r="BU31" s="18">
        <v>66529</v>
      </c>
      <c r="BV31" s="18">
        <v>63543</v>
      </c>
      <c r="BW31" s="18">
        <v>75998</v>
      </c>
      <c r="BX31" s="18">
        <v>61317</v>
      </c>
      <c r="BY31" s="18">
        <v>67722</v>
      </c>
      <c r="BZ31" s="18">
        <v>75141</v>
      </c>
      <c r="CA31" s="29">
        <f>SUM(BO31:BZ31)</f>
        <v>776409</v>
      </c>
    </row>
    <row r="32" spans="1:79" s="15" customFormat="1" x14ac:dyDescent="0.25">
      <c r="A32" s="15" t="s">
        <v>2</v>
      </c>
      <c r="B32" s="20"/>
      <c r="C32" s="20"/>
      <c r="D32" s="20"/>
      <c r="E32" s="20"/>
      <c r="F32" s="20"/>
      <c r="G32" s="20"/>
      <c r="H32" s="20"/>
      <c r="I32" s="20"/>
      <c r="J32" s="20"/>
      <c r="K32" s="20"/>
      <c r="L32" s="20"/>
      <c r="M32" s="20"/>
      <c r="N32" s="31"/>
      <c r="O32" s="20">
        <f t="shared" ref="O32:AT32" si="32">(O31/B31)-1</f>
        <v>3.7524053880692687E-2</v>
      </c>
      <c r="P32" s="20">
        <f t="shared" si="32"/>
        <v>-6.5671215515471726E-2</v>
      </c>
      <c r="Q32" s="20">
        <f t="shared" si="32"/>
        <v>-0.34421383573925945</v>
      </c>
      <c r="R32" s="20">
        <f t="shared" si="32"/>
        <v>-0.67655354035526183</v>
      </c>
      <c r="S32" s="20">
        <f t="shared" si="32"/>
        <v>0.46622315832733996</v>
      </c>
      <c r="T32" s="20">
        <f t="shared" si="32"/>
        <v>-0.83398595679053589</v>
      </c>
      <c r="U32" s="20">
        <f t="shared" si="32"/>
        <v>1.1100249747372941</v>
      </c>
      <c r="V32" s="20">
        <f t="shared" si="32"/>
        <v>-0.35898062554219567</v>
      </c>
      <c r="W32" s="20">
        <f t="shared" si="32"/>
        <v>-0.84216174771956065</v>
      </c>
      <c r="X32" s="20">
        <f t="shared" si="32"/>
        <v>-0.7746358971744135</v>
      </c>
      <c r="Y32" s="20">
        <f t="shared" si="32"/>
        <v>0.44143694713022019</v>
      </c>
      <c r="Z32" s="20">
        <f t="shared" si="32"/>
        <v>0.29157910081512162</v>
      </c>
      <c r="AA32" s="31">
        <f t="shared" si="32"/>
        <v>-0.42073121612520781</v>
      </c>
      <c r="AB32" s="20">
        <f t="shared" si="32"/>
        <v>2.3249683855557115</v>
      </c>
      <c r="AC32" s="20">
        <f t="shared" si="32"/>
        <v>-3.9184219324640557E-2</v>
      </c>
      <c r="AD32" s="20">
        <f t="shared" si="32"/>
        <v>0.48604435953312031</v>
      </c>
      <c r="AE32" s="20">
        <f t="shared" si="32"/>
        <v>-0.14800104709206285</v>
      </c>
      <c r="AF32" s="20">
        <f t="shared" si="32"/>
        <v>-0.64684173338238471</v>
      </c>
      <c r="AG32" s="20">
        <f t="shared" si="32"/>
        <v>1.4531725459258427</v>
      </c>
      <c r="AH32" s="20">
        <f t="shared" si="32"/>
        <v>-0.50633002481389577</v>
      </c>
      <c r="AI32" s="20">
        <f t="shared" si="32"/>
        <v>-0.45956297512194555</v>
      </c>
      <c r="AJ32" s="20">
        <f t="shared" si="32"/>
        <v>0.23167954864581097</v>
      </c>
      <c r="AK32" s="20">
        <f t="shared" si="32"/>
        <v>-0.71353879751318172</v>
      </c>
      <c r="AL32" s="20">
        <f t="shared" si="32"/>
        <v>-0.63001430747877962</v>
      </c>
      <c r="AM32" s="20">
        <f t="shared" si="32"/>
        <v>-0.17622494039305314</v>
      </c>
      <c r="AN32" s="31">
        <f t="shared" si="32"/>
        <v>-0.20303191700400725</v>
      </c>
      <c r="AO32" s="20">
        <f t="shared" si="32"/>
        <v>-0.89376741408114224</v>
      </c>
      <c r="AP32" s="20">
        <f t="shared" si="32"/>
        <v>0.49787737490430795</v>
      </c>
      <c r="AQ32" s="20">
        <f t="shared" si="32"/>
        <v>-0.87326891786022776</v>
      </c>
      <c r="AR32" s="20">
        <f t="shared" si="32"/>
        <v>-0.77228855668683183</v>
      </c>
      <c r="AS32" s="20">
        <f t="shared" si="32"/>
        <v>-0.73798736730712</v>
      </c>
      <c r="AT32" s="20">
        <f t="shared" si="32"/>
        <v>-0.79611994565823752</v>
      </c>
      <c r="AU32" s="20">
        <f t="shared" ref="AU32:BZ32" si="33">(AU31/AH31)-1</f>
        <v>-0.89136914485621943</v>
      </c>
      <c r="AV32" s="20">
        <f t="shared" si="33"/>
        <v>-0.84535682743467677</v>
      </c>
      <c r="AW32" s="20">
        <f t="shared" si="33"/>
        <v>-0.86413051851014988</v>
      </c>
      <c r="AX32" s="20">
        <f t="shared" si="33"/>
        <v>-0.5559485585755739</v>
      </c>
      <c r="AY32" s="20">
        <f t="shared" si="33"/>
        <v>-0.80057282274318453</v>
      </c>
      <c r="AZ32" s="20">
        <f t="shared" si="33"/>
        <v>-0.81857624022378261</v>
      </c>
      <c r="BA32" s="31">
        <f t="shared" si="33"/>
        <v>-0.76905237104609836</v>
      </c>
      <c r="BB32" s="20">
        <f t="shared" si="33"/>
        <v>-0.32481171104274953</v>
      </c>
      <c r="BC32" s="20">
        <f t="shared" si="33"/>
        <v>-0.86001685904115865</v>
      </c>
      <c r="BD32" s="20">
        <f t="shared" si="33"/>
        <v>4.6696677656606678E-2</v>
      </c>
      <c r="BE32" s="20">
        <f t="shared" si="33"/>
        <v>1.6302051830828641</v>
      </c>
      <c r="BF32" s="20">
        <f t="shared" si="33"/>
        <v>0.49255332576044419</v>
      </c>
      <c r="BG32" s="20">
        <f t="shared" si="33"/>
        <v>1.4228231128279414</v>
      </c>
      <c r="BH32" s="20">
        <f t="shared" si="33"/>
        <v>4.3310660744031093</v>
      </c>
      <c r="BI32" s="20">
        <f t="shared" si="33"/>
        <v>1.062299763198217</v>
      </c>
      <c r="BJ32" s="20">
        <f t="shared" si="33"/>
        <v>1.8098117771562476</v>
      </c>
      <c r="BK32" s="20">
        <f t="shared" si="33"/>
        <v>4.8115381641017709</v>
      </c>
      <c r="BL32" s="20">
        <f t="shared" si="33"/>
        <v>1.3213249516441006</v>
      </c>
      <c r="BM32" s="20">
        <f t="shared" si="33"/>
        <v>-0.1992448080553807</v>
      </c>
      <c r="BN32" s="31">
        <f t="shared" si="33"/>
        <v>0.59207526710809089</v>
      </c>
      <c r="BO32" s="20">
        <f t="shared" si="33"/>
        <v>0.34128043990573453</v>
      </c>
      <c r="BP32" s="20">
        <f t="shared" si="33"/>
        <v>0.75305832147937402</v>
      </c>
      <c r="BQ32" s="20">
        <f t="shared" si="33"/>
        <v>0.27155707665747952</v>
      </c>
      <c r="BR32" s="20">
        <f t="shared" si="33"/>
        <v>0.42704003113336042</v>
      </c>
      <c r="BS32" s="20">
        <f t="shared" si="33"/>
        <v>1.3976364635744787</v>
      </c>
      <c r="BT32" s="20">
        <f t="shared" si="33"/>
        <v>-0.21650169401448216</v>
      </c>
      <c r="BU32" s="20">
        <f t="shared" si="33"/>
        <v>-0.4225665060972964</v>
      </c>
      <c r="BV32" s="20">
        <f t="shared" si="33"/>
        <v>7.2980868273078814E-2</v>
      </c>
      <c r="BW32" s="20">
        <f t="shared" si="33"/>
        <v>2.2275429770520105E-2</v>
      </c>
      <c r="BX32" s="20">
        <f t="shared" si="33"/>
        <v>-0.59203049940784314</v>
      </c>
      <c r="BY32" s="20">
        <f t="shared" si="33"/>
        <v>0.41072804916154571</v>
      </c>
      <c r="BZ32" s="20">
        <f t="shared" si="33"/>
        <v>1.9527271298333857</v>
      </c>
      <c r="CA32" s="31">
        <f>(CA31/BN31)-1</f>
        <v>6.1837214200335389E-2</v>
      </c>
    </row>
    <row r="33" spans="1:79" x14ac:dyDescent="0.25">
      <c r="B33" s="12"/>
      <c r="C33" s="12"/>
      <c r="D33" s="12"/>
      <c r="E33" s="12"/>
      <c r="F33" s="12"/>
      <c r="G33" s="12"/>
      <c r="H33" s="12"/>
      <c r="I33" s="12"/>
      <c r="J33" s="12"/>
      <c r="K33" s="12"/>
      <c r="L33" s="12"/>
      <c r="M33" s="12"/>
      <c r="N33" s="32"/>
      <c r="O33" s="12"/>
      <c r="P33" s="12"/>
      <c r="Q33" s="12"/>
      <c r="R33" s="12"/>
      <c r="S33" s="12"/>
      <c r="T33" s="12"/>
      <c r="U33" s="12"/>
      <c r="V33" s="12"/>
      <c r="W33" s="12"/>
      <c r="X33" s="12"/>
      <c r="Y33" s="12"/>
      <c r="Z33" s="12"/>
      <c r="AA33" s="32"/>
      <c r="AB33" s="12"/>
      <c r="AC33" s="12"/>
      <c r="AD33" s="12"/>
      <c r="AE33" s="12"/>
      <c r="AF33" s="12"/>
      <c r="AG33" s="12"/>
      <c r="AH33" s="12"/>
      <c r="AI33" s="12"/>
      <c r="AJ33" s="12"/>
      <c r="AK33" s="12"/>
      <c r="AL33" s="12"/>
      <c r="AM33" s="12"/>
      <c r="AN33" s="32"/>
      <c r="AO33" s="12"/>
      <c r="AP33" s="12"/>
      <c r="AQ33" s="12"/>
      <c r="AR33" s="12"/>
      <c r="AS33" s="12"/>
      <c r="AT33" s="12"/>
      <c r="AU33" s="12"/>
      <c r="AV33" s="12"/>
      <c r="AW33" s="12"/>
      <c r="AX33" s="12"/>
      <c r="AY33" s="12"/>
      <c r="AZ33" s="12"/>
      <c r="BA33" s="32"/>
      <c r="BB33" s="12"/>
      <c r="BC33" s="12"/>
      <c r="BD33" s="12"/>
      <c r="BE33" s="12"/>
      <c r="BF33" s="12"/>
      <c r="BG33" s="12"/>
      <c r="BH33" s="12"/>
      <c r="BI33" s="12"/>
      <c r="BJ33" s="12"/>
      <c r="BK33" s="12"/>
      <c r="BL33" s="12"/>
      <c r="BM33" s="12"/>
      <c r="BN33" s="32"/>
      <c r="BO33" s="12"/>
      <c r="BP33" s="12"/>
      <c r="BQ33" s="12"/>
      <c r="BR33" s="12"/>
      <c r="BS33" s="12"/>
      <c r="BT33" s="12"/>
      <c r="BU33" s="12"/>
      <c r="BV33" s="12"/>
      <c r="BW33" s="12"/>
      <c r="BX33" s="12"/>
      <c r="BY33" s="12"/>
      <c r="BZ33" s="12"/>
    </row>
    <row r="34" spans="1:79" s="1" customFormat="1" x14ac:dyDescent="0.25">
      <c r="A34" s="1" t="s">
        <v>8</v>
      </c>
      <c r="B34" s="18">
        <v>11915</v>
      </c>
      <c r="C34" s="18">
        <v>75339</v>
      </c>
      <c r="D34" s="18">
        <v>21152</v>
      </c>
      <c r="E34" s="18">
        <v>107697</v>
      </c>
      <c r="F34" s="18">
        <v>488137</v>
      </c>
      <c r="G34" s="18">
        <v>10288</v>
      </c>
      <c r="H34" s="18">
        <v>27182</v>
      </c>
      <c r="I34" s="18">
        <v>31308</v>
      </c>
      <c r="J34" s="18">
        <v>31988</v>
      </c>
      <c r="K34" s="18">
        <v>22233</v>
      </c>
      <c r="L34" s="18">
        <v>29169</v>
      </c>
      <c r="M34" s="18">
        <v>37393</v>
      </c>
      <c r="N34" s="30">
        <f>SUM(C34:M34)</f>
        <v>881886</v>
      </c>
      <c r="O34" s="18">
        <v>93939</v>
      </c>
      <c r="P34" s="18">
        <v>95921</v>
      </c>
      <c r="Q34" s="18">
        <v>97115</v>
      </c>
      <c r="R34" s="18">
        <v>91145</v>
      </c>
      <c r="S34" s="18">
        <v>93172</v>
      </c>
      <c r="T34" s="18">
        <v>93337</v>
      </c>
      <c r="U34" s="18">
        <v>253079</v>
      </c>
      <c r="V34" s="18">
        <v>183341</v>
      </c>
      <c r="W34" s="18">
        <v>119460</v>
      </c>
      <c r="X34" s="18">
        <v>95010</v>
      </c>
      <c r="Y34" s="18">
        <v>91546</v>
      </c>
      <c r="Z34" s="18">
        <v>158872</v>
      </c>
      <c r="AA34" s="30">
        <f>SUM(O34:Z34)</f>
        <v>1465937</v>
      </c>
      <c r="AB34" s="18">
        <v>128342</v>
      </c>
      <c r="AC34" s="18">
        <v>137055</v>
      </c>
      <c r="AD34" s="18">
        <v>107213</v>
      </c>
      <c r="AE34" s="18">
        <v>63357</v>
      </c>
      <c r="AF34" s="18">
        <v>59567</v>
      </c>
      <c r="AG34" s="18">
        <v>50268</v>
      </c>
      <c r="AH34" s="18">
        <v>438677</v>
      </c>
      <c r="AI34" s="18">
        <v>109855</v>
      </c>
      <c r="AJ34" s="18">
        <v>118282</v>
      </c>
      <c r="AK34" s="18">
        <v>148953</v>
      </c>
      <c r="AL34" s="18">
        <v>99016</v>
      </c>
      <c r="AM34" s="18">
        <v>150723</v>
      </c>
      <c r="AN34" s="30">
        <f>SUM(AB34:AM34)</f>
        <v>1611308</v>
      </c>
      <c r="AO34" s="18">
        <v>143940</v>
      </c>
      <c r="AP34" s="18">
        <v>98489</v>
      </c>
      <c r="AQ34" s="18">
        <v>100442</v>
      </c>
      <c r="AR34" s="18">
        <v>121607.32</v>
      </c>
      <c r="AS34" s="18">
        <v>103145.07</v>
      </c>
      <c r="AT34" s="18">
        <v>108291.59</v>
      </c>
      <c r="AU34" s="18">
        <v>118151</v>
      </c>
      <c r="AV34" s="18">
        <v>272448</v>
      </c>
      <c r="AW34" s="18">
        <v>142995</v>
      </c>
      <c r="AX34" s="18">
        <v>182289</v>
      </c>
      <c r="AY34" s="18">
        <v>154989</v>
      </c>
      <c r="AZ34" s="18">
        <v>126043</v>
      </c>
      <c r="BA34" s="30">
        <f>SUM(AO34:AZ34)</f>
        <v>1672829.98</v>
      </c>
      <c r="BB34" s="18">
        <v>143162</v>
      </c>
      <c r="BC34" s="18">
        <v>106788</v>
      </c>
      <c r="BD34" s="18">
        <v>374939</v>
      </c>
      <c r="BE34" s="18">
        <v>515713</v>
      </c>
      <c r="BF34" s="18">
        <v>304912</v>
      </c>
      <c r="BG34" s="18">
        <v>383372</v>
      </c>
      <c r="BH34" s="18">
        <v>234430</v>
      </c>
      <c r="BI34" s="18">
        <v>220402</v>
      </c>
      <c r="BJ34" s="18">
        <v>173915</v>
      </c>
      <c r="BK34" s="18">
        <v>273128</v>
      </c>
      <c r="BL34" s="18">
        <v>241249</v>
      </c>
      <c r="BM34" s="18">
        <v>280205</v>
      </c>
      <c r="BN34" s="30">
        <f>SUM(BB34:BM34)</f>
        <v>3252215</v>
      </c>
      <c r="BO34" s="18">
        <v>193220</v>
      </c>
      <c r="BP34" s="18">
        <v>159156</v>
      </c>
      <c r="BQ34" s="18">
        <v>201707</v>
      </c>
      <c r="BR34" s="18">
        <v>240508</v>
      </c>
      <c r="BS34" s="18">
        <v>246485</v>
      </c>
      <c r="BT34" s="18">
        <v>181717</v>
      </c>
      <c r="BU34" s="18">
        <v>144369</v>
      </c>
      <c r="BV34" s="18">
        <v>144710</v>
      </c>
      <c r="BW34" s="18">
        <v>239944</v>
      </c>
      <c r="BX34" s="18">
        <v>124578</v>
      </c>
      <c r="BY34" s="18">
        <v>106250</v>
      </c>
      <c r="BZ34" s="18">
        <v>100996</v>
      </c>
      <c r="CA34" s="29">
        <f>SUM(BO34:BZ34)</f>
        <v>2083640</v>
      </c>
    </row>
    <row r="35" spans="1:79" s="15" customFormat="1" x14ac:dyDescent="0.25">
      <c r="A35" s="15" t="s">
        <v>2</v>
      </c>
      <c r="B35" s="20"/>
      <c r="C35" s="20"/>
      <c r="D35" s="20"/>
      <c r="E35" s="20"/>
      <c r="F35" s="20"/>
      <c r="G35" s="20"/>
      <c r="H35" s="20"/>
      <c r="I35" s="20"/>
      <c r="J35" s="20"/>
      <c r="K35" s="20"/>
      <c r="L35" s="20"/>
      <c r="M35" s="20"/>
      <c r="N35" s="31"/>
      <c r="O35" s="20">
        <f t="shared" ref="O35:AT35" si="34">(O34/B34)-1</f>
        <v>6.8840956777171636</v>
      </c>
      <c r="P35" s="20">
        <f t="shared" si="34"/>
        <v>0.27319183955189219</v>
      </c>
      <c r="Q35" s="20">
        <f t="shared" si="34"/>
        <v>3.5912916036308626</v>
      </c>
      <c r="R35" s="20">
        <f t="shared" si="34"/>
        <v>-0.15369044634483786</v>
      </c>
      <c r="S35" s="20">
        <f t="shared" si="34"/>
        <v>-0.80912735563991256</v>
      </c>
      <c r="T35" s="20">
        <f t="shared" si="34"/>
        <v>8.0724144634525654</v>
      </c>
      <c r="U35" s="20">
        <f t="shared" si="34"/>
        <v>8.3105363843720106</v>
      </c>
      <c r="V35" s="20">
        <f t="shared" si="34"/>
        <v>4.8560431838507734</v>
      </c>
      <c r="W35" s="20">
        <f t="shared" si="34"/>
        <v>2.7345254470426408</v>
      </c>
      <c r="X35" s="20">
        <f t="shared" si="34"/>
        <v>3.2733774119552015</v>
      </c>
      <c r="Y35" s="20">
        <f t="shared" si="34"/>
        <v>2.1384689224862012</v>
      </c>
      <c r="Z35" s="20">
        <f t="shared" si="34"/>
        <v>3.2487096515390581</v>
      </c>
      <c r="AA35" s="31">
        <f t="shared" si="34"/>
        <v>0.66227494256627284</v>
      </c>
      <c r="AB35" s="20">
        <f t="shared" si="34"/>
        <v>0.36622701966169546</v>
      </c>
      <c r="AC35" s="20">
        <f t="shared" si="34"/>
        <v>0.42883205971580773</v>
      </c>
      <c r="AD35" s="20">
        <f t="shared" si="34"/>
        <v>0.1039798177418525</v>
      </c>
      <c r="AE35" s="20">
        <f t="shared" si="34"/>
        <v>-0.30487684458829334</v>
      </c>
      <c r="AF35" s="20">
        <f t="shared" si="34"/>
        <v>-0.36067702743313446</v>
      </c>
      <c r="AG35" s="20">
        <f t="shared" si="34"/>
        <v>-0.4614354436075726</v>
      </c>
      <c r="AH35" s="20">
        <f t="shared" si="34"/>
        <v>0.73335993899138208</v>
      </c>
      <c r="AI35" s="20">
        <f t="shared" si="34"/>
        <v>-0.40081596587779056</v>
      </c>
      <c r="AJ35" s="20">
        <f t="shared" si="34"/>
        <v>-9.8610413527540075E-3</v>
      </c>
      <c r="AK35" s="20">
        <f t="shared" si="34"/>
        <v>0.5677612882854437</v>
      </c>
      <c r="AL35" s="20">
        <f t="shared" si="34"/>
        <v>8.1598322154982306E-2</v>
      </c>
      <c r="AM35" s="20">
        <f t="shared" si="34"/>
        <v>-5.129286469610761E-2</v>
      </c>
      <c r="AN35" s="31">
        <f t="shared" si="34"/>
        <v>9.9165925957254597E-2</v>
      </c>
      <c r="AO35" s="20">
        <f t="shared" si="34"/>
        <v>0.12153464960807847</v>
      </c>
      <c r="AP35" s="20">
        <f t="shared" si="34"/>
        <v>-0.28139068257268984</v>
      </c>
      <c r="AQ35" s="20">
        <f t="shared" si="34"/>
        <v>-6.3154654752688555E-2</v>
      </c>
      <c r="AR35" s="20">
        <f t="shared" si="34"/>
        <v>0.91939833009770044</v>
      </c>
      <c r="AS35" s="20">
        <f t="shared" si="34"/>
        <v>0.73158074101432002</v>
      </c>
      <c r="AT35" s="20">
        <f t="shared" si="34"/>
        <v>1.1542848332935467</v>
      </c>
      <c r="AU35" s="20">
        <f t="shared" ref="AU35:BZ35" si="35">(AU34/AH34)-1</f>
        <v>-0.73066515910339502</v>
      </c>
      <c r="AV35" s="20">
        <f t="shared" si="35"/>
        <v>1.4800691821036822</v>
      </c>
      <c r="AW35" s="20">
        <f t="shared" si="35"/>
        <v>0.2089328891970037</v>
      </c>
      <c r="AX35" s="20">
        <f t="shared" si="35"/>
        <v>0.22380213892972955</v>
      </c>
      <c r="AY35" s="20">
        <f t="shared" si="35"/>
        <v>0.56529247798335613</v>
      </c>
      <c r="AZ35" s="20">
        <f t="shared" si="35"/>
        <v>-0.16374408683478969</v>
      </c>
      <c r="BA35" s="31">
        <f t="shared" si="35"/>
        <v>3.8181390522482372E-2</v>
      </c>
      <c r="BB35" s="20">
        <f t="shared" si="35"/>
        <v>-5.4050298735583979E-3</v>
      </c>
      <c r="BC35" s="20">
        <f t="shared" si="35"/>
        <v>8.4263217212074526E-2</v>
      </c>
      <c r="BD35" s="20">
        <f t="shared" si="35"/>
        <v>2.7328906234443759</v>
      </c>
      <c r="BE35" s="20">
        <f t="shared" si="35"/>
        <v>3.2408055699278631</v>
      </c>
      <c r="BF35" s="20">
        <f t="shared" si="35"/>
        <v>1.9561471042678042</v>
      </c>
      <c r="BG35" s="20">
        <f t="shared" si="35"/>
        <v>2.5401825755813543</v>
      </c>
      <c r="BH35" s="20">
        <f t="shared" si="35"/>
        <v>0.9841558683379743</v>
      </c>
      <c r="BI35" s="20">
        <f t="shared" si="35"/>
        <v>-0.19103094902513507</v>
      </c>
      <c r="BJ35" s="20">
        <f t="shared" si="35"/>
        <v>0.21623133676002659</v>
      </c>
      <c r="BK35" s="20">
        <f t="shared" si="35"/>
        <v>0.49832408976954179</v>
      </c>
      <c r="BL35" s="20">
        <f t="shared" si="35"/>
        <v>0.55655562652833424</v>
      </c>
      <c r="BM35" s="20">
        <f t="shared" si="35"/>
        <v>1.2230905325960189</v>
      </c>
      <c r="BN35" s="31">
        <f t="shared" si="35"/>
        <v>0.94413959510696954</v>
      </c>
      <c r="BO35" s="20">
        <f t="shared" si="35"/>
        <v>0.34965982593146228</v>
      </c>
      <c r="BP35" s="20">
        <f t="shared" si="35"/>
        <v>0.49039217889650533</v>
      </c>
      <c r="BQ35" s="20">
        <f t="shared" si="35"/>
        <v>-0.46202715641744385</v>
      </c>
      <c r="BR35" s="20">
        <f t="shared" si="35"/>
        <v>-0.53363983455914432</v>
      </c>
      <c r="BS35" s="20">
        <f t="shared" si="35"/>
        <v>-0.19161922128351783</v>
      </c>
      <c r="BT35" s="20">
        <f t="shared" si="35"/>
        <v>-0.52600346399841413</v>
      </c>
      <c r="BU35" s="20">
        <f t="shared" si="35"/>
        <v>-0.38417011474640617</v>
      </c>
      <c r="BV35" s="20">
        <f t="shared" si="35"/>
        <v>-0.34342701064418657</v>
      </c>
      <c r="BW35" s="20">
        <f t="shared" si="35"/>
        <v>0.37966247879711346</v>
      </c>
      <c r="BX35" s="20">
        <f t="shared" si="35"/>
        <v>-0.54388418616912215</v>
      </c>
      <c r="BY35" s="20">
        <f t="shared" si="35"/>
        <v>-0.55958366666804837</v>
      </c>
      <c r="BZ35" s="20">
        <f t="shared" si="35"/>
        <v>-0.63956389072286357</v>
      </c>
      <c r="CA35" s="31">
        <f>(CA34/BN34)-1</f>
        <v>-0.35931665034445759</v>
      </c>
    </row>
    <row r="36" spans="1:79" x14ac:dyDescent="0.25">
      <c r="B36" s="12"/>
      <c r="C36" s="12"/>
      <c r="D36" s="12"/>
      <c r="E36" s="12"/>
      <c r="F36" s="12"/>
      <c r="G36" s="12"/>
      <c r="H36" s="12"/>
      <c r="I36" s="12"/>
      <c r="J36" s="12"/>
      <c r="K36" s="12"/>
      <c r="L36" s="12"/>
      <c r="M36" s="12"/>
      <c r="N36" s="32"/>
      <c r="O36" s="12"/>
      <c r="P36" s="12"/>
      <c r="Q36" s="12"/>
      <c r="R36" s="12"/>
      <c r="S36" s="12"/>
      <c r="T36" s="12"/>
      <c r="U36" s="12"/>
      <c r="V36" s="12"/>
      <c r="W36" s="12"/>
      <c r="X36" s="12"/>
      <c r="Y36" s="12"/>
      <c r="Z36" s="12"/>
      <c r="AA36" s="32"/>
      <c r="AB36" s="12"/>
      <c r="AC36" s="12"/>
      <c r="AD36" s="12"/>
      <c r="AE36" s="12"/>
      <c r="AF36" s="12"/>
      <c r="AG36" s="12"/>
      <c r="AH36" s="12"/>
      <c r="AI36" s="12"/>
      <c r="AJ36" s="12"/>
      <c r="AK36" s="12"/>
      <c r="AL36" s="12"/>
      <c r="AM36" s="12"/>
      <c r="AN36" s="32"/>
      <c r="AO36" s="12"/>
      <c r="AP36" s="12"/>
      <c r="AQ36" s="12"/>
      <c r="AR36" s="12"/>
      <c r="AS36" s="12"/>
      <c r="AT36" s="12"/>
      <c r="AU36" s="12"/>
      <c r="AV36" s="12"/>
      <c r="AW36" s="12"/>
      <c r="AX36" s="12"/>
      <c r="AY36" s="12"/>
      <c r="AZ36" s="12"/>
      <c r="BA36" s="32"/>
      <c r="BB36" s="12"/>
      <c r="BC36" s="12"/>
      <c r="BD36" s="12"/>
      <c r="BE36" s="12"/>
      <c r="BF36" s="12"/>
      <c r="BG36" s="12"/>
      <c r="BH36" s="12"/>
      <c r="BI36" s="12"/>
      <c r="BJ36" s="12"/>
      <c r="BK36" s="12"/>
      <c r="BL36" s="12"/>
      <c r="BM36" s="12"/>
      <c r="BN36" s="32"/>
      <c r="BO36" s="12"/>
      <c r="BP36" s="12"/>
      <c r="BQ36" s="12"/>
      <c r="BR36" s="12"/>
      <c r="BS36" s="12"/>
      <c r="BT36" s="12"/>
      <c r="BU36" s="12"/>
      <c r="BV36" s="12"/>
      <c r="BW36" s="12"/>
      <c r="BX36" s="12"/>
      <c r="BY36" s="12"/>
      <c r="BZ36" s="12"/>
    </row>
    <row r="37" spans="1:79" s="1" customFormat="1" x14ac:dyDescent="0.25">
      <c r="A37" s="1" t="s">
        <v>9</v>
      </c>
      <c r="B37" s="19">
        <f>B8-B13</f>
        <v>1198536</v>
      </c>
      <c r="C37" s="19">
        <f t="shared" ref="C37:BS37" si="36">C8-C13</f>
        <v>334876</v>
      </c>
      <c r="D37" s="19">
        <f t="shared" si="36"/>
        <v>1093124</v>
      </c>
      <c r="E37" s="19">
        <f t="shared" si="36"/>
        <v>597055</v>
      </c>
      <c r="F37" s="19">
        <f t="shared" si="36"/>
        <v>2182052</v>
      </c>
      <c r="G37" s="19">
        <f t="shared" si="36"/>
        <v>1688291</v>
      </c>
      <c r="H37" s="19">
        <f t="shared" si="36"/>
        <v>2751433</v>
      </c>
      <c r="I37" s="19">
        <f t="shared" si="36"/>
        <v>1435511</v>
      </c>
      <c r="J37" s="19">
        <f t="shared" si="36"/>
        <v>1804434</v>
      </c>
      <c r="K37" s="19">
        <f t="shared" si="36"/>
        <v>625987</v>
      </c>
      <c r="L37" s="19">
        <f t="shared" si="36"/>
        <v>228966</v>
      </c>
      <c r="M37" s="19">
        <f t="shared" si="36"/>
        <v>1519712</v>
      </c>
      <c r="N37" s="33">
        <f>SUM(C37:M37)</f>
        <v>14261441</v>
      </c>
      <c r="O37" s="19">
        <f t="shared" si="36"/>
        <v>202977</v>
      </c>
      <c r="P37" s="19">
        <f t="shared" si="36"/>
        <v>-71846</v>
      </c>
      <c r="Q37" s="19">
        <f t="shared" si="36"/>
        <v>2020063</v>
      </c>
      <c r="R37" s="19">
        <f t="shared" si="36"/>
        <v>2696924</v>
      </c>
      <c r="S37" s="19">
        <f t="shared" si="36"/>
        <v>1711571</v>
      </c>
      <c r="T37" s="19">
        <f t="shared" si="36"/>
        <v>1485588</v>
      </c>
      <c r="U37" s="19">
        <f t="shared" si="36"/>
        <v>2585412</v>
      </c>
      <c r="V37" s="19">
        <f t="shared" si="36"/>
        <v>705020</v>
      </c>
      <c r="W37" s="19">
        <f t="shared" si="36"/>
        <v>2549040</v>
      </c>
      <c r="X37" s="19">
        <f t="shared" si="36"/>
        <v>3004493</v>
      </c>
      <c r="Y37" s="19">
        <f t="shared" si="36"/>
        <v>1402489</v>
      </c>
      <c r="Z37" s="19">
        <f t="shared" si="36"/>
        <v>1800086</v>
      </c>
      <c r="AA37" s="33">
        <f>SUM(O37:Z37)</f>
        <v>20091817</v>
      </c>
      <c r="AB37" s="19">
        <f t="shared" si="36"/>
        <v>-490043</v>
      </c>
      <c r="AC37" s="19">
        <f t="shared" si="36"/>
        <v>626034</v>
      </c>
      <c r="AD37" s="19">
        <f t="shared" si="36"/>
        <v>376844.34999999963</v>
      </c>
      <c r="AE37" s="19">
        <f t="shared" si="36"/>
        <v>3714293.58</v>
      </c>
      <c r="AF37" s="19">
        <f t="shared" si="36"/>
        <v>2510334.7999999998</v>
      </c>
      <c r="AG37" s="19">
        <f t="shared" si="36"/>
        <v>835376.33000000007</v>
      </c>
      <c r="AH37" s="19">
        <f t="shared" si="36"/>
        <v>2977084.3200000003</v>
      </c>
      <c r="AI37" s="19">
        <f t="shared" si="36"/>
        <v>1146892.9699999997</v>
      </c>
      <c r="AJ37" s="19">
        <f t="shared" si="36"/>
        <v>1320085</v>
      </c>
      <c r="AK37" s="19">
        <f t="shared" si="36"/>
        <v>-195030.75</v>
      </c>
      <c r="AL37" s="19">
        <f t="shared" si="36"/>
        <v>643765.73000000045</v>
      </c>
      <c r="AM37" s="19">
        <f t="shared" si="36"/>
        <v>-143504</v>
      </c>
      <c r="AN37" s="33">
        <f>SUM(AB37:AM37)</f>
        <v>13322133.329999998</v>
      </c>
      <c r="AO37" s="19">
        <f t="shared" si="36"/>
        <v>-1342766.1099999999</v>
      </c>
      <c r="AP37" s="19">
        <f t="shared" si="36"/>
        <v>-500444.9299999997</v>
      </c>
      <c r="AQ37" s="19">
        <f t="shared" si="36"/>
        <v>2049844.04</v>
      </c>
      <c r="AR37" s="19">
        <f t="shared" si="36"/>
        <v>2565153.4</v>
      </c>
      <c r="AS37" s="19">
        <f t="shared" si="36"/>
        <v>3093576.3500000006</v>
      </c>
      <c r="AT37" s="19">
        <f t="shared" si="36"/>
        <v>2487402.2699999996</v>
      </c>
      <c r="AU37" s="19">
        <f t="shared" si="36"/>
        <v>2221979.4000000004</v>
      </c>
      <c r="AV37" s="19">
        <f t="shared" si="36"/>
        <v>2119662.79</v>
      </c>
      <c r="AW37" s="19">
        <f t="shared" si="36"/>
        <v>1733575.6600000001</v>
      </c>
      <c r="AX37" s="19">
        <f t="shared" si="36"/>
        <v>2701277.41</v>
      </c>
      <c r="AY37" s="19">
        <f t="shared" si="36"/>
        <v>2607267.5999999996</v>
      </c>
      <c r="AZ37" s="19">
        <f t="shared" si="36"/>
        <v>2482492.8099999996</v>
      </c>
      <c r="BA37" s="33">
        <f>SUM(AO37:AZ37)</f>
        <v>22219020.690000001</v>
      </c>
      <c r="BB37" s="19">
        <f t="shared" si="36"/>
        <v>-266016.60999999987</v>
      </c>
      <c r="BC37" s="19">
        <f t="shared" si="36"/>
        <v>686465.21999999974</v>
      </c>
      <c r="BD37" s="19">
        <f t="shared" si="36"/>
        <v>1945825.13</v>
      </c>
      <c r="BE37" s="19">
        <f t="shared" si="36"/>
        <v>2569847.7400000002</v>
      </c>
      <c r="BF37" s="19">
        <f t="shared" si="36"/>
        <v>1382239.9900000002</v>
      </c>
      <c r="BG37" s="19">
        <f t="shared" si="36"/>
        <v>861654.19000000041</v>
      </c>
      <c r="BH37" s="19">
        <f t="shared" si="36"/>
        <v>791159.37000000011</v>
      </c>
      <c r="BI37" s="19">
        <f t="shared" si="36"/>
        <v>1364059.0599999996</v>
      </c>
      <c r="BJ37" s="19">
        <f t="shared" si="36"/>
        <v>1451839.2199999997</v>
      </c>
      <c r="BK37" s="19">
        <f t="shared" si="36"/>
        <v>1121811.29</v>
      </c>
      <c r="BL37" s="19">
        <f t="shared" si="36"/>
        <v>177088.44000000041</v>
      </c>
      <c r="BM37" s="19">
        <f t="shared" si="36"/>
        <v>6744957.0899999999</v>
      </c>
      <c r="BN37" s="33">
        <f>SUM(BB37:BM37)</f>
        <v>18830930.129999999</v>
      </c>
      <c r="BO37" s="19">
        <f t="shared" si="36"/>
        <v>-853537.21</v>
      </c>
      <c r="BP37" s="19">
        <f t="shared" si="36"/>
        <v>794111</v>
      </c>
      <c r="BQ37" s="19">
        <f t="shared" si="36"/>
        <v>4583610.6899999995</v>
      </c>
      <c r="BR37" s="19">
        <f t="shared" si="36"/>
        <v>3542660.9700000007</v>
      </c>
      <c r="BS37" s="19">
        <f t="shared" si="36"/>
        <v>2740112.9800000004</v>
      </c>
      <c r="BT37" s="19">
        <f t="shared" ref="BT37:BZ37" si="37">BT8-BT13</f>
        <v>2589447.58</v>
      </c>
      <c r="BU37" s="19">
        <f t="shared" si="37"/>
        <v>1830467.2199999997</v>
      </c>
      <c r="BV37" s="19">
        <f t="shared" si="37"/>
        <v>2166032.0700000003</v>
      </c>
      <c r="BW37" s="19">
        <f t="shared" si="37"/>
        <v>1740084.9699999997</v>
      </c>
      <c r="BX37" s="19">
        <f t="shared" si="37"/>
        <v>3987051.9800000004</v>
      </c>
      <c r="BY37" s="19">
        <f t="shared" si="37"/>
        <v>1061426.6600000001</v>
      </c>
      <c r="BZ37" s="19">
        <f t="shared" si="37"/>
        <v>2816120.4699999997</v>
      </c>
      <c r="CA37" s="29">
        <f>SUM(BO37:BZ37)</f>
        <v>26997589.379999999</v>
      </c>
    </row>
    <row r="38" spans="1:79" s="15" customFormat="1" x14ac:dyDescent="0.25">
      <c r="A38" s="15" t="s">
        <v>2</v>
      </c>
      <c r="B38" s="20"/>
      <c r="C38" s="20"/>
      <c r="D38" s="20"/>
      <c r="E38" s="20"/>
      <c r="F38" s="20"/>
      <c r="G38" s="20"/>
      <c r="H38" s="20"/>
      <c r="I38" s="20"/>
      <c r="J38" s="20"/>
      <c r="K38" s="20"/>
      <c r="L38" s="20"/>
      <c r="M38" s="20"/>
      <c r="N38" s="31"/>
      <c r="O38" s="20">
        <f t="shared" ref="O38:AT38" si="38">(O37/B37)-1</f>
        <v>-0.83064588798333971</v>
      </c>
      <c r="P38" s="20">
        <f t="shared" si="38"/>
        <v>-1.2145450853450233</v>
      </c>
      <c r="Q38" s="20">
        <f t="shared" si="38"/>
        <v>0.84797241667002088</v>
      </c>
      <c r="R38" s="20">
        <f t="shared" si="38"/>
        <v>3.5170444933883811</v>
      </c>
      <c r="S38" s="20">
        <f t="shared" si="38"/>
        <v>-0.21561401836436533</v>
      </c>
      <c r="T38" s="20">
        <f t="shared" si="38"/>
        <v>-0.12006401739984396</v>
      </c>
      <c r="U38" s="20">
        <f t="shared" si="38"/>
        <v>-6.0339830190304422E-2</v>
      </c>
      <c r="V38" s="20">
        <f t="shared" si="38"/>
        <v>-0.50887175368213833</v>
      </c>
      <c r="W38" s="20">
        <f t="shared" si="38"/>
        <v>0.41265349688600406</v>
      </c>
      <c r="X38" s="20">
        <f t="shared" si="38"/>
        <v>3.799609257061249</v>
      </c>
      <c r="Y38" s="20">
        <f t="shared" si="38"/>
        <v>5.1253155490334805</v>
      </c>
      <c r="Z38" s="20">
        <f t="shared" si="38"/>
        <v>0.18449153523825568</v>
      </c>
      <c r="AA38" s="31">
        <f t="shared" si="38"/>
        <v>0.40882095995769285</v>
      </c>
      <c r="AB38" s="20">
        <f t="shared" si="38"/>
        <v>-3.4142784650477642</v>
      </c>
      <c r="AC38" s="20">
        <f t="shared" si="38"/>
        <v>-9.7135539904796371</v>
      </c>
      <c r="AD38" s="20">
        <f t="shared" si="38"/>
        <v>-0.81344920925733522</v>
      </c>
      <c r="AE38" s="20">
        <f t="shared" si="38"/>
        <v>0.37723331469481525</v>
      </c>
      <c r="AF38" s="20">
        <f t="shared" si="38"/>
        <v>0.46668458392903345</v>
      </c>
      <c r="AG38" s="20">
        <f t="shared" si="38"/>
        <v>-0.4376796729645096</v>
      </c>
      <c r="AH38" s="20">
        <f t="shared" si="38"/>
        <v>0.15149319334790756</v>
      </c>
      <c r="AI38" s="20">
        <f t="shared" si="38"/>
        <v>0.62675239000312022</v>
      </c>
      <c r="AJ38" s="20">
        <f t="shared" si="38"/>
        <v>-0.48212464300285596</v>
      </c>
      <c r="AK38" s="20">
        <f t="shared" si="38"/>
        <v>-1.0649130319158673</v>
      </c>
      <c r="AL38" s="20">
        <f t="shared" si="38"/>
        <v>-0.54098340165234782</v>
      </c>
      <c r="AM38" s="20">
        <f t="shared" si="38"/>
        <v>-1.0797206355696338</v>
      </c>
      <c r="AN38" s="31">
        <f t="shared" si="38"/>
        <v>-0.33693735464542618</v>
      </c>
      <c r="AO38" s="20">
        <f t="shared" si="38"/>
        <v>1.7400985423728117</v>
      </c>
      <c r="AP38" s="20">
        <f t="shared" si="38"/>
        <v>-1.7993893782126844</v>
      </c>
      <c r="AQ38" s="20">
        <f t="shared" si="38"/>
        <v>4.4394978722647744</v>
      </c>
      <c r="AR38" s="20">
        <f t="shared" si="38"/>
        <v>-0.3093832394368784</v>
      </c>
      <c r="AS38" s="20">
        <f t="shared" si="38"/>
        <v>0.23233616089774189</v>
      </c>
      <c r="AT38" s="20">
        <f t="shared" si="38"/>
        <v>1.9775828936881648</v>
      </c>
      <c r="AU38" s="20">
        <f t="shared" ref="AU38:BZ38" si="39">(AU37/AH37)-1</f>
        <v>-0.25363907731037993</v>
      </c>
      <c r="AV38" s="20">
        <f t="shared" si="39"/>
        <v>0.84817837884209935</v>
      </c>
      <c r="AW38" s="20">
        <f t="shared" si="39"/>
        <v>0.31323032986512245</v>
      </c>
      <c r="AX38" s="20">
        <f t="shared" si="39"/>
        <v>-14.850520546119011</v>
      </c>
      <c r="AY38" s="20">
        <f t="shared" si="39"/>
        <v>3.0500254650088285</v>
      </c>
      <c r="AZ38" s="20">
        <f t="shared" si="39"/>
        <v>-18.299119257999774</v>
      </c>
      <c r="BA38" s="31">
        <f t="shared" si="39"/>
        <v>0.6678275272898806</v>
      </c>
      <c r="BB38" s="20">
        <f t="shared" si="39"/>
        <v>-0.80188909444549517</v>
      </c>
      <c r="BC38" s="20">
        <f t="shared" si="39"/>
        <v>-2.3717098103081993</v>
      </c>
      <c r="BD38" s="20">
        <f t="shared" si="39"/>
        <v>-5.0744792272098938E-2</v>
      </c>
      <c r="BE38" s="20">
        <f t="shared" si="39"/>
        <v>1.8300426009612014E-3</v>
      </c>
      <c r="BF38" s="20">
        <f t="shared" si="39"/>
        <v>-0.55319027765388751</v>
      </c>
      <c r="BG38" s="20">
        <f t="shared" si="39"/>
        <v>-0.65359274597751305</v>
      </c>
      <c r="BH38" s="20">
        <f t="shared" si="39"/>
        <v>-0.64393937675569812</v>
      </c>
      <c r="BI38" s="20">
        <f t="shared" si="39"/>
        <v>-0.35647355492804611</v>
      </c>
      <c r="BJ38" s="20">
        <f t="shared" si="39"/>
        <v>-0.16251753326993545</v>
      </c>
      <c r="BK38" s="20">
        <f t="shared" si="39"/>
        <v>-0.58471081650218215</v>
      </c>
      <c r="BL38" s="20">
        <f t="shared" si="39"/>
        <v>-0.93207891664054721</v>
      </c>
      <c r="BM38" s="20">
        <f t="shared" si="39"/>
        <v>1.7170097181469788</v>
      </c>
      <c r="BN38" s="31">
        <f t="shared" si="39"/>
        <v>-0.15248604370420626</v>
      </c>
      <c r="BO38" s="20">
        <f t="shared" si="39"/>
        <v>2.2085861480604554</v>
      </c>
      <c r="BP38" s="20">
        <f t="shared" si="39"/>
        <v>0.15681170271088218</v>
      </c>
      <c r="BQ38" s="20">
        <f t="shared" si="39"/>
        <v>1.355612855097621</v>
      </c>
      <c r="BR38" s="20">
        <f t="shared" si="39"/>
        <v>0.37854897582375857</v>
      </c>
      <c r="BS38" s="20">
        <f t="shared" si="39"/>
        <v>0.98237136808637704</v>
      </c>
      <c r="BT38" s="20">
        <f t="shared" si="39"/>
        <v>2.0052051159874229</v>
      </c>
      <c r="BU38" s="20">
        <f t="shared" si="39"/>
        <v>1.3136516982665571</v>
      </c>
      <c r="BV38" s="20">
        <f t="shared" si="39"/>
        <v>0.58793129529156962</v>
      </c>
      <c r="BW38" s="20">
        <f t="shared" si="39"/>
        <v>0.19853834090526923</v>
      </c>
      <c r="BX38" s="20">
        <f t="shared" si="39"/>
        <v>2.5541200338605972</v>
      </c>
      <c r="BY38" s="20">
        <f t="shared" si="39"/>
        <v>4.9937659397756153</v>
      </c>
      <c r="BZ38" s="20">
        <f t="shared" si="39"/>
        <v>-0.58248504291077707</v>
      </c>
      <c r="CA38" s="31">
        <f>(CA37/BN37)-1</f>
        <v>0.43368326437521554</v>
      </c>
    </row>
    <row r="39" spans="1:79" x14ac:dyDescent="0.25">
      <c r="B39" s="12"/>
      <c r="C39" s="12"/>
      <c r="D39" s="12"/>
      <c r="E39" s="12"/>
      <c r="F39" s="12"/>
      <c r="G39" s="12"/>
      <c r="H39" s="12"/>
      <c r="I39" s="12"/>
      <c r="J39" s="12"/>
      <c r="K39" s="12"/>
      <c r="L39" s="12"/>
      <c r="M39" s="12"/>
      <c r="N39" s="32"/>
      <c r="O39" s="12"/>
      <c r="P39" s="12"/>
      <c r="Q39" s="12"/>
      <c r="R39" s="12"/>
      <c r="S39" s="12"/>
      <c r="T39" s="12"/>
      <c r="U39" s="12"/>
      <c r="V39" s="12"/>
      <c r="W39" s="12"/>
      <c r="X39" s="12"/>
      <c r="Y39" s="12"/>
      <c r="Z39" s="12"/>
      <c r="AA39" s="32"/>
      <c r="AB39" s="12"/>
      <c r="AC39" s="12"/>
      <c r="AD39" s="12"/>
      <c r="AE39" s="12"/>
      <c r="AF39" s="12"/>
      <c r="AG39" s="12"/>
      <c r="AH39" s="12"/>
      <c r="AI39" s="12"/>
      <c r="AJ39" s="12"/>
      <c r="AK39" s="12"/>
      <c r="AL39" s="12"/>
      <c r="AM39" s="12"/>
      <c r="AN39" s="32"/>
      <c r="AO39" s="12"/>
      <c r="AP39" s="12"/>
      <c r="AQ39" s="12"/>
      <c r="AR39" s="12"/>
      <c r="AS39" s="12"/>
      <c r="AT39" s="12"/>
      <c r="AU39" s="12"/>
      <c r="AV39" s="12"/>
      <c r="AW39" s="12"/>
      <c r="AX39" s="12"/>
      <c r="AY39" s="12"/>
      <c r="AZ39" s="12"/>
      <c r="BA39" s="32"/>
      <c r="BB39" s="12"/>
      <c r="BC39" s="12"/>
      <c r="BD39" s="12"/>
      <c r="BE39" s="12"/>
      <c r="BF39" s="12"/>
      <c r="BG39" s="12"/>
      <c r="BH39" s="12"/>
      <c r="BI39" s="12"/>
      <c r="BJ39" s="12"/>
      <c r="BK39" s="12"/>
      <c r="BL39" s="12"/>
      <c r="BM39" s="12"/>
      <c r="BN39" s="32"/>
      <c r="BO39" s="12"/>
      <c r="BP39" s="12"/>
      <c r="BQ39" s="12"/>
      <c r="BR39" s="12"/>
      <c r="BS39" s="12"/>
      <c r="BT39" s="12"/>
      <c r="BU39" s="12"/>
      <c r="BV39" s="12"/>
      <c r="BW39" s="12"/>
      <c r="BX39" s="12"/>
      <c r="BY39" s="12"/>
      <c r="BZ39" s="12"/>
    </row>
    <row r="40" spans="1:79" s="1" customFormat="1" x14ac:dyDescent="0.25">
      <c r="A40" s="1" t="s">
        <v>10</v>
      </c>
      <c r="B40" s="18">
        <v>614023</v>
      </c>
      <c r="C40" s="18">
        <v>108216</v>
      </c>
      <c r="D40" s="18">
        <v>302156</v>
      </c>
      <c r="E40" s="18">
        <v>1131869</v>
      </c>
      <c r="F40" s="18">
        <v>336569</v>
      </c>
      <c r="G40" s="18">
        <v>66184</v>
      </c>
      <c r="H40" s="18">
        <v>650744</v>
      </c>
      <c r="I40" s="18">
        <v>229714</v>
      </c>
      <c r="J40" s="18">
        <v>147459</v>
      </c>
      <c r="K40" s="18">
        <v>786728</v>
      </c>
      <c r="L40" s="18">
        <v>302342</v>
      </c>
      <c r="M40" s="18">
        <v>416958</v>
      </c>
      <c r="N40" s="30">
        <f>SUM(C40:M40)</f>
        <v>4478939</v>
      </c>
      <c r="O40" s="18">
        <v>484781</v>
      </c>
      <c r="P40" s="18">
        <v>362816</v>
      </c>
      <c r="Q40" s="18">
        <v>521032</v>
      </c>
      <c r="R40" s="18">
        <v>837208</v>
      </c>
      <c r="S40" s="18">
        <v>457820</v>
      </c>
      <c r="T40" s="18">
        <v>148538</v>
      </c>
      <c r="U40" s="18">
        <v>609538</v>
      </c>
      <c r="V40" s="18">
        <v>314074</v>
      </c>
      <c r="W40" s="18">
        <v>822276</v>
      </c>
      <c r="X40" s="18">
        <v>745053</v>
      </c>
      <c r="Y40" s="18">
        <v>765254</v>
      </c>
      <c r="Z40" s="18">
        <v>600999</v>
      </c>
      <c r="AA40" s="30">
        <f>SUM(O40:Z40)</f>
        <v>6669389</v>
      </c>
      <c r="AB40" s="18">
        <v>728277</v>
      </c>
      <c r="AC40" s="18">
        <v>754886</v>
      </c>
      <c r="AD40" s="18">
        <v>724218</v>
      </c>
      <c r="AE40" s="18">
        <v>587589</v>
      </c>
      <c r="AF40" s="18">
        <v>587392</v>
      </c>
      <c r="AG40" s="18">
        <v>589450</v>
      </c>
      <c r="AH40" s="18">
        <v>830298</v>
      </c>
      <c r="AI40" s="18">
        <v>408628</v>
      </c>
      <c r="AJ40" s="18">
        <v>408628</v>
      </c>
      <c r="AK40" s="18">
        <v>541856</v>
      </c>
      <c r="AL40" s="18">
        <v>544676</v>
      </c>
      <c r="AM40" s="18">
        <v>557927</v>
      </c>
      <c r="AN40" s="30">
        <f>SUM(AB40:AM40)</f>
        <v>7263825</v>
      </c>
      <c r="AO40" s="18">
        <v>307562</v>
      </c>
      <c r="AP40" s="18">
        <v>321769</v>
      </c>
      <c r="AQ40" s="18">
        <v>330504</v>
      </c>
      <c r="AR40" s="18">
        <v>330700.74</v>
      </c>
      <c r="AS40" s="18">
        <v>295714.65999999997</v>
      </c>
      <c r="AT40" s="18">
        <v>301305.65999999997</v>
      </c>
      <c r="AU40" s="18">
        <v>315119</v>
      </c>
      <c r="AV40" s="18">
        <v>308251</v>
      </c>
      <c r="AW40" s="18">
        <v>307784</v>
      </c>
      <c r="AX40" s="18">
        <v>259099</v>
      </c>
      <c r="AY40" s="18">
        <v>263586</v>
      </c>
      <c r="AZ40" s="18">
        <v>271783</v>
      </c>
      <c r="BA40" s="30">
        <f>SUM(AO40:AZ40)</f>
        <v>3613178.0599999996</v>
      </c>
      <c r="BB40" s="18">
        <v>310968</v>
      </c>
      <c r="BC40" s="18">
        <v>348625</v>
      </c>
      <c r="BD40" s="18">
        <v>483963</v>
      </c>
      <c r="BE40" s="18">
        <v>408264</v>
      </c>
      <c r="BF40" s="18">
        <v>401314</v>
      </c>
      <c r="BG40" s="18">
        <v>401290</v>
      </c>
      <c r="BH40" s="18">
        <v>441007</v>
      </c>
      <c r="BI40" s="18">
        <v>506969</v>
      </c>
      <c r="BJ40" s="18">
        <v>567649</v>
      </c>
      <c r="BK40" s="18">
        <v>565638</v>
      </c>
      <c r="BL40" s="18">
        <v>649451</v>
      </c>
      <c r="BM40" s="18">
        <v>659894</v>
      </c>
      <c r="BN40" s="30">
        <f>SUM(BB40:BM40)</f>
        <v>5745032</v>
      </c>
      <c r="BO40" s="18">
        <v>242149</v>
      </c>
      <c r="BP40" s="18">
        <v>403970.69</v>
      </c>
      <c r="BQ40" s="18">
        <v>412537.98</v>
      </c>
      <c r="BR40" s="18">
        <v>399448.49</v>
      </c>
      <c r="BS40" s="18">
        <v>428315.87</v>
      </c>
      <c r="BT40" s="18">
        <v>387657.79</v>
      </c>
      <c r="BU40" s="18">
        <v>613459.22</v>
      </c>
      <c r="BV40" s="18">
        <v>586597.53</v>
      </c>
      <c r="BW40" s="18">
        <v>574510.71</v>
      </c>
      <c r="BX40" s="18">
        <v>578696.47</v>
      </c>
      <c r="BY40" s="18">
        <v>597853.85</v>
      </c>
      <c r="BZ40" s="18">
        <v>580110.18999999994</v>
      </c>
      <c r="CA40" s="29">
        <f>SUM(BO40:BZ40)</f>
        <v>5805307.7899999991</v>
      </c>
    </row>
    <row r="41" spans="1:79" s="15" customFormat="1" x14ac:dyDescent="0.25">
      <c r="A41" s="15" t="s">
        <v>2</v>
      </c>
      <c r="B41" s="17"/>
      <c r="C41" s="17"/>
      <c r="D41" s="17"/>
      <c r="E41" s="17"/>
      <c r="F41" s="17"/>
      <c r="G41" s="17"/>
      <c r="H41" s="17"/>
      <c r="I41" s="17"/>
      <c r="J41" s="17"/>
      <c r="K41" s="17"/>
      <c r="L41" s="17"/>
      <c r="M41" s="17"/>
      <c r="N41" s="31"/>
      <c r="O41" s="17">
        <f t="shared" ref="O41:AT41" si="40">(O40/B40)-1</f>
        <v>-0.21048397209876502</v>
      </c>
      <c r="P41" s="17">
        <f t="shared" si="40"/>
        <v>2.3527020034006063</v>
      </c>
      <c r="Q41" s="17">
        <f t="shared" si="40"/>
        <v>0.72438078343637069</v>
      </c>
      <c r="R41" s="17">
        <f t="shared" si="40"/>
        <v>-0.26033136343516783</v>
      </c>
      <c r="S41" s="17">
        <f t="shared" si="40"/>
        <v>0.3602559950559916</v>
      </c>
      <c r="T41" s="17">
        <f t="shared" si="40"/>
        <v>1.244318868608727</v>
      </c>
      <c r="U41" s="17">
        <f t="shared" si="40"/>
        <v>-6.3321367542382268E-2</v>
      </c>
      <c r="V41" s="17">
        <f t="shared" si="40"/>
        <v>0.36723926273540131</v>
      </c>
      <c r="W41" s="17">
        <f t="shared" si="40"/>
        <v>4.5763025654588736</v>
      </c>
      <c r="X41" s="17">
        <f t="shared" si="40"/>
        <v>-5.2972564850875981E-2</v>
      </c>
      <c r="Y41" s="17">
        <f t="shared" si="40"/>
        <v>1.5310873117198405</v>
      </c>
      <c r="Z41" s="17">
        <f t="shared" si="40"/>
        <v>0.44138978026563835</v>
      </c>
      <c r="AA41" s="31">
        <f t="shared" si="40"/>
        <v>0.48905555534469203</v>
      </c>
      <c r="AB41" s="17">
        <f t="shared" si="40"/>
        <v>0.50228041115472766</v>
      </c>
      <c r="AC41" s="17">
        <f t="shared" si="40"/>
        <v>1.0806304021873347</v>
      </c>
      <c r="AD41" s="17">
        <f t="shared" si="40"/>
        <v>0.38996837046476984</v>
      </c>
      <c r="AE41" s="17">
        <f t="shared" si="40"/>
        <v>-0.29815649157676472</v>
      </c>
      <c r="AF41" s="17">
        <f t="shared" si="40"/>
        <v>0.28301952732514968</v>
      </c>
      <c r="AG41" s="17">
        <f t="shared" si="40"/>
        <v>2.968344800657071</v>
      </c>
      <c r="AH41" s="17">
        <f t="shared" si="40"/>
        <v>0.36217594309132495</v>
      </c>
      <c r="AI41" s="17">
        <f t="shared" si="40"/>
        <v>0.30105643892840539</v>
      </c>
      <c r="AJ41" s="17">
        <f t="shared" si="40"/>
        <v>-0.50305250305250304</v>
      </c>
      <c r="AK41" s="17">
        <f t="shared" si="40"/>
        <v>-0.27272824886283253</v>
      </c>
      <c r="AL41" s="17">
        <f t="shared" si="40"/>
        <v>-0.28824155117124506</v>
      </c>
      <c r="AM41" s="17">
        <f t="shared" si="40"/>
        <v>-7.1667340544659841E-2</v>
      </c>
      <c r="AN41" s="31">
        <f t="shared" si="40"/>
        <v>8.9129004171146775E-2</v>
      </c>
      <c r="AO41" s="17">
        <f t="shared" si="40"/>
        <v>-0.57768541365441994</v>
      </c>
      <c r="AP41" s="17">
        <f t="shared" si="40"/>
        <v>-0.57375153334410767</v>
      </c>
      <c r="AQ41" s="17">
        <f t="shared" si="40"/>
        <v>-0.54364017464354664</v>
      </c>
      <c r="AR41" s="17">
        <f t="shared" si="40"/>
        <v>-0.43719038307388325</v>
      </c>
      <c r="AS41" s="17">
        <f t="shared" si="40"/>
        <v>-0.49656335122030948</v>
      </c>
      <c r="AT41" s="17">
        <f t="shared" si="40"/>
        <v>-0.48883593180083129</v>
      </c>
      <c r="AU41" s="17">
        <f t="shared" ref="AU41:BZ41" si="41">(AU40/AH40)-1</f>
        <v>-0.62047481747517153</v>
      </c>
      <c r="AV41" s="17">
        <f t="shared" si="41"/>
        <v>-0.24564395978738607</v>
      </c>
      <c r="AW41" s="17">
        <f t="shared" si="41"/>
        <v>-0.24678680853979662</v>
      </c>
      <c r="AX41" s="17">
        <f t="shared" si="41"/>
        <v>-0.52183052323864643</v>
      </c>
      <c r="AY41" s="17">
        <f t="shared" si="41"/>
        <v>-0.51606826810801287</v>
      </c>
      <c r="AZ41" s="17">
        <f t="shared" si="41"/>
        <v>-0.51286996327476531</v>
      </c>
      <c r="BA41" s="31">
        <f t="shared" si="41"/>
        <v>-0.50257914253165525</v>
      </c>
      <c r="BB41" s="17">
        <f t="shared" si="41"/>
        <v>1.1074189919430877E-2</v>
      </c>
      <c r="BC41" s="17">
        <f t="shared" si="41"/>
        <v>8.3463602770931899E-2</v>
      </c>
      <c r="BD41" s="17">
        <f t="shared" si="41"/>
        <v>0.46431813230702201</v>
      </c>
      <c r="BE41" s="17">
        <f t="shared" si="41"/>
        <v>0.23454214224014147</v>
      </c>
      <c r="BF41" s="17">
        <f t="shared" si="41"/>
        <v>0.35709876541122454</v>
      </c>
      <c r="BG41" s="17">
        <f t="shared" si="41"/>
        <v>0.33183691272178573</v>
      </c>
      <c r="BH41" s="17">
        <f t="shared" si="41"/>
        <v>0.39949352466845856</v>
      </c>
      <c r="BI41" s="17">
        <f t="shared" si="41"/>
        <v>0.64466295324264955</v>
      </c>
      <c r="BJ41" s="17">
        <f t="shared" si="41"/>
        <v>0.84430964572557388</v>
      </c>
      <c r="BK41" s="17">
        <f t="shared" si="41"/>
        <v>1.1830960366500833</v>
      </c>
      <c r="BL41" s="17">
        <f t="shared" si="41"/>
        <v>1.4639055185025001</v>
      </c>
      <c r="BM41" s="17">
        <f t="shared" si="41"/>
        <v>1.42801794078364</v>
      </c>
      <c r="BN41" s="31">
        <f t="shared" si="41"/>
        <v>0.59002183246955742</v>
      </c>
      <c r="BO41" s="17">
        <f t="shared" si="41"/>
        <v>-0.22130572920686375</v>
      </c>
      <c r="BP41" s="17">
        <f t="shared" si="41"/>
        <v>0.1587542201505916</v>
      </c>
      <c r="BQ41" s="17">
        <f t="shared" si="41"/>
        <v>-0.14758363759213</v>
      </c>
      <c r="BR41" s="17">
        <f t="shared" si="41"/>
        <v>-2.1592670428938199E-2</v>
      </c>
      <c r="BS41" s="17">
        <f t="shared" si="41"/>
        <v>6.7283648215611613E-2</v>
      </c>
      <c r="BT41" s="17">
        <f t="shared" si="41"/>
        <v>-3.3970968626180653E-2</v>
      </c>
      <c r="BU41" s="17">
        <f t="shared" si="41"/>
        <v>0.39104191089937346</v>
      </c>
      <c r="BV41" s="17">
        <f t="shared" si="41"/>
        <v>0.15706784832997678</v>
      </c>
      <c r="BW41" s="17">
        <f t="shared" si="41"/>
        <v>1.2087945191482596E-2</v>
      </c>
      <c r="BX41" s="17">
        <f t="shared" si="41"/>
        <v>2.3086267188555221E-2</v>
      </c>
      <c r="BY41" s="17">
        <f t="shared" si="41"/>
        <v>-7.9447333209125892E-2</v>
      </c>
      <c r="BZ41" s="17">
        <f t="shared" si="41"/>
        <v>-0.12090397851776202</v>
      </c>
      <c r="CA41" s="31">
        <f>(CA40/BN40)-1</f>
        <v>1.0491811011670515E-2</v>
      </c>
    </row>
    <row r="43" spans="1:79" s="1" customFormat="1" x14ac:dyDescent="0.25">
      <c r="A43" s="1" t="s">
        <v>11</v>
      </c>
      <c r="B43" s="21">
        <f>B37-B40</f>
        <v>584513</v>
      </c>
      <c r="C43" s="21">
        <f t="shared" ref="C43:BS43" si="42">C37-C40</f>
        <v>226660</v>
      </c>
      <c r="D43" s="21">
        <f t="shared" si="42"/>
        <v>790968</v>
      </c>
      <c r="E43" s="21">
        <f t="shared" si="42"/>
        <v>-534814</v>
      </c>
      <c r="F43" s="21">
        <f t="shared" si="42"/>
        <v>1845483</v>
      </c>
      <c r="G43" s="21">
        <f t="shared" si="42"/>
        <v>1622107</v>
      </c>
      <c r="H43" s="21">
        <f t="shared" si="42"/>
        <v>2100689</v>
      </c>
      <c r="I43" s="21">
        <f t="shared" si="42"/>
        <v>1205797</v>
      </c>
      <c r="J43" s="21">
        <f t="shared" si="42"/>
        <v>1656975</v>
      </c>
      <c r="K43" s="21">
        <f t="shared" si="42"/>
        <v>-160741</v>
      </c>
      <c r="L43" s="21">
        <f t="shared" si="42"/>
        <v>-73376</v>
      </c>
      <c r="M43" s="21">
        <f t="shared" si="42"/>
        <v>1102754</v>
      </c>
      <c r="N43" s="29">
        <f>SUM(C43:M43)</f>
        <v>9782502</v>
      </c>
      <c r="O43" s="21">
        <f t="shared" si="42"/>
        <v>-281804</v>
      </c>
      <c r="P43" s="21">
        <f t="shared" si="42"/>
        <v>-434662</v>
      </c>
      <c r="Q43" s="21">
        <f t="shared" si="42"/>
        <v>1499031</v>
      </c>
      <c r="R43" s="21">
        <f t="shared" si="42"/>
        <v>1859716</v>
      </c>
      <c r="S43" s="21">
        <f t="shared" si="42"/>
        <v>1253751</v>
      </c>
      <c r="T43" s="21">
        <f t="shared" si="42"/>
        <v>1337050</v>
      </c>
      <c r="U43" s="21">
        <f t="shared" si="42"/>
        <v>1975874</v>
      </c>
      <c r="V43" s="21">
        <f t="shared" si="42"/>
        <v>390946</v>
      </c>
      <c r="W43" s="21">
        <f t="shared" si="42"/>
        <v>1726764</v>
      </c>
      <c r="X43" s="21">
        <f t="shared" si="42"/>
        <v>2259440</v>
      </c>
      <c r="Y43" s="21">
        <f t="shared" si="42"/>
        <v>637235</v>
      </c>
      <c r="Z43" s="21">
        <f t="shared" si="42"/>
        <v>1199087</v>
      </c>
      <c r="AA43" s="29">
        <f>SUM(O43:Z43)</f>
        <v>13422428</v>
      </c>
      <c r="AB43" s="21">
        <f t="shared" si="42"/>
        <v>-1218320</v>
      </c>
      <c r="AC43" s="21">
        <f t="shared" si="42"/>
        <v>-128852</v>
      </c>
      <c r="AD43" s="21">
        <f t="shared" si="42"/>
        <v>-347373.65000000037</v>
      </c>
      <c r="AE43" s="21">
        <f t="shared" si="42"/>
        <v>3126704.58</v>
      </c>
      <c r="AF43" s="21">
        <f t="shared" si="42"/>
        <v>1922942.7999999998</v>
      </c>
      <c r="AG43" s="21">
        <f t="shared" si="42"/>
        <v>245926.33000000007</v>
      </c>
      <c r="AH43" s="21">
        <f t="shared" si="42"/>
        <v>2146786.3200000003</v>
      </c>
      <c r="AI43" s="21">
        <f t="shared" si="42"/>
        <v>738264.96999999974</v>
      </c>
      <c r="AJ43" s="21">
        <f t="shared" si="42"/>
        <v>911457</v>
      </c>
      <c r="AK43" s="21">
        <f t="shared" si="42"/>
        <v>-736886.75</v>
      </c>
      <c r="AL43" s="21">
        <f t="shared" si="42"/>
        <v>99089.730000000447</v>
      </c>
      <c r="AM43" s="21">
        <f t="shared" si="42"/>
        <v>-701431</v>
      </c>
      <c r="AN43" s="29">
        <f>SUM(AB43:AM43)</f>
        <v>6058308.3300000001</v>
      </c>
      <c r="AO43" s="21">
        <f t="shared" si="42"/>
        <v>-1650328.1099999999</v>
      </c>
      <c r="AP43" s="21">
        <f t="shared" si="42"/>
        <v>-822213.9299999997</v>
      </c>
      <c r="AQ43" s="21">
        <f t="shared" si="42"/>
        <v>1719340.04</v>
      </c>
      <c r="AR43" s="21">
        <f t="shared" si="42"/>
        <v>2234452.66</v>
      </c>
      <c r="AS43" s="21">
        <f t="shared" si="42"/>
        <v>2797861.6900000004</v>
      </c>
      <c r="AT43" s="21">
        <f t="shared" si="42"/>
        <v>2186096.6099999994</v>
      </c>
      <c r="AU43" s="21">
        <f t="shared" si="42"/>
        <v>1906860.4000000004</v>
      </c>
      <c r="AV43" s="21">
        <f t="shared" si="42"/>
        <v>1811411.79</v>
      </c>
      <c r="AW43" s="21">
        <f t="shared" si="42"/>
        <v>1425791.6600000001</v>
      </c>
      <c r="AX43" s="21">
        <f t="shared" si="42"/>
        <v>2442178.41</v>
      </c>
      <c r="AY43" s="21">
        <f t="shared" si="42"/>
        <v>2343681.5999999996</v>
      </c>
      <c r="AZ43" s="21">
        <f t="shared" si="42"/>
        <v>2210709.8099999996</v>
      </c>
      <c r="BA43" s="29">
        <f>SUM(AO43:AZ43)</f>
        <v>18605842.630000003</v>
      </c>
      <c r="BB43" s="21">
        <f t="shared" si="42"/>
        <v>-576984.60999999987</v>
      </c>
      <c r="BC43" s="21">
        <f t="shared" si="42"/>
        <v>337840.21999999974</v>
      </c>
      <c r="BD43" s="21">
        <f t="shared" si="42"/>
        <v>1461862.13</v>
      </c>
      <c r="BE43" s="21">
        <f t="shared" si="42"/>
        <v>2161583.7400000002</v>
      </c>
      <c r="BF43" s="21">
        <f t="shared" si="42"/>
        <v>980925.99000000022</v>
      </c>
      <c r="BG43" s="21">
        <f t="shared" si="42"/>
        <v>460364.19000000041</v>
      </c>
      <c r="BH43" s="21">
        <f t="shared" si="42"/>
        <v>350152.37000000011</v>
      </c>
      <c r="BI43" s="21">
        <f t="shared" si="42"/>
        <v>857090.05999999959</v>
      </c>
      <c r="BJ43" s="21">
        <f t="shared" si="42"/>
        <v>884190.21999999974</v>
      </c>
      <c r="BK43" s="21">
        <f t="shared" si="42"/>
        <v>556173.29</v>
      </c>
      <c r="BL43" s="21">
        <f t="shared" si="42"/>
        <v>-472362.55999999959</v>
      </c>
      <c r="BM43" s="21">
        <f t="shared" si="42"/>
        <v>6085063.0899999999</v>
      </c>
      <c r="BN43" s="29">
        <f>SUM(BB43:BM43)</f>
        <v>13085898.130000001</v>
      </c>
      <c r="BO43" s="21">
        <f t="shared" si="42"/>
        <v>-1095686.21</v>
      </c>
      <c r="BP43" s="21">
        <f t="shared" si="42"/>
        <v>390140.31</v>
      </c>
      <c r="BQ43" s="21">
        <f t="shared" si="42"/>
        <v>4171072.7099999995</v>
      </c>
      <c r="BR43" s="21">
        <f t="shared" si="42"/>
        <v>3143212.4800000004</v>
      </c>
      <c r="BS43" s="21">
        <f t="shared" si="42"/>
        <v>2311797.1100000003</v>
      </c>
      <c r="BT43" s="21">
        <f t="shared" ref="BT43:BZ43" si="43">BT37-BT40</f>
        <v>2201789.79</v>
      </c>
      <c r="BU43" s="21">
        <f t="shared" si="43"/>
        <v>1217007.9999999998</v>
      </c>
      <c r="BV43" s="21">
        <f t="shared" si="43"/>
        <v>1579434.5400000003</v>
      </c>
      <c r="BW43" s="21">
        <f t="shared" si="43"/>
        <v>1165574.2599999998</v>
      </c>
      <c r="BX43" s="21">
        <f t="shared" si="43"/>
        <v>3408355.5100000007</v>
      </c>
      <c r="BY43" s="21">
        <f t="shared" si="43"/>
        <v>463572.81000000017</v>
      </c>
      <c r="BZ43" s="21">
        <f t="shared" si="43"/>
        <v>2236010.2799999998</v>
      </c>
      <c r="CA43" s="29">
        <f>SUM(BO43:BZ43)</f>
        <v>21192281.590000004</v>
      </c>
    </row>
    <row r="44" spans="1:79" s="15" customFormat="1" x14ac:dyDescent="0.25">
      <c r="A44" s="15" t="s">
        <v>2</v>
      </c>
      <c r="B44" s="16"/>
      <c r="C44" s="16"/>
      <c r="D44" s="16"/>
      <c r="E44" s="16"/>
      <c r="F44" s="16"/>
      <c r="G44" s="16"/>
      <c r="H44" s="16"/>
      <c r="I44" s="16"/>
      <c r="J44" s="16"/>
      <c r="K44" s="16"/>
      <c r="L44" s="16"/>
      <c r="M44" s="16"/>
      <c r="N44" s="27"/>
      <c r="O44" s="16">
        <f t="shared" ref="O44:AT44" si="44">(O43/B43)-1</f>
        <v>-1.4821175919098464</v>
      </c>
      <c r="P44" s="16">
        <f t="shared" si="44"/>
        <v>-2.9176828730256772</v>
      </c>
      <c r="Q44" s="16">
        <f t="shared" si="44"/>
        <v>0.89518539308796319</v>
      </c>
      <c r="R44" s="16">
        <f t="shared" si="44"/>
        <v>-4.4773136080955247</v>
      </c>
      <c r="S44" s="16">
        <f t="shared" si="44"/>
        <v>-0.32063801183755147</v>
      </c>
      <c r="T44" s="16">
        <f t="shared" si="44"/>
        <v>-0.17573255031881374</v>
      </c>
      <c r="U44" s="16">
        <f t="shared" si="44"/>
        <v>-5.9416220106831563E-2</v>
      </c>
      <c r="V44" s="16">
        <f t="shared" si="44"/>
        <v>-0.67577792945246995</v>
      </c>
      <c r="W44" s="16">
        <f t="shared" si="44"/>
        <v>4.2118318019282119E-2</v>
      </c>
      <c r="X44" s="16">
        <f t="shared" si="44"/>
        <v>-15.056401291518654</v>
      </c>
      <c r="Y44" s="16">
        <f t="shared" si="44"/>
        <v>-9.6845153728739639</v>
      </c>
      <c r="Z44" s="16">
        <f t="shared" si="44"/>
        <v>8.735674502200852E-2</v>
      </c>
      <c r="AA44" s="27">
        <f t="shared" si="44"/>
        <v>0.37208538265568469</v>
      </c>
      <c r="AB44" s="16">
        <f t="shared" si="44"/>
        <v>3.3232885267774765</v>
      </c>
      <c r="AC44" s="16">
        <f t="shared" si="44"/>
        <v>-0.70355816703553564</v>
      </c>
      <c r="AD44" s="16">
        <f t="shared" si="44"/>
        <v>-1.2317321322907935</v>
      </c>
      <c r="AE44" s="16">
        <f t="shared" si="44"/>
        <v>0.6812806794155668</v>
      </c>
      <c r="AF44" s="16">
        <f t="shared" si="44"/>
        <v>0.53375175772541739</v>
      </c>
      <c r="AG44" s="16">
        <f t="shared" si="44"/>
        <v>-0.81606796305298968</v>
      </c>
      <c r="AH44" s="16">
        <f t="shared" si="44"/>
        <v>8.6499604731880897E-2</v>
      </c>
      <c r="AI44" s="16">
        <f t="shared" si="44"/>
        <v>0.88840650626940731</v>
      </c>
      <c r="AJ44" s="16">
        <f t="shared" si="44"/>
        <v>-0.47215890532811666</v>
      </c>
      <c r="AK44" s="16">
        <f t="shared" si="44"/>
        <v>-1.3261368967531777</v>
      </c>
      <c r="AL44" s="16">
        <f t="shared" si="44"/>
        <v>-0.84450049039993025</v>
      </c>
      <c r="AM44" s="16">
        <f t="shared" si="44"/>
        <v>-1.5849708986920881</v>
      </c>
      <c r="AN44" s="27">
        <f t="shared" si="44"/>
        <v>-0.54864288860405885</v>
      </c>
      <c r="AO44" s="16">
        <f t="shared" si="44"/>
        <v>0.35459330061067695</v>
      </c>
      <c r="AP44" s="16">
        <f t="shared" si="44"/>
        <v>5.3810723155247855</v>
      </c>
      <c r="AQ44" s="16">
        <f t="shared" si="44"/>
        <v>-5.9495407610795992</v>
      </c>
      <c r="AR44" s="16">
        <f t="shared" si="44"/>
        <v>-0.28536495763216618</v>
      </c>
      <c r="AS44" s="16">
        <f t="shared" si="44"/>
        <v>0.45498955559156551</v>
      </c>
      <c r="AT44" s="16">
        <f t="shared" si="44"/>
        <v>7.8892336579007161</v>
      </c>
      <c r="AU44" s="16">
        <f t="shared" ref="AU44:BZ44" si="45">(AU43/AH43)-1</f>
        <v>-0.11176050348597333</v>
      </c>
      <c r="AV44" s="16">
        <f t="shared" si="45"/>
        <v>1.4536065824713322</v>
      </c>
      <c r="AW44" s="16">
        <f t="shared" si="45"/>
        <v>0.56429942388944321</v>
      </c>
      <c r="AX44" s="16">
        <f t="shared" si="45"/>
        <v>-4.314184180947751</v>
      </c>
      <c r="AY44" s="16">
        <f t="shared" si="45"/>
        <v>22.652114099008941</v>
      </c>
      <c r="AZ44" s="16">
        <f t="shared" si="45"/>
        <v>-4.1517138677931253</v>
      </c>
      <c r="BA44" s="27">
        <f t="shared" si="45"/>
        <v>2.0711283771851212</v>
      </c>
      <c r="BB44" s="16">
        <f t="shared" si="45"/>
        <v>-0.65038188072794823</v>
      </c>
      <c r="BC44" s="16">
        <f t="shared" si="45"/>
        <v>-1.4108908979442853</v>
      </c>
      <c r="BD44" s="16">
        <f t="shared" si="45"/>
        <v>-0.14975391953298556</v>
      </c>
      <c r="BE44" s="16">
        <f t="shared" si="45"/>
        <v>-3.2611530020063118E-2</v>
      </c>
      <c r="BF44" s="16">
        <f t="shared" si="45"/>
        <v>-0.64940154350517587</v>
      </c>
      <c r="BG44" s="16">
        <f t="shared" si="45"/>
        <v>-0.7894126966328352</v>
      </c>
      <c r="BH44" s="16">
        <f t="shared" si="45"/>
        <v>-0.8163723102121162</v>
      </c>
      <c r="BI44" s="16">
        <f t="shared" si="45"/>
        <v>-0.52683864335452979</v>
      </c>
      <c r="BJ44" s="16">
        <f t="shared" si="45"/>
        <v>-0.37986015432296771</v>
      </c>
      <c r="BK44" s="16">
        <f t="shared" si="45"/>
        <v>-0.77226344818927461</v>
      </c>
      <c r="BL44" s="16">
        <f t="shared" si="45"/>
        <v>-1.2015472408880112</v>
      </c>
      <c r="BM44" s="16">
        <f t="shared" si="45"/>
        <v>1.7525381497266714</v>
      </c>
      <c r="BN44" s="27">
        <f t="shared" si="45"/>
        <v>-0.29667801721055409</v>
      </c>
      <c r="BO44" s="16">
        <f t="shared" si="45"/>
        <v>0.89898688978896724</v>
      </c>
      <c r="BP44" s="16">
        <f t="shared" si="45"/>
        <v>0.1548071748236497</v>
      </c>
      <c r="BQ44" s="16">
        <f t="shared" si="45"/>
        <v>1.8532599787642079</v>
      </c>
      <c r="BR44" s="16">
        <f t="shared" si="45"/>
        <v>0.45412477982462995</v>
      </c>
      <c r="BS44" s="16">
        <f t="shared" si="45"/>
        <v>1.3567497788492684</v>
      </c>
      <c r="BT44" s="16">
        <f t="shared" si="45"/>
        <v>3.7827129864292832</v>
      </c>
      <c r="BU44" s="16">
        <f t="shared" si="45"/>
        <v>2.4756526137464081</v>
      </c>
      <c r="BV44" s="16">
        <f t="shared" si="45"/>
        <v>0.84278713954517337</v>
      </c>
      <c r="BW44" s="16">
        <f t="shared" si="45"/>
        <v>0.31823925851611445</v>
      </c>
      <c r="BX44" s="16">
        <f t="shared" si="45"/>
        <v>5.1282258089021147</v>
      </c>
      <c r="BY44" s="16">
        <f t="shared" si="45"/>
        <v>-1.9813919418168973</v>
      </c>
      <c r="BZ44" s="16">
        <f t="shared" si="45"/>
        <v>-0.63254115085929208</v>
      </c>
      <c r="CA44" s="27">
        <f>(CA43/BN43)-1</f>
        <v>0.61947474903657995</v>
      </c>
    </row>
    <row r="49" spans="1:1" x14ac:dyDescent="0.25">
      <c r="A49" s="2" t="s">
        <v>89</v>
      </c>
    </row>
    <row r="50" spans="1:1" x14ac:dyDescent="0.25">
      <c r="A50" s="55" t="s">
        <v>90</v>
      </c>
    </row>
    <row r="51" spans="1:1" x14ac:dyDescent="0.25">
      <c r="A51" s="56" t="s">
        <v>91</v>
      </c>
    </row>
    <row r="52" spans="1:1" x14ac:dyDescent="0.25">
      <c r="A52" s="57" t="s">
        <v>92</v>
      </c>
    </row>
    <row r="53" spans="1:1" x14ac:dyDescent="0.25">
      <c r="A53" s="58" t="s">
        <v>93</v>
      </c>
    </row>
    <row r="54" spans="1:1" x14ac:dyDescent="0.25">
      <c r="A54" s="59" t="s">
        <v>94</v>
      </c>
    </row>
    <row r="55" spans="1:1" x14ac:dyDescent="0.25">
      <c r="A55" s="60" t="s">
        <v>95</v>
      </c>
    </row>
  </sheetData>
  <sheetProtection sheet="1" objects="1" scenarios="1" selectLockedCells="1" selectUnlockedCells="1"/>
  <pageMargins left="0.7" right="0.7" top="0.75" bottom="0.75" header="0.3" footer="0.3"/>
  <ignoredErrors>
    <ignoredError sqref="N5 N11 N13 N20:N21 N23:N24 N26:N27 N29:N30 N32:N33 N35:N39 N41:N43 AA5 AA11 AA13 AA37 AA43 AN43 AN37 AN13 AN11 AN5 BA5 BA11 BA13 BA37 BA43 BN5 BN11 BN13 BN37 BN43" formula="1"/>
    <ignoredError sqref="N16" formulaRange="1"/>
    <ignoredError sqref="N19 N22 N25 N28 N31 N34 N40" formula="1"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20696-B4C4-4262-A69A-2F9CC81B3880}">
  <sheetPr codeName="Sheet2"/>
  <dimension ref="A1:AE79"/>
  <sheetViews>
    <sheetView topLeftCell="T1" workbookViewId="0">
      <selection activeCell="A2" sqref="A2:A13"/>
    </sheetView>
  </sheetViews>
  <sheetFormatPr defaultRowHeight="15" x14ac:dyDescent="0.25"/>
  <cols>
    <col min="1" max="1" width="14.140625" bestFit="1" customWidth="1"/>
    <col min="2" max="2" width="15.42578125" bestFit="1" customWidth="1"/>
    <col min="3" max="3" width="21" bestFit="1" customWidth="1"/>
    <col min="4" max="4" width="15.140625" bestFit="1" customWidth="1"/>
    <col min="5" max="5" width="21" bestFit="1" customWidth="1"/>
    <col min="6" max="6" width="17.42578125" bestFit="1" customWidth="1"/>
    <col min="7" max="7" width="21" bestFit="1" customWidth="1"/>
    <col min="8" max="8" width="17.28515625" bestFit="1" customWidth="1"/>
    <col min="9" max="9" width="19.140625" bestFit="1" customWidth="1"/>
    <col min="10" max="10" width="21" bestFit="1" customWidth="1"/>
    <col min="11" max="11" width="24.7109375" bestFit="1" customWidth="1"/>
    <col min="12" max="12" width="21" bestFit="1" customWidth="1"/>
    <col min="13" max="13" width="16.140625" bestFit="1" customWidth="1"/>
    <col min="14" max="14" width="21" bestFit="1" customWidth="1"/>
    <col min="15" max="15" width="19" bestFit="1" customWidth="1"/>
    <col min="16" max="16" width="21" bestFit="1" customWidth="1"/>
    <col min="17" max="17" width="34.140625" bestFit="1" customWidth="1"/>
    <col min="18" max="18" width="21" bestFit="1" customWidth="1"/>
    <col min="19" max="19" width="23.140625" bestFit="1" customWidth="1"/>
    <col min="20" max="20" width="21" bestFit="1" customWidth="1"/>
    <col min="21" max="21" width="18.42578125" bestFit="1" customWidth="1"/>
    <col min="22" max="22" width="21" bestFit="1" customWidth="1"/>
    <col min="23" max="23" width="21.5703125" bestFit="1" customWidth="1"/>
    <col min="24" max="24" width="21" bestFit="1" customWidth="1"/>
    <col min="25" max="25" width="14.42578125" bestFit="1" customWidth="1"/>
    <col min="26" max="26" width="21" bestFit="1" customWidth="1"/>
    <col min="27" max="27" width="13.42578125" bestFit="1" customWidth="1"/>
    <col min="28" max="28" width="21" bestFit="1" customWidth="1"/>
    <col min="29" max="29" width="16" bestFit="1" customWidth="1"/>
    <col min="30" max="30" width="21" bestFit="1" customWidth="1"/>
    <col min="31" max="31" width="14.42578125" bestFit="1" customWidth="1"/>
  </cols>
  <sheetData>
    <row r="1" spans="1:31" x14ac:dyDescent="0.25">
      <c r="A1" s="2" t="s">
        <v>24</v>
      </c>
      <c r="B1" s="3" t="s">
        <v>12</v>
      </c>
      <c r="C1" s="15" t="s">
        <v>2</v>
      </c>
      <c r="D1" s="3" t="s">
        <v>13</v>
      </c>
      <c r="E1" s="15" t="s">
        <v>2</v>
      </c>
      <c r="F1" s="3" t="s">
        <v>14</v>
      </c>
      <c r="G1" s="15" t="s">
        <v>2</v>
      </c>
      <c r="H1" s="6" t="s">
        <v>0</v>
      </c>
      <c r="I1" s="1" t="s">
        <v>1</v>
      </c>
      <c r="J1" s="15" t="s">
        <v>2</v>
      </c>
      <c r="K1" s="1" t="s">
        <v>3</v>
      </c>
      <c r="L1" s="15" t="s">
        <v>2</v>
      </c>
      <c r="M1" s="1" t="s">
        <v>15</v>
      </c>
      <c r="N1" s="15" t="s">
        <v>2</v>
      </c>
      <c r="O1" s="1" t="s">
        <v>4</v>
      </c>
      <c r="P1" s="15" t="s">
        <v>2</v>
      </c>
      <c r="Q1" s="1" t="s">
        <v>5</v>
      </c>
      <c r="R1" s="15" t="s">
        <v>2</v>
      </c>
      <c r="S1" s="1" t="s">
        <v>6</v>
      </c>
      <c r="T1" s="15" t="s">
        <v>2</v>
      </c>
      <c r="U1" s="1" t="s">
        <v>7</v>
      </c>
      <c r="V1" s="15" t="s">
        <v>2</v>
      </c>
      <c r="W1" s="1" t="s">
        <v>8</v>
      </c>
      <c r="X1" s="15" t="s">
        <v>2</v>
      </c>
      <c r="Y1" s="1" t="s">
        <v>9</v>
      </c>
      <c r="Z1" s="15" t="s">
        <v>2</v>
      </c>
      <c r="AA1" s="1" t="s">
        <v>10</v>
      </c>
      <c r="AB1" s="15" t="s">
        <v>2</v>
      </c>
      <c r="AC1" s="1" t="s">
        <v>11</v>
      </c>
      <c r="AD1" s="15" t="s">
        <v>2</v>
      </c>
    </row>
    <row r="2" spans="1:31" x14ac:dyDescent="0.25">
      <c r="A2" s="67">
        <v>42736</v>
      </c>
      <c r="B2" s="4">
        <v>8410477</v>
      </c>
      <c r="C2" s="10"/>
      <c r="D2" s="7">
        <f t="shared" ref="D2:D13" si="0">B2-F2</f>
        <v>4771814</v>
      </c>
      <c r="E2" s="10"/>
      <c r="F2" s="4">
        <v>3638663</v>
      </c>
      <c r="G2" s="16"/>
      <c r="H2" s="9">
        <f t="shared" ref="H2:H13" si="1">F2/B2</f>
        <v>0.43263455806371032</v>
      </c>
      <c r="I2" s="21">
        <f t="shared" ref="I2:I13" si="2">K2+M2+O2+Q2+S2+U2+W2</f>
        <v>2440127</v>
      </c>
      <c r="J2" s="16"/>
      <c r="K2" s="18">
        <v>881803</v>
      </c>
      <c r="L2" s="20"/>
      <c r="M2" s="18">
        <v>852043</v>
      </c>
      <c r="N2" s="20"/>
      <c r="O2" s="18">
        <v>357806</v>
      </c>
      <c r="P2" s="20"/>
      <c r="Q2" s="18">
        <v>63745</v>
      </c>
      <c r="R2" s="20"/>
      <c r="S2" s="18">
        <v>169921</v>
      </c>
      <c r="T2" s="20"/>
      <c r="U2" s="18">
        <v>102894</v>
      </c>
      <c r="V2" s="20"/>
      <c r="W2" s="18">
        <v>11915</v>
      </c>
      <c r="X2" s="20"/>
      <c r="Y2" s="19">
        <f t="shared" ref="Y2:Y13" si="3">F2-I2</f>
        <v>1198536</v>
      </c>
      <c r="Z2" s="20"/>
      <c r="AA2" s="18">
        <v>614023</v>
      </c>
      <c r="AB2" s="17"/>
      <c r="AC2" s="21">
        <f t="shared" ref="AC2:AC13" si="4">Y2-AA2</f>
        <v>584513</v>
      </c>
      <c r="AD2" s="16"/>
    </row>
    <row r="3" spans="1:31" x14ac:dyDescent="0.25">
      <c r="A3" s="67">
        <v>42767</v>
      </c>
      <c r="B3" s="4">
        <v>8781008</v>
      </c>
      <c r="C3" s="10"/>
      <c r="D3" s="7">
        <f t="shared" si="0"/>
        <v>5371774</v>
      </c>
      <c r="E3" s="10"/>
      <c r="F3" s="4">
        <v>3409234</v>
      </c>
      <c r="G3" s="16"/>
      <c r="H3" s="9">
        <f t="shared" si="1"/>
        <v>0.38825087051509349</v>
      </c>
      <c r="I3" s="21">
        <f t="shared" si="2"/>
        <v>3074358</v>
      </c>
      <c r="J3" s="16"/>
      <c r="K3" s="18">
        <v>474357</v>
      </c>
      <c r="L3" s="20"/>
      <c r="M3" s="18">
        <v>1519296</v>
      </c>
      <c r="N3" s="20"/>
      <c r="O3" s="18">
        <v>465090</v>
      </c>
      <c r="P3" s="20"/>
      <c r="Q3" s="18">
        <v>239229</v>
      </c>
      <c r="R3" s="20"/>
      <c r="S3" s="18">
        <v>189004</v>
      </c>
      <c r="T3" s="20"/>
      <c r="U3" s="18">
        <v>112043</v>
      </c>
      <c r="V3" s="20"/>
      <c r="W3" s="18">
        <v>75339</v>
      </c>
      <c r="X3" s="20"/>
      <c r="Y3" s="19">
        <f t="shared" si="3"/>
        <v>334876</v>
      </c>
      <c r="Z3" s="20"/>
      <c r="AA3" s="18">
        <v>108216</v>
      </c>
      <c r="AB3" s="17"/>
      <c r="AC3" s="21">
        <f t="shared" si="4"/>
        <v>226660</v>
      </c>
      <c r="AD3" s="16"/>
    </row>
    <row r="4" spans="1:31" x14ac:dyDescent="0.25">
      <c r="A4" s="67">
        <v>42795</v>
      </c>
      <c r="B4" s="4">
        <v>9994730</v>
      </c>
      <c r="C4" s="10"/>
      <c r="D4" s="7">
        <f t="shared" si="0"/>
        <v>5478590</v>
      </c>
      <c r="E4" s="10"/>
      <c r="F4" s="4">
        <v>4516140</v>
      </c>
      <c r="G4" s="16"/>
      <c r="H4" s="9">
        <f t="shared" si="1"/>
        <v>0.45185212607043912</v>
      </c>
      <c r="I4" s="21">
        <f t="shared" si="2"/>
        <v>3423016</v>
      </c>
      <c r="J4" s="16"/>
      <c r="K4" s="18">
        <v>466134</v>
      </c>
      <c r="L4" s="20"/>
      <c r="M4" s="18">
        <v>1842973</v>
      </c>
      <c r="N4" s="20"/>
      <c r="O4" s="18">
        <v>419491</v>
      </c>
      <c r="P4" s="20"/>
      <c r="Q4" s="18">
        <v>152463</v>
      </c>
      <c r="R4" s="20"/>
      <c r="S4" s="18">
        <v>265392</v>
      </c>
      <c r="T4" s="20"/>
      <c r="U4" s="18">
        <v>255411</v>
      </c>
      <c r="V4" s="20"/>
      <c r="W4" s="18">
        <v>21152</v>
      </c>
      <c r="X4" s="20"/>
      <c r="Y4" s="19">
        <f t="shared" si="3"/>
        <v>1093124</v>
      </c>
      <c r="Z4" s="20"/>
      <c r="AA4" s="18">
        <v>302156</v>
      </c>
      <c r="AB4" s="17"/>
      <c r="AC4" s="21">
        <f t="shared" si="4"/>
        <v>790968</v>
      </c>
      <c r="AD4" s="16"/>
    </row>
    <row r="5" spans="1:31" x14ac:dyDescent="0.25">
      <c r="A5" s="67">
        <v>42826</v>
      </c>
      <c r="B5" s="4">
        <v>10482743</v>
      </c>
      <c r="C5" s="10"/>
      <c r="D5" s="7">
        <f t="shared" si="0"/>
        <v>5528713</v>
      </c>
      <c r="E5" s="10"/>
      <c r="F5" s="4">
        <v>4954030</v>
      </c>
      <c r="G5" s="16"/>
      <c r="H5" s="9">
        <f t="shared" si="1"/>
        <v>0.47258909237782515</v>
      </c>
      <c r="I5" s="21">
        <f t="shared" si="2"/>
        <v>4356975</v>
      </c>
      <c r="J5" s="16"/>
      <c r="K5" s="18">
        <v>468834</v>
      </c>
      <c r="L5" s="20"/>
      <c r="M5" s="18">
        <v>2345767</v>
      </c>
      <c r="N5" s="20"/>
      <c r="O5" s="18">
        <v>485344</v>
      </c>
      <c r="P5" s="20"/>
      <c r="Q5" s="18">
        <v>126285</v>
      </c>
      <c r="R5" s="20"/>
      <c r="S5" s="18">
        <v>480540</v>
      </c>
      <c r="T5" s="20"/>
      <c r="U5" s="18">
        <v>342508</v>
      </c>
      <c r="V5" s="20"/>
      <c r="W5" s="18">
        <v>107697</v>
      </c>
      <c r="X5" s="20"/>
      <c r="Y5" s="19">
        <f t="shared" si="3"/>
        <v>597055</v>
      </c>
      <c r="Z5" s="20"/>
      <c r="AA5" s="18">
        <v>1131869</v>
      </c>
      <c r="AB5" s="17"/>
      <c r="AC5" s="21">
        <f t="shared" si="4"/>
        <v>-534814</v>
      </c>
      <c r="AD5" s="16"/>
    </row>
    <row r="6" spans="1:31" x14ac:dyDescent="0.25">
      <c r="A6" s="67">
        <v>42856</v>
      </c>
      <c r="B6" s="4">
        <v>13324007</v>
      </c>
      <c r="C6" s="10"/>
      <c r="D6" s="7">
        <f t="shared" si="0"/>
        <v>6361003</v>
      </c>
      <c r="E6" s="10"/>
      <c r="F6" s="4">
        <v>6963004</v>
      </c>
      <c r="G6" s="16"/>
      <c r="H6" s="9">
        <f t="shared" si="1"/>
        <v>0.52259083922726846</v>
      </c>
      <c r="I6" s="21">
        <f t="shared" si="2"/>
        <v>4780952</v>
      </c>
      <c r="J6" s="16"/>
      <c r="K6" s="18">
        <v>501208</v>
      </c>
      <c r="L6" s="20"/>
      <c r="M6" s="18">
        <v>2502672</v>
      </c>
      <c r="N6" s="20"/>
      <c r="O6" s="18">
        <v>572366</v>
      </c>
      <c r="P6" s="20"/>
      <c r="Q6" s="18">
        <v>147708</v>
      </c>
      <c r="R6" s="20"/>
      <c r="S6" s="18">
        <v>335269</v>
      </c>
      <c r="T6" s="20"/>
      <c r="U6" s="18">
        <v>233592</v>
      </c>
      <c r="V6" s="20"/>
      <c r="W6" s="18">
        <v>488137</v>
      </c>
      <c r="X6" s="20"/>
      <c r="Y6" s="19">
        <f t="shared" si="3"/>
        <v>2182052</v>
      </c>
      <c r="Z6" s="20"/>
      <c r="AA6" s="18">
        <v>336569</v>
      </c>
      <c r="AB6" s="17"/>
      <c r="AC6" s="21">
        <f t="shared" si="4"/>
        <v>1845483</v>
      </c>
      <c r="AD6" s="16"/>
    </row>
    <row r="7" spans="1:31" x14ac:dyDescent="0.25">
      <c r="A7" s="67">
        <v>42887</v>
      </c>
      <c r="B7" s="4">
        <v>12665976</v>
      </c>
      <c r="C7" s="10"/>
      <c r="D7" s="7">
        <f t="shared" si="0"/>
        <v>5823615</v>
      </c>
      <c r="E7" s="10"/>
      <c r="F7" s="4">
        <v>6842361</v>
      </c>
      <c r="G7" s="16"/>
      <c r="H7" s="9">
        <f t="shared" si="1"/>
        <v>0.5402158507169128</v>
      </c>
      <c r="I7" s="21">
        <f t="shared" si="2"/>
        <v>5154070</v>
      </c>
      <c r="J7" s="16"/>
      <c r="K7" s="18">
        <v>591094</v>
      </c>
      <c r="L7" s="20"/>
      <c r="M7" s="18">
        <v>2726686</v>
      </c>
      <c r="N7" s="20"/>
      <c r="O7" s="18">
        <v>491430</v>
      </c>
      <c r="P7" s="20"/>
      <c r="Q7" s="18">
        <v>133170</v>
      </c>
      <c r="R7" s="20"/>
      <c r="S7" s="18">
        <v>827271</v>
      </c>
      <c r="T7" s="20"/>
      <c r="U7" s="18">
        <v>374131</v>
      </c>
      <c r="V7" s="20"/>
      <c r="W7" s="18">
        <v>10288</v>
      </c>
      <c r="X7" s="20"/>
      <c r="Y7" s="19">
        <f t="shared" si="3"/>
        <v>1688291</v>
      </c>
      <c r="Z7" s="20"/>
      <c r="AA7" s="18">
        <v>66184</v>
      </c>
      <c r="AB7" s="17"/>
      <c r="AC7" s="21">
        <f t="shared" si="4"/>
        <v>1622107</v>
      </c>
      <c r="AD7" s="16"/>
    </row>
    <row r="8" spans="1:31" x14ac:dyDescent="0.25">
      <c r="A8" s="67">
        <v>42917</v>
      </c>
      <c r="B8" s="4">
        <v>13362147</v>
      </c>
      <c r="C8" s="10"/>
      <c r="D8" s="7">
        <f t="shared" si="0"/>
        <v>6061291</v>
      </c>
      <c r="E8" s="10"/>
      <c r="F8" s="4">
        <v>7300856</v>
      </c>
      <c r="G8" s="16"/>
      <c r="H8" s="9">
        <f t="shared" si="1"/>
        <v>0.54638345170128721</v>
      </c>
      <c r="I8" s="21">
        <f t="shared" si="2"/>
        <v>4549423</v>
      </c>
      <c r="J8" s="16"/>
      <c r="K8" s="18">
        <v>675842</v>
      </c>
      <c r="L8" s="20"/>
      <c r="M8" s="18">
        <v>2646065</v>
      </c>
      <c r="N8" s="20"/>
      <c r="O8" s="18">
        <v>473256</v>
      </c>
      <c r="P8" s="20"/>
      <c r="Q8" s="18">
        <v>206381</v>
      </c>
      <c r="R8" s="20"/>
      <c r="S8" s="18">
        <v>329704</v>
      </c>
      <c r="T8" s="20"/>
      <c r="U8" s="18">
        <v>190993</v>
      </c>
      <c r="V8" s="20"/>
      <c r="W8" s="18">
        <v>27182</v>
      </c>
      <c r="X8" s="20"/>
      <c r="Y8" s="19">
        <f t="shared" si="3"/>
        <v>2751433</v>
      </c>
      <c r="Z8" s="20"/>
      <c r="AA8" s="18">
        <v>650744</v>
      </c>
      <c r="AB8" s="17"/>
      <c r="AC8" s="21">
        <f t="shared" si="4"/>
        <v>2100689</v>
      </c>
      <c r="AD8" s="16"/>
    </row>
    <row r="9" spans="1:31" x14ac:dyDescent="0.25">
      <c r="A9" s="67">
        <v>42948</v>
      </c>
      <c r="B9" s="4">
        <v>12258656</v>
      </c>
      <c r="C9" s="10"/>
      <c r="D9" s="7">
        <f t="shared" si="0"/>
        <v>5159166</v>
      </c>
      <c r="E9" s="10"/>
      <c r="F9" s="4">
        <v>7099490</v>
      </c>
      <c r="G9" s="16"/>
      <c r="H9" s="9">
        <f t="shared" si="1"/>
        <v>0.57914097597648551</v>
      </c>
      <c r="I9" s="21">
        <f t="shared" si="2"/>
        <v>5663979</v>
      </c>
      <c r="J9" s="16"/>
      <c r="K9" s="18">
        <v>756303</v>
      </c>
      <c r="L9" s="20"/>
      <c r="M9" s="18">
        <v>3036202</v>
      </c>
      <c r="N9" s="20"/>
      <c r="O9" s="18">
        <v>820593</v>
      </c>
      <c r="P9" s="20"/>
      <c r="Q9" s="18">
        <v>150548</v>
      </c>
      <c r="R9" s="20"/>
      <c r="S9" s="18">
        <v>333010</v>
      </c>
      <c r="T9" s="20"/>
      <c r="U9" s="18">
        <v>536015</v>
      </c>
      <c r="V9" s="20"/>
      <c r="W9" s="18">
        <v>31308</v>
      </c>
      <c r="X9" s="20"/>
      <c r="Y9" s="19">
        <f t="shared" si="3"/>
        <v>1435511</v>
      </c>
      <c r="Z9" s="20"/>
      <c r="AA9" s="18">
        <v>229714</v>
      </c>
      <c r="AB9" s="17"/>
      <c r="AC9" s="21">
        <f t="shared" si="4"/>
        <v>1205797</v>
      </c>
      <c r="AD9" s="16"/>
    </row>
    <row r="10" spans="1:31" x14ac:dyDescent="0.25">
      <c r="A10" s="67">
        <v>42979</v>
      </c>
      <c r="B10" s="4">
        <v>13790745</v>
      </c>
      <c r="C10" s="10"/>
      <c r="D10" s="7">
        <f t="shared" si="0"/>
        <v>6149169</v>
      </c>
      <c r="E10" s="10"/>
      <c r="F10" s="4">
        <v>7641576</v>
      </c>
      <c r="G10" s="16"/>
      <c r="H10" s="9">
        <f t="shared" si="1"/>
        <v>0.55410900571361443</v>
      </c>
      <c r="I10" s="21">
        <f t="shared" si="2"/>
        <v>5837142</v>
      </c>
      <c r="J10" s="16"/>
      <c r="K10" s="18">
        <v>538149</v>
      </c>
      <c r="L10" s="20"/>
      <c r="M10" s="18">
        <v>3032555</v>
      </c>
      <c r="N10" s="20"/>
      <c r="O10" s="18">
        <v>540964</v>
      </c>
      <c r="P10" s="20"/>
      <c r="Q10" s="18">
        <v>280327</v>
      </c>
      <c r="R10" s="20"/>
      <c r="S10" s="18">
        <v>411488</v>
      </c>
      <c r="T10" s="20"/>
      <c r="U10" s="18">
        <v>1001671</v>
      </c>
      <c r="V10" s="20"/>
      <c r="W10" s="18">
        <v>31988</v>
      </c>
      <c r="X10" s="20"/>
      <c r="Y10" s="19">
        <f t="shared" si="3"/>
        <v>1804434</v>
      </c>
      <c r="Z10" s="20"/>
      <c r="AA10" s="18">
        <v>147459</v>
      </c>
      <c r="AB10" s="17"/>
      <c r="AC10" s="21">
        <f t="shared" si="4"/>
        <v>1656975</v>
      </c>
      <c r="AD10" s="16"/>
    </row>
    <row r="11" spans="1:31" x14ac:dyDescent="0.25">
      <c r="A11" s="67">
        <v>43009</v>
      </c>
      <c r="B11" s="4">
        <v>13104174</v>
      </c>
      <c r="C11" s="10"/>
      <c r="D11" s="7">
        <f t="shared" si="0"/>
        <v>5725361</v>
      </c>
      <c r="E11" s="10"/>
      <c r="F11" s="4">
        <v>7378813</v>
      </c>
      <c r="G11" s="16"/>
      <c r="H11" s="9">
        <f>F11/B11</f>
        <v>0.5630887532476293</v>
      </c>
      <c r="I11" s="21">
        <f t="shared" si="2"/>
        <v>6752826</v>
      </c>
      <c r="J11" s="16"/>
      <c r="K11" s="18">
        <v>1367080</v>
      </c>
      <c r="L11" s="20"/>
      <c r="M11" s="18">
        <v>3298039</v>
      </c>
      <c r="N11" s="20"/>
      <c r="O11" s="18">
        <v>541922</v>
      </c>
      <c r="P11" s="20"/>
      <c r="Q11" s="18">
        <v>208827</v>
      </c>
      <c r="R11" s="20"/>
      <c r="S11" s="18">
        <v>412576</v>
      </c>
      <c r="T11" s="20"/>
      <c r="U11" s="18">
        <v>902149</v>
      </c>
      <c r="V11" s="20"/>
      <c r="W11" s="18">
        <v>22233</v>
      </c>
      <c r="X11" s="20"/>
      <c r="Y11" s="19">
        <f t="shared" si="3"/>
        <v>625987</v>
      </c>
      <c r="Z11" s="20"/>
      <c r="AA11" s="18">
        <v>786728</v>
      </c>
      <c r="AB11" s="17"/>
      <c r="AC11" s="21">
        <f t="shared" si="4"/>
        <v>-160741</v>
      </c>
      <c r="AD11" s="16"/>
    </row>
    <row r="12" spans="1:31" x14ac:dyDescent="0.25">
      <c r="A12" s="67">
        <v>43040</v>
      </c>
      <c r="B12" s="4">
        <v>10410288</v>
      </c>
      <c r="C12" s="10"/>
      <c r="D12" s="7">
        <f t="shared" si="0"/>
        <v>4716458</v>
      </c>
      <c r="E12" s="10"/>
      <c r="F12" s="4">
        <v>5693830</v>
      </c>
      <c r="G12" s="16"/>
      <c r="H12" s="9">
        <f t="shared" si="1"/>
        <v>0.54694260139584994</v>
      </c>
      <c r="I12" s="21">
        <f t="shared" si="2"/>
        <v>5464864</v>
      </c>
      <c r="J12" s="16"/>
      <c r="K12" s="18">
        <v>912663</v>
      </c>
      <c r="L12" s="20"/>
      <c r="M12" s="18">
        <v>3245718</v>
      </c>
      <c r="N12" s="20"/>
      <c r="O12" s="18">
        <v>473318</v>
      </c>
      <c r="P12" s="20"/>
      <c r="Q12" s="18">
        <v>285914</v>
      </c>
      <c r="R12" s="20"/>
      <c r="S12" s="18">
        <v>323642</v>
      </c>
      <c r="T12" s="20"/>
      <c r="U12" s="18">
        <v>194440</v>
      </c>
      <c r="V12" s="20"/>
      <c r="W12" s="18">
        <v>29169</v>
      </c>
      <c r="X12" s="20"/>
      <c r="Y12" s="19">
        <f t="shared" si="3"/>
        <v>228966</v>
      </c>
      <c r="Z12" s="20"/>
      <c r="AA12" s="18">
        <v>302342</v>
      </c>
      <c r="AB12" s="17"/>
      <c r="AC12" s="21">
        <f t="shared" si="4"/>
        <v>-73376</v>
      </c>
      <c r="AD12" s="16"/>
    </row>
    <row r="13" spans="1:31" x14ac:dyDescent="0.25">
      <c r="A13" s="67">
        <v>43070</v>
      </c>
      <c r="B13" s="4">
        <v>14161423</v>
      </c>
      <c r="C13" s="10"/>
      <c r="D13" s="7">
        <f t="shared" si="0"/>
        <v>6611395</v>
      </c>
      <c r="E13" s="10"/>
      <c r="F13" s="4">
        <v>7550028</v>
      </c>
      <c r="G13" s="16"/>
      <c r="H13" s="9">
        <f t="shared" si="1"/>
        <v>0.53314049018943932</v>
      </c>
      <c r="I13" s="21">
        <f t="shared" si="2"/>
        <v>6030316</v>
      </c>
      <c r="J13" s="16"/>
      <c r="K13" s="18">
        <v>986022</v>
      </c>
      <c r="L13" s="20"/>
      <c r="M13" s="18">
        <v>3514689</v>
      </c>
      <c r="N13" s="20"/>
      <c r="O13" s="18">
        <v>627135</v>
      </c>
      <c r="P13" s="20"/>
      <c r="Q13" s="18">
        <v>313544</v>
      </c>
      <c r="R13" s="20"/>
      <c r="S13" s="18">
        <v>386895</v>
      </c>
      <c r="T13" s="20"/>
      <c r="U13" s="18">
        <v>164638</v>
      </c>
      <c r="V13" s="20"/>
      <c r="W13" s="18">
        <v>37393</v>
      </c>
      <c r="X13" s="20"/>
      <c r="Y13" s="19">
        <f t="shared" si="3"/>
        <v>1519712</v>
      </c>
      <c r="Z13" s="20"/>
      <c r="AA13" s="18">
        <v>416958</v>
      </c>
      <c r="AB13" s="17"/>
      <c r="AC13" s="21">
        <f t="shared" si="4"/>
        <v>1102754</v>
      </c>
      <c r="AD13" s="16"/>
    </row>
    <row r="14" spans="1:31" x14ac:dyDescent="0.25">
      <c r="A14" s="22" t="s">
        <v>16</v>
      </c>
      <c r="B14" s="23">
        <f>SUM(B2:B13)</f>
        <v>140746374</v>
      </c>
      <c r="C14" s="24"/>
      <c r="D14" s="26">
        <f>SUM(D2:D13)</f>
        <v>67758349</v>
      </c>
      <c r="E14" s="24"/>
      <c r="F14" s="23">
        <f>SUM(F2:F13)</f>
        <v>72988025</v>
      </c>
      <c r="G14" s="27"/>
      <c r="H14" s="28">
        <f>AVERAGE(H2:H13)</f>
        <v>0.51091155126629628</v>
      </c>
      <c r="I14" s="29">
        <f>SUM(I2:I13)</f>
        <v>57528048</v>
      </c>
      <c r="J14" s="27"/>
      <c r="K14" s="30">
        <f>SUM(K2:K13)</f>
        <v>8619489</v>
      </c>
      <c r="L14" s="31"/>
      <c r="M14" s="30">
        <f>SUM(M2:M13)</f>
        <v>30562705</v>
      </c>
      <c r="N14" s="31"/>
      <c r="O14" s="30">
        <f>SUM(O2:O13)</f>
        <v>6268715</v>
      </c>
      <c r="P14" s="31"/>
      <c r="Q14" s="30">
        <f>SUM(Q2:Q13)</f>
        <v>2308141</v>
      </c>
      <c r="R14" s="31"/>
      <c r="S14" s="30">
        <f>SUM(S2:S13)</f>
        <v>4464712</v>
      </c>
      <c r="T14" s="31"/>
      <c r="U14" s="30">
        <f>SUM(U2:U13)</f>
        <v>4410485</v>
      </c>
      <c r="V14" s="31"/>
      <c r="W14" s="30">
        <f>SUM(W2:W13)</f>
        <v>893801</v>
      </c>
      <c r="X14" s="31"/>
      <c r="Y14" s="33">
        <f>SUM(Y3:Y13)</f>
        <v>14261441</v>
      </c>
      <c r="Z14" s="31"/>
      <c r="AA14" s="30">
        <f>SUM(AA2:AA13)</f>
        <v>5092962</v>
      </c>
      <c r="AB14" s="31"/>
      <c r="AC14" s="29">
        <f>SUM(AC2:AC13)</f>
        <v>10367015</v>
      </c>
      <c r="AD14" s="27"/>
      <c r="AE14" s="40">
        <f>SUM(W14,U14,S14,Q14,O14,M14,K14)</f>
        <v>57528048</v>
      </c>
    </row>
    <row r="15" spans="1:31" x14ac:dyDescent="0.25">
      <c r="A15" s="67">
        <v>43101</v>
      </c>
      <c r="B15" s="4">
        <v>8666531</v>
      </c>
      <c r="C15" s="10">
        <f t="shared" ref="C15:C46" si="5">(B15/B2)-1</f>
        <v>3.0444646599711245E-2</v>
      </c>
      <c r="D15" s="7">
        <f t="shared" ref="D15:D26" si="6">B15-F15</f>
        <v>3756576</v>
      </c>
      <c r="E15" s="10">
        <f t="shared" ref="E15:E46" si="7">(D15/D2)-1</f>
        <v>-0.21275724493871717</v>
      </c>
      <c r="F15" s="4">
        <v>4909955</v>
      </c>
      <c r="G15" s="16">
        <f t="shared" ref="G15:G46" si="8">(F15/F2)-1</f>
        <v>0.34938437552474633</v>
      </c>
      <c r="H15" s="9">
        <f t="shared" ref="H15:H26" si="9">F15/B15</f>
        <v>0.5665421377942339</v>
      </c>
      <c r="I15" s="21">
        <f t="shared" ref="I15:I26" si="10">K15+M15+O15+Q15+S15+U15+W15</f>
        <v>4706978</v>
      </c>
      <c r="J15" s="16">
        <f t="shared" ref="J15:J46" si="11">(I15/I2)-1</f>
        <v>0.92898894196900406</v>
      </c>
      <c r="K15" s="18">
        <v>880479</v>
      </c>
      <c r="L15" s="20">
        <f t="shared" ref="L15:L46" si="12">(K15/K2)-1</f>
        <v>-1.5014691490049525E-3</v>
      </c>
      <c r="M15" s="18">
        <v>2670474</v>
      </c>
      <c r="N15" s="20">
        <f t="shared" ref="N15:N46" si="13">(M15/M2)-1</f>
        <v>2.1342009734250502</v>
      </c>
      <c r="O15" s="18">
        <v>568343</v>
      </c>
      <c r="P15" s="20">
        <f t="shared" ref="P15:P46" si="14">(O15/O2)-1</f>
        <v>0.58841103838392872</v>
      </c>
      <c r="Q15" s="18">
        <v>223926</v>
      </c>
      <c r="R15" s="20">
        <f t="shared" ref="R15:R46" si="15">(Q15/Q2)-1</f>
        <v>2.5128402227625695</v>
      </c>
      <c r="S15" s="18">
        <v>163062</v>
      </c>
      <c r="T15" s="20">
        <f t="shared" ref="T15:T46" si="16">(S15/S2)-1</f>
        <v>-4.0365817056161379E-2</v>
      </c>
      <c r="U15" s="18">
        <v>106755</v>
      </c>
      <c r="V15" s="20">
        <f t="shared" ref="V15:V46" si="17">(U15/U2)-1</f>
        <v>3.7524053880692687E-2</v>
      </c>
      <c r="W15" s="18">
        <v>93939</v>
      </c>
      <c r="X15" s="20">
        <f t="shared" ref="X15:X46" si="18">(W15/W2)-1</f>
        <v>6.8840956777171636</v>
      </c>
      <c r="Y15" s="19">
        <f t="shared" ref="Y15:Y26" si="19">F15-I15</f>
        <v>202977</v>
      </c>
      <c r="Z15" s="20">
        <f t="shared" ref="Z15:Z46" si="20">(Y15/Y2)-1</f>
        <v>-0.83064588798333971</v>
      </c>
      <c r="AA15" s="18">
        <v>484781</v>
      </c>
      <c r="AB15" s="17">
        <f t="shared" ref="AB15:AB46" si="21">(AA15/AA2)-1</f>
        <v>-0.21048397209876502</v>
      </c>
      <c r="AC15" s="21">
        <f t="shared" ref="AC15:AC26" si="22">Y15-AA15</f>
        <v>-281804</v>
      </c>
      <c r="AD15" s="16">
        <f t="shared" ref="AD15:AD46" si="23">(AC15/AC2)-1</f>
        <v>-1.4821175919098464</v>
      </c>
    </row>
    <row r="16" spans="1:31" x14ac:dyDescent="0.25">
      <c r="A16" s="67">
        <v>43132</v>
      </c>
      <c r="B16" s="4">
        <v>9471679</v>
      </c>
      <c r="C16" s="10">
        <f t="shared" si="5"/>
        <v>7.8655092900496104E-2</v>
      </c>
      <c r="D16" s="7">
        <f t="shared" si="6"/>
        <v>4129429</v>
      </c>
      <c r="E16" s="10">
        <f t="shared" si="7"/>
        <v>-0.23127276017196552</v>
      </c>
      <c r="F16" s="4">
        <v>5342250</v>
      </c>
      <c r="G16" s="16">
        <f t="shared" si="8"/>
        <v>0.56699422802893551</v>
      </c>
      <c r="H16" s="9">
        <f t="shared" si="9"/>
        <v>0.5640235485176387</v>
      </c>
      <c r="I16" s="21">
        <f t="shared" si="10"/>
        <v>5414096</v>
      </c>
      <c r="J16" s="16">
        <f t="shared" si="11"/>
        <v>0.76104929874790117</v>
      </c>
      <c r="K16" s="18">
        <v>1257610</v>
      </c>
      <c r="L16" s="20">
        <f t="shared" si="12"/>
        <v>1.6511888725158479</v>
      </c>
      <c r="M16" s="18">
        <v>2850184</v>
      </c>
      <c r="N16" s="20">
        <f t="shared" si="13"/>
        <v>0.87598993217911447</v>
      </c>
      <c r="O16" s="18">
        <v>527169</v>
      </c>
      <c r="P16" s="20">
        <f t="shared" si="14"/>
        <v>0.13347739147261817</v>
      </c>
      <c r="Q16" s="18">
        <v>335670</v>
      </c>
      <c r="R16" s="20">
        <f t="shared" si="15"/>
        <v>0.40313256335979331</v>
      </c>
      <c r="S16" s="18">
        <v>242857</v>
      </c>
      <c r="T16" s="20">
        <f t="shared" si="16"/>
        <v>0.28493047766184842</v>
      </c>
      <c r="U16" s="18">
        <v>104685</v>
      </c>
      <c r="V16" s="20">
        <f t="shared" si="17"/>
        <v>-6.5671215515471726E-2</v>
      </c>
      <c r="W16" s="18">
        <v>95921</v>
      </c>
      <c r="X16" s="20">
        <f t="shared" si="18"/>
        <v>0.27319183955189219</v>
      </c>
      <c r="Y16" s="19">
        <f t="shared" si="19"/>
        <v>-71846</v>
      </c>
      <c r="Z16" s="20">
        <f t="shared" si="20"/>
        <v>-1.2145450853450233</v>
      </c>
      <c r="AA16" s="18">
        <v>362816</v>
      </c>
      <c r="AB16" s="17">
        <f t="shared" si="21"/>
        <v>2.3527020034006063</v>
      </c>
      <c r="AC16" s="21">
        <f t="shared" si="22"/>
        <v>-434662</v>
      </c>
      <c r="AD16" s="16">
        <f t="shared" si="23"/>
        <v>-2.9176828730256772</v>
      </c>
    </row>
    <row r="17" spans="1:30" x14ac:dyDescent="0.25">
      <c r="A17" s="67">
        <v>43160</v>
      </c>
      <c r="B17" s="4">
        <v>11074954</v>
      </c>
      <c r="C17" s="10">
        <f t="shared" si="5"/>
        <v>0.10807935782157196</v>
      </c>
      <c r="D17" s="7">
        <f t="shared" si="6"/>
        <v>4038973</v>
      </c>
      <c r="E17" s="10">
        <f t="shared" si="7"/>
        <v>-0.26277144301727273</v>
      </c>
      <c r="F17" s="4">
        <v>7035981</v>
      </c>
      <c r="G17" s="16">
        <f t="shared" si="8"/>
        <v>0.55796343780307955</v>
      </c>
      <c r="H17" s="9">
        <f t="shared" si="9"/>
        <v>0.63530566357205642</v>
      </c>
      <c r="I17" s="21">
        <f t="shared" si="10"/>
        <v>5015918</v>
      </c>
      <c r="J17" s="16">
        <f t="shared" si="11"/>
        <v>0.4653504394954624</v>
      </c>
      <c r="K17" s="18">
        <v>973120</v>
      </c>
      <c r="L17" s="20">
        <f t="shared" si="12"/>
        <v>1.087640034839767</v>
      </c>
      <c r="M17" s="18">
        <v>2689146</v>
      </c>
      <c r="N17" s="20">
        <f t="shared" si="13"/>
        <v>0.45913477842594541</v>
      </c>
      <c r="O17" s="18">
        <v>551787</v>
      </c>
      <c r="P17" s="20">
        <f t="shared" si="14"/>
        <v>0.31537267784052569</v>
      </c>
      <c r="Q17" s="18">
        <v>221737</v>
      </c>
      <c r="R17" s="20">
        <f t="shared" si="15"/>
        <v>0.45436597731908734</v>
      </c>
      <c r="S17" s="18">
        <v>315518</v>
      </c>
      <c r="T17" s="20">
        <f t="shared" si="16"/>
        <v>0.18887532404895402</v>
      </c>
      <c r="U17" s="18">
        <v>167495</v>
      </c>
      <c r="V17" s="20">
        <f t="shared" si="17"/>
        <v>-0.34421383573925945</v>
      </c>
      <c r="W17" s="18">
        <v>97115</v>
      </c>
      <c r="X17" s="20">
        <f t="shared" si="18"/>
        <v>3.5912916036308626</v>
      </c>
      <c r="Y17" s="19">
        <f t="shared" si="19"/>
        <v>2020063</v>
      </c>
      <c r="Z17" s="20">
        <f t="shared" si="20"/>
        <v>0.84797241667002088</v>
      </c>
      <c r="AA17" s="18">
        <v>521032</v>
      </c>
      <c r="AB17" s="17">
        <f t="shared" si="21"/>
        <v>0.72438078343637069</v>
      </c>
      <c r="AC17" s="21">
        <f t="shared" si="22"/>
        <v>1499031</v>
      </c>
      <c r="AD17" s="16">
        <f t="shared" si="23"/>
        <v>0.89518539308796319</v>
      </c>
    </row>
    <row r="18" spans="1:30" x14ac:dyDescent="0.25">
      <c r="A18" s="67">
        <v>43191</v>
      </c>
      <c r="B18" s="4">
        <v>13081063</v>
      </c>
      <c r="C18" s="10">
        <f t="shared" si="5"/>
        <v>0.24786642198516162</v>
      </c>
      <c r="D18" s="7">
        <f t="shared" si="6"/>
        <v>5184081</v>
      </c>
      <c r="E18" s="10">
        <f t="shared" si="7"/>
        <v>-6.2334941242202291E-2</v>
      </c>
      <c r="F18" s="4">
        <v>7896982</v>
      </c>
      <c r="G18" s="16">
        <f t="shared" si="8"/>
        <v>0.59405211514665845</v>
      </c>
      <c r="H18" s="9">
        <f t="shared" si="9"/>
        <v>0.60369573940588772</v>
      </c>
      <c r="I18" s="21">
        <f t="shared" si="10"/>
        <v>5200058</v>
      </c>
      <c r="J18" s="16">
        <f t="shared" si="11"/>
        <v>0.1935019135983107</v>
      </c>
      <c r="K18" s="18">
        <v>918441</v>
      </c>
      <c r="L18" s="20">
        <f t="shared" si="12"/>
        <v>0.95898974903697254</v>
      </c>
      <c r="M18" s="18">
        <v>2808901</v>
      </c>
      <c r="N18" s="20">
        <f t="shared" si="13"/>
        <v>0.19743393099144124</v>
      </c>
      <c r="O18" s="18">
        <v>653449</v>
      </c>
      <c r="P18" s="20">
        <f t="shared" si="14"/>
        <v>0.34636257994329789</v>
      </c>
      <c r="Q18" s="18">
        <v>291311</v>
      </c>
      <c r="R18" s="20">
        <f t="shared" si="15"/>
        <v>1.306774359583482</v>
      </c>
      <c r="S18" s="18">
        <v>326028</v>
      </c>
      <c r="T18" s="20">
        <f t="shared" si="16"/>
        <v>-0.32153826944687225</v>
      </c>
      <c r="U18" s="18">
        <v>110783</v>
      </c>
      <c r="V18" s="20">
        <f t="shared" si="17"/>
        <v>-0.67655354035526183</v>
      </c>
      <c r="W18" s="18">
        <v>91145</v>
      </c>
      <c r="X18" s="20">
        <f t="shared" si="18"/>
        <v>-0.15369044634483786</v>
      </c>
      <c r="Y18" s="19">
        <f t="shared" si="19"/>
        <v>2696924</v>
      </c>
      <c r="Z18" s="20">
        <f t="shared" si="20"/>
        <v>3.5170444933883811</v>
      </c>
      <c r="AA18" s="18">
        <v>837208</v>
      </c>
      <c r="AB18" s="17">
        <f t="shared" si="21"/>
        <v>-0.26033136343516783</v>
      </c>
      <c r="AC18" s="21">
        <f t="shared" si="22"/>
        <v>1859716</v>
      </c>
      <c r="AD18" s="16">
        <f t="shared" si="23"/>
        <v>-4.4773136080955247</v>
      </c>
    </row>
    <row r="19" spans="1:30" x14ac:dyDescent="0.25">
      <c r="A19" s="67">
        <v>43221</v>
      </c>
      <c r="B19" s="4">
        <v>13754112</v>
      </c>
      <c r="C19" s="10">
        <f t="shared" si="5"/>
        <v>3.2280454370821055E-2</v>
      </c>
      <c r="D19" s="7">
        <f t="shared" si="6"/>
        <v>6250507</v>
      </c>
      <c r="E19" s="10">
        <f t="shared" si="7"/>
        <v>-1.7370845446857963E-2</v>
      </c>
      <c r="F19" s="4">
        <v>7503605</v>
      </c>
      <c r="G19" s="16">
        <f t="shared" si="8"/>
        <v>7.763904774433561E-2</v>
      </c>
      <c r="H19" s="9">
        <f t="shared" si="9"/>
        <v>0.5455535769957377</v>
      </c>
      <c r="I19" s="21">
        <f t="shared" si="10"/>
        <v>5792034</v>
      </c>
      <c r="J19" s="16">
        <f t="shared" si="11"/>
        <v>0.21148131167181772</v>
      </c>
      <c r="K19" s="18">
        <v>927335</v>
      </c>
      <c r="L19" s="20">
        <f t="shared" si="12"/>
        <v>0.85019991700052677</v>
      </c>
      <c r="M19" s="18">
        <v>3097272</v>
      </c>
      <c r="N19" s="20">
        <f t="shared" si="13"/>
        <v>0.23758606801051041</v>
      </c>
      <c r="O19" s="18">
        <v>726813</v>
      </c>
      <c r="P19" s="20">
        <f t="shared" si="14"/>
        <v>0.26983957817200888</v>
      </c>
      <c r="Q19" s="18">
        <v>244492</v>
      </c>
      <c r="R19" s="20">
        <f t="shared" si="15"/>
        <v>0.65523871421994739</v>
      </c>
      <c r="S19" s="18">
        <v>360452</v>
      </c>
      <c r="T19" s="20">
        <f t="shared" si="16"/>
        <v>7.5112819855101431E-2</v>
      </c>
      <c r="U19" s="18">
        <v>342498</v>
      </c>
      <c r="V19" s="20">
        <f t="shared" si="17"/>
        <v>0.46622315832733996</v>
      </c>
      <c r="W19" s="18">
        <v>93172</v>
      </c>
      <c r="X19" s="20">
        <f t="shared" si="18"/>
        <v>-0.80912735563991256</v>
      </c>
      <c r="Y19" s="19">
        <f t="shared" si="19"/>
        <v>1711571</v>
      </c>
      <c r="Z19" s="20">
        <f t="shared" si="20"/>
        <v>-0.21561401836436533</v>
      </c>
      <c r="AA19" s="18">
        <v>457820</v>
      </c>
      <c r="AB19" s="17">
        <f t="shared" si="21"/>
        <v>0.3602559950559916</v>
      </c>
      <c r="AC19" s="21">
        <f t="shared" si="22"/>
        <v>1253751</v>
      </c>
      <c r="AD19" s="16">
        <f t="shared" si="23"/>
        <v>-0.32063801183755147</v>
      </c>
    </row>
    <row r="20" spans="1:30" x14ac:dyDescent="0.25">
      <c r="A20" s="67">
        <v>43252</v>
      </c>
      <c r="B20" s="4">
        <v>12515143</v>
      </c>
      <c r="C20" s="10">
        <f t="shared" si="5"/>
        <v>-1.1908517748651981E-2</v>
      </c>
      <c r="D20" s="7">
        <f t="shared" si="6"/>
        <v>5528409</v>
      </c>
      <c r="E20" s="10">
        <f t="shared" si="7"/>
        <v>-5.0691194386991545E-2</v>
      </c>
      <c r="F20" s="4">
        <v>6986734</v>
      </c>
      <c r="G20" s="16">
        <f t="shared" si="8"/>
        <v>2.1099880582155839E-2</v>
      </c>
      <c r="H20" s="9">
        <f t="shared" si="9"/>
        <v>0.55826241857564074</v>
      </c>
      <c r="I20" s="21">
        <f t="shared" si="10"/>
        <v>5501146</v>
      </c>
      <c r="J20" s="16">
        <f t="shared" si="11"/>
        <v>6.7340179702642722E-2</v>
      </c>
      <c r="K20" s="18">
        <v>939172</v>
      </c>
      <c r="L20" s="20">
        <f t="shared" si="12"/>
        <v>0.58887080565866001</v>
      </c>
      <c r="M20" s="18">
        <v>3166886</v>
      </c>
      <c r="N20" s="20">
        <f t="shared" si="13"/>
        <v>0.16144139809277647</v>
      </c>
      <c r="O20" s="18">
        <v>598155</v>
      </c>
      <c r="P20" s="20">
        <f t="shared" si="14"/>
        <v>0.21717233380135514</v>
      </c>
      <c r="Q20" s="18">
        <v>209951</v>
      </c>
      <c r="R20" s="20">
        <f t="shared" si="15"/>
        <v>0.57656379064353835</v>
      </c>
      <c r="S20" s="18">
        <v>431534</v>
      </c>
      <c r="T20" s="20">
        <f t="shared" si="16"/>
        <v>-0.47836440537623104</v>
      </c>
      <c r="U20" s="18">
        <v>62111</v>
      </c>
      <c r="V20" s="20">
        <f t="shared" si="17"/>
        <v>-0.83398595679053589</v>
      </c>
      <c r="W20" s="18">
        <v>93337</v>
      </c>
      <c r="X20" s="20">
        <f t="shared" si="18"/>
        <v>8.0724144634525654</v>
      </c>
      <c r="Y20" s="19">
        <f t="shared" si="19"/>
        <v>1485588</v>
      </c>
      <c r="Z20" s="20">
        <f t="shared" si="20"/>
        <v>-0.12006401739984396</v>
      </c>
      <c r="AA20" s="18">
        <v>148538</v>
      </c>
      <c r="AB20" s="17">
        <f t="shared" si="21"/>
        <v>1.244318868608727</v>
      </c>
      <c r="AC20" s="21">
        <f t="shared" si="22"/>
        <v>1337050</v>
      </c>
      <c r="AD20" s="16">
        <f t="shared" si="23"/>
        <v>-0.17573255031881374</v>
      </c>
    </row>
    <row r="21" spans="1:30" x14ac:dyDescent="0.25">
      <c r="A21" s="67">
        <v>43282</v>
      </c>
      <c r="B21" s="4">
        <v>13934231</v>
      </c>
      <c r="C21" s="10">
        <f t="shared" si="5"/>
        <v>4.2813778354631182E-2</v>
      </c>
      <c r="D21" s="7">
        <f t="shared" si="6"/>
        <v>5370909</v>
      </c>
      <c r="E21" s="10">
        <f t="shared" si="7"/>
        <v>-0.11390015757369176</v>
      </c>
      <c r="F21" s="4">
        <v>8563322</v>
      </c>
      <c r="G21" s="16">
        <f t="shared" si="8"/>
        <v>0.17292027126682141</v>
      </c>
      <c r="H21" s="9">
        <f t="shared" si="9"/>
        <v>0.61455289495344234</v>
      </c>
      <c r="I21" s="21">
        <f t="shared" si="10"/>
        <v>5977910</v>
      </c>
      <c r="J21" s="16">
        <f t="shared" si="11"/>
        <v>0.31399300526682183</v>
      </c>
      <c r="K21" s="18">
        <v>900000</v>
      </c>
      <c r="L21" s="20">
        <f t="shared" si="12"/>
        <v>0.33167219557233785</v>
      </c>
      <c r="M21" s="18">
        <v>3200000</v>
      </c>
      <c r="N21" s="20">
        <f t="shared" si="13"/>
        <v>0.20934292997337556</v>
      </c>
      <c r="O21" s="18">
        <v>531615</v>
      </c>
      <c r="P21" s="20">
        <f t="shared" si="14"/>
        <v>0.12331380901668432</v>
      </c>
      <c r="Q21" s="18">
        <v>307585</v>
      </c>
      <c r="R21" s="20">
        <f t="shared" si="15"/>
        <v>0.4903745984368717</v>
      </c>
      <c r="S21" s="18">
        <v>382631</v>
      </c>
      <c r="T21" s="20">
        <f t="shared" si="16"/>
        <v>0.16052883798801343</v>
      </c>
      <c r="U21" s="18">
        <v>403000</v>
      </c>
      <c r="V21" s="20">
        <f t="shared" si="17"/>
        <v>1.1100249747372941</v>
      </c>
      <c r="W21" s="18">
        <v>253079</v>
      </c>
      <c r="X21" s="20">
        <f t="shared" si="18"/>
        <v>8.3105363843720106</v>
      </c>
      <c r="Y21" s="19">
        <f t="shared" si="19"/>
        <v>2585412</v>
      </c>
      <c r="Z21" s="20">
        <f t="shared" si="20"/>
        <v>-6.0339830190304422E-2</v>
      </c>
      <c r="AA21" s="18">
        <v>609538</v>
      </c>
      <c r="AB21" s="17">
        <f t="shared" si="21"/>
        <v>-6.3321367542382268E-2</v>
      </c>
      <c r="AC21" s="21">
        <f t="shared" si="22"/>
        <v>1975874</v>
      </c>
      <c r="AD21" s="16">
        <f t="shared" si="23"/>
        <v>-5.9416220106831563E-2</v>
      </c>
    </row>
    <row r="22" spans="1:30" x14ac:dyDescent="0.25">
      <c r="A22" s="67">
        <v>43313</v>
      </c>
      <c r="B22" s="4">
        <v>12916943</v>
      </c>
      <c r="C22" s="10">
        <f t="shared" si="5"/>
        <v>5.3699769371128525E-2</v>
      </c>
      <c r="D22" s="7">
        <f t="shared" si="6"/>
        <v>6196649</v>
      </c>
      <c r="E22" s="10">
        <f t="shared" si="7"/>
        <v>0.20109509947925686</v>
      </c>
      <c r="F22" s="4">
        <v>6720294</v>
      </c>
      <c r="G22" s="16">
        <f t="shared" si="8"/>
        <v>-5.3411723940733791E-2</v>
      </c>
      <c r="H22" s="9">
        <f t="shared" si="9"/>
        <v>0.52026969539154888</v>
      </c>
      <c r="I22" s="21">
        <f t="shared" si="10"/>
        <v>6015274</v>
      </c>
      <c r="J22" s="16">
        <f t="shared" si="11"/>
        <v>6.2022652273251655E-2</v>
      </c>
      <c r="K22" s="18">
        <v>1081408</v>
      </c>
      <c r="L22" s="20">
        <f t="shared" si="12"/>
        <v>0.4298607833103929</v>
      </c>
      <c r="M22" s="18">
        <v>3257871</v>
      </c>
      <c r="N22" s="20">
        <f t="shared" si="13"/>
        <v>7.3008646987255732E-2</v>
      </c>
      <c r="O22" s="18">
        <v>524043</v>
      </c>
      <c r="P22" s="20">
        <f t="shared" si="14"/>
        <v>-0.36138499840968663</v>
      </c>
      <c r="Q22" s="18">
        <v>250549</v>
      </c>
      <c r="R22" s="20">
        <f t="shared" si="15"/>
        <v>0.664246619018519</v>
      </c>
      <c r="S22" s="18">
        <v>374466</v>
      </c>
      <c r="T22" s="20">
        <f t="shared" si="16"/>
        <v>0.12448875409146876</v>
      </c>
      <c r="U22" s="18">
        <v>343596</v>
      </c>
      <c r="V22" s="20">
        <f t="shared" si="17"/>
        <v>-0.35898062554219567</v>
      </c>
      <c r="W22" s="18">
        <v>183341</v>
      </c>
      <c r="X22" s="20">
        <f t="shared" si="18"/>
        <v>4.8560431838507734</v>
      </c>
      <c r="Y22" s="19">
        <f t="shared" si="19"/>
        <v>705020</v>
      </c>
      <c r="Z22" s="20">
        <f t="shared" si="20"/>
        <v>-0.50887175368213833</v>
      </c>
      <c r="AA22" s="18">
        <v>314074</v>
      </c>
      <c r="AB22" s="17">
        <f t="shared" si="21"/>
        <v>0.36723926273540131</v>
      </c>
      <c r="AC22" s="21">
        <f t="shared" si="22"/>
        <v>390946</v>
      </c>
      <c r="AD22" s="16">
        <f t="shared" si="23"/>
        <v>-0.67577792945246995</v>
      </c>
    </row>
    <row r="23" spans="1:30" x14ac:dyDescent="0.25">
      <c r="A23" s="67">
        <v>43344</v>
      </c>
      <c r="B23" s="4">
        <v>15072902</v>
      </c>
      <c r="C23" s="10">
        <f t="shared" si="5"/>
        <v>9.2972279597657748E-2</v>
      </c>
      <c r="D23" s="7">
        <f t="shared" si="6"/>
        <v>6726661</v>
      </c>
      <c r="E23" s="10">
        <f t="shared" si="7"/>
        <v>9.3913828031072066E-2</v>
      </c>
      <c r="F23" s="4">
        <v>8346241</v>
      </c>
      <c r="G23" s="16">
        <f t="shared" si="8"/>
        <v>9.2214616461316457E-2</v>
      </c>
      <c r="H23" s="9">
        <f t="shared" si="9"/>
        <v>0.55372488987190394</v>
      </c>
      <c r="I23" s="21">
        <f t="shared" si="10"/>
        <v>5797201</v>
      </c>
      <c r="J23" s="16">
        <f t="shared" si="11"/>
        <v>-6.8425609656231901E-3</v>
      </c>
      <c r="K23" s="18">
        <v>1129953</v>
      </c>
      <c r="L23" s="20">
        <f t="shared" si="12"/>
        <v>1.0997028703946303</v>
      </c>
      <c r="M23" s="18">
        <v>3298025</v>
      </c>
      <c r="N23" s="20">
        <f t="shared" si="13"/>
        <v>8.7540044615843637E-2</v>
      </c>
      <c r="O23" s="18">
        <v>521425</v>
      </c>
      <c r="P23" s="20">
        <f t="shared" si="14"/>
        <v>-3.6118854489393004E-2</v>
      </c>
      <c r="Q23" s="18">
        <v>232996</v>
      </c>
      <c r="R23" s="20">
        <f t="shared" si="15"/>
        <v>-0.16884210225914731</v>
      </c>
      <c r="S23" s="18">
        <v>337240</v>
      </c>
      <c r="T23" s="20">
        <f t="shared" si="16"/>
        <v>-0.18043782564740651</v>
      </c>
      <c r="U23" s="18">
        <v>158102</v>
      </c>
      <c r="V23" s="20">
        <f t="shared" si="17"/>
        <v>-0.84216174771956065</v>
      </c>
      <c r="W23" s="18">
        <v>119460</v>
      </c>
      <c r="X23" s="20">
        <f t="shared" si="18"/>
        <v>2.7345254470426408</v>
      </c>
      <c r="Y23" s="19">
        <f t="shared" si="19"/>
        <v>2549040</v>
      </c>
      <c r="Z23" s="20">
        <f t="shared" si="20"/>
        <v>0.41265349688600406</v>
      </c>
      <c r="AA23" s="18">
        <v>822276</v>
      </c>
      <c r="AB23" s="17">
        <f t="shared" si="21"/>
        <v>4.5763025654588736</v>
      </c>
      <c r="AC23" s="21">
        <f t="shared" si="22"/>
        <v>1726764</v>
      </c>
      <c r="AD23" s="16">
        <f t="shared" si="23"/>
        <v>4.2118318019282119E-2</v>
      </c>
    </row>
    <row r="24" spans="1:30" x14ac:dyDescent="0.25">
      <c r="A24" s="67">
        <v>43374</v>
      </c>
      <c r="B24" s="4">
        <v>14590559</v>
      </c>
      <c r="C24" s="10">
        <f t="shared" si="5"/>
        <v>0.11342836259652844</v>
      </c>
      <c r="D24" s="7">
        <f t="shared" si="6"/>
        <v>5737809</v>
      </c>
      <c r="E24" s="10">
        <f t="shared" si="7"/>
        <v>2.174186046958404E-3</v>
      </c>
      <c r="F24" s="4">
        <v>8852750</v>
      </c>
      <c r="G24" s="16">
        <f t="shared" si="8"/>
        <v>0.19975258893266434</v>
      </c>
      <c r="H24" s="9">
        <f t="shared" si="9"/>
        <v>0.60674508769677704</v>
      </c>
      <c r="I24" s="21">
        <f t="shared" si="10"/>
        <v>5848257</v>
      </c>
      <c r="J24" s="16">
        <f t="shared" si="11"/>
        <v>-0.13395414008890505</v>
      </c>
      <c r="K24" s="18">
        <v>945710</v>
      </c>
      <c r="L24" s="20">
        <f t="shared" si="12"/>
        <v>-0.30822629253591594</v>
      </c>
      <c r="M24" s="18">
        <v>3330370</v>
      </c>
      <c r="N24" s="20">
        <f t="shared" si="13"/>
        <v>9.80309814407887E-3</v>
      </c>
      <c r="O24" s="18">
        <v>610999</v>
      </c>
      <c r="P24" s="20">
        <f t="shared" si="14"/>
        <v>0.12746668339724176</v>
      </c>
      <c r="Q24" s="18">
        <v>232634</v>
      </c>
      <c r="R24" s="20">
        <f t="shared" si="15"/>
        <v>0.11400345740732765</v>
      </c>
      <c r="S24" s="18">
        <v>430222</v>
      </c>
      <c r="T24" s="20">
        <f t="shared" si="16"/>
        <v>4.2770301714108339E-2</v>
      </c>
      <c r="U24" s="18">
        <v>203312</v>
      </c>
      <c r="V24" s="20">
        <f t="shared" si="17"/>
        <v>-0.7746358971744135</v>
      </c>
      <c r="W24" s="18">
        <v>95010</v>
      </c>
      <c r="X24" s="20">
        <f t="shared" si="18"/>
        <v>3.2733774119552015</v>
      </c>
      <c r="Y24" s="19">
        <f t="shared" si="19"/>
        <v>3004493</v>
      </c>
      <c r="Z24" s="20">
        <f t="shared" si="20"/>
        <v>3.799609257061249</v>
      </c>
      <c r="AA24" s="18">
        <v>745053</v>
      </c>
      <c r="AB24" s="17">
        <f t="shared" si="21"/>
        <v>-5.2972564850875981E-2</v>
      </c>
      <c r="AC24" s="21">
        <f t="shared" si="22"/>
        <v>2259440</v>
      </c>
      <c r="AD24" s="16">
        <f t="shared" si="23"/>
        <v>-15.056401291518654</v>
      </c>
    </row>
    <row r="25" spans="1:30" x14ac:dyDescent="0.25">
      <c r="A25" s="67">
        <v>43405</v>
      </c>
      <c r="B25" s="4">
        <v>12189742</v>
      </c>
      <c r="C25" s="10">
        <f t="shared" si="5"/>
        <v>0.17093225470803497</v>
      </c>
      <c r="D25" s="7">
        <f t="shared" si="6"/>
        <v>5295347</v>
      </c>
      <c r="E25" s="10">
        <f t="shared" si="7"/>
        <v>0.12273808014404031</v>
      </c>
      <c r="F25" s="4">
        <v>6894395</v>
      </c>
      <c r="G25" s="16">
        <f t="shared" si="8"/>
        <v>0.21085367845545089</v>
      </c>
      <c r="H25" s="9">
        <f t="shared" si="9"/>
        <v>0.56558990337941528</v>
      </c>
      <c r="I25" s="21">
        <f t="shared" si="10"/>
        <v>5491906</v>
      </c>
      <c r="J25" s="16">
        <f t="shared" si="11"/>
        <v>4.9483390620517209E-3</v>
      </c>
      <c r="K25" s="18">
        <v>681267</v>
      </c>
      <c r="L25" s="20">
        <f t="shared" si="12"/>
        <v>-0.25353936776225183</v>
      </c>
      <c r="M25" s="18">
        <v>3318435</v>
      </c>
      <c r="N25" s="20">
        <f t="shared" si="13"/>
        <v>2.2403979643333072E-2</v>
      </c>
      <c r="O25" s="18">
        <v>558966</v>
      </c>
      <c r="P25" s="20">
        <f t="shared" si="14"/>
        <v>0.18095234070962851</v>
      </c>
      <c r="Q25" s="18">
        <v>243056</v>
      </c>
      <c r="R25" s="20">
        <f t="shared" si="15"/>
        <v>-0.14989822114342077</v>
      </c>
      <c r="S25" s="18">
        <v>318363</v>
      </c>
      <c r="T25" s="20">
        <f t="shared" si="16"/>
        <v>-1.6311232781900942E-2</v>
      </c>
      <c r="U25" s="18">
        <v>280273</v>
      </c>
      <c r="V25" s="20">
        <f t="shared" si="17"/>
        <v>0.44143694713022019</v>
      </c>
      <c r="W25" s="18">
        <v>91546</v>
      </c>
      <c r="X25" s="20">
        <f t="shared" si="18"/>
        <v>2.1384689224862012</v>
      </c>
      <c r="Y25" s="19">
        <f t="shared" si="19"/>
        <v>1402489</v>
      </c>
      <c r="Z25" s="20">
        <f t="shared" si="20"/>
        <v>5.1253155490334805</v>
      </c>
      <c r="AA25" s="18">
        <v>765254</v>
      </c>
      <c r="AB25" s="17">
        <f t="shared" si="21"/>
        <v>1.5310873117198405</v>
      </c>
      <c r="AC25" s="21">
        <f t="shared" si="22"/>
        <v>637235</v>
      </c>
      <c r="AD25" s="16">
        <f t="shared" si="23"/>
        <v>-9.6845153728739639</v>
      </c>
    </row>
    <row r="26" spans="1:30" x14ac:dyDescent="0.25">
      <c r="A26" s="67">
        <v>43435</v>
      </c>
      <c r="B26" s="4">
        <v>12901234</v>
      </c>
      <c r="C26" s="10">
        <f t="shared" si="5"/>
        <v>-8.8987455568554141E-2</v>
      </c>
      <c r="D26" s="7">
        <f t="shared" si="6"/>
        <v>5543485</v>
      </c>
      <c r="E26" s="10">
        <f t="shared" si="7"/>
        <v>-0.16152566893976228</v>
      </c>
      <c r="F26" s="4">
        <v>7357749</v>
      </c>
      <c r="G26" s="16">
        <f t="shared" si="8"/>
        <v>-2.5467322770193701E-2</v>
      </c>
      <c r="H26" s="9">
        <f t="shared" si="9"/>
        <v>0.57031358395638743</v>
      </c>
      <c r="I26" s="21">
        <f t="shared" si="10"/>
        <v>5557663</v>
      </c>
      <c r="J26" s="16">
        <f t="shared" si="11"/>
        <v>-7.8379474641129931E-2</v>
      </c>
      <c r="K26" s="18">
        <v>986491</v>
      </c>
      <c r="L26" s="20">
        <f t="shared" si="12"/>
        <v>4.7564861635951416E-4</v>
      </c>
      <c r="M26" s="18">
        <v>3031356</v>
      </c>
      <c r="N26" s="20">
        <f t="shared" si="13"/>
        <v>-0.13751799945884258</v>
      </c>
      <c r="O26" s="18">
        <v>550777</v>
      </c>
      <c r="P26" s="20">
        <f t="shared" si="14"/>
        <v>-0.12175687850303363</v>
      </c>
      <c r="Q26" s="18">
        <v>269519</v>
      </c>
      <c r="R26" s="20">
        <f t="shared" si="15"/>
        <v>-0.14041091521445159</v>
      </c>
      <c r="S26" s="18">
        <v>348005</v>
      </c>
      <c r="T26" s="20">
        <f t="shared" si="16"/>
        <v>-0.10051822845991809</v>
      </c>
      <c r="U26" s="18">
        <v>212643</v>
      </c>
      <c r="V26" s="20">
        <f t="shared" si="17"/>
        <v>0.29157910081512162</v>
      </c>
      <c r="W26" s="18">
        <v>158872</v>
      </c>
      <c r="X26" s="20">
        <f t="shared" si="18"/>
        <v>3.2487096515390581</v>
      </c>
      <c r="Y26" s="19">
        <f t="shared" si="19"/>
        <v>1800086</v>
      </c>
      <c r="Z26" s="20">
        <f t="shared" si="20"/>
        <v>0.18449153523825568</v>
      </c>
      <c r="AA26" s="18">
        <v>600999</v>
      </c>
      <c r="AB26" s="17">
        <f t="shared" si="21"/>
        <v>0.44138978026563835</v>
      </c>
      <c r="AC26" s="21">
        <f t="shared" si="22"/>
        <v>1199087</v>
      </c>
      <c r="AD26" s="16">
        <f t="shared" si="23"/>
        <v>8.735674502200852E-2</v>
      </c>
    </row>
    <row r="27" spans="1:30" x14ac:dyDescent="0.25">
      <c r="A27" s="22" t="s">
        <v>17</v>
      </c>
      <c r="B27" s="23">
        <f>SUM(B15:B26)</f>
        <v>150169093</v>
      </c>
      <c r="C27" s="24">
        <f t="shared" si="5"/>
        <v>6.6948218502595358E-2</v>
      </c>
      <c r="D27" s="26">
        <f>SUM(D15:D26)</f>
        <v>63758835</v>
      </c>
      <c r="E27" s="24">
        <f t="shared" si="7"/>
        <v>-5.9026143036631562E-2</v>
      </c>
      <c r="F27" s="23">
        <f>SUM(F15:F26)</f>
        <v>86410258</v>
      </c>
      <c r="G27" s="27">
        <f t="shared" si="8"/>
        <v>0.18389637204185205</v>
      </c>
      <c r="H27" s="28">
        <f>AVERAGE(H15:H26)</f>
        <v>0.57538159500922248</v>
      </c>
      <c r="I27" s="29">
        <f>SUM(I15:I26)</f>
        <v>66318441</v>
      </c>
      <c r="J27" s="27">
        <f t="shared" si="11"/>
        <v>0.15280186457917022</v>
      </c>
      <c r="K27" s="30">
        <f>SUM(K15:K26)</f>
        <v>11620986</v>
      </c>
      <c r="L27" s="31">
        <f t="shared" si="12"/>
        <v>0.348222150988301</v>
      </c>
      <c r="M27" s="30">
        <f>SUM(M15:M26)</f>
        <v>36718920</v>
      </c>
      <c r="N27" s="31">
        <f t="shared" si="13"/>
        <v>0.20142899654987989</v>
      </c>
      <c r="O27" s="30">
        <f>SUM(O15:O26)</f>
        <v>6923541</v>
      </c>
      <c r="P27" s="31">
        <f t="shared" si="14"/>
        <v>0.10445936687183899</v>
      </c>
      <c r="Q27" s="30">
        <f>SUM(Q15:Q26)</f>
        <v>3063426</v>
      </c>
      <c r="R27" s="31">
        <f t="shared" si="15"/>
        <v>0.32722654291917186</v>
      </c>
      <c r="S27" s="30">
        <f>SUM(S15:S26)</f>
        <v>4030378</v>
      </c>
      <c r="T27" s="31">
        <f t="shared" si="16"/>
        <v>-9.7281526781570649E-2</v>
      </c>
      <c r="U27" s="30">
        <f>SUM(U15:U26)</f>
        <v>2495253</v>
      </c>
      <c r="V27" s="31">
        <f t="shared" si="17"/>
        <v>-0.43424521339489874</v>
      </c>
      <c r="W27" s="30">
        <f>SUM(W15:W26)</f>
        <v>1465937</v>
      </c>
      <c r="X27" s="31">
        <f t="shared" si="18"/>
        <v>0.64011564095363505</v>
      </c>
      <c r="Y27" s="33">
        <f>SUM(Y15:Y26)</f>
        <v>20091817</v>
      </c>
      <c r="Z27" s="31">
        <f t="shared" si="20"/>
        <v>0.40882095995769285</v>
      </c>
      <c r="AA27" s="30">
        <f>SUM(AA15:AA26)</f>
        <v>6669389</v>
      </c>
      <c r="AB27" s="31">
        <f t="shared" si="21"/>
        <v>0.30953048540318973</v>
      </c>
      <c r="AC27" s="29">
        <f>SUM(AC15:AC26)</f>
        <v>13422428</v>
      </c>
      <c r="AD27" s="27">
        <f t="shared" si="23"/>
        <v>0.29472446986909917</v>
      </c>
    </row>
    <row r="28" spans="1:30" x14ac:dyDescent="0.25">
      <c r="A28" s="67">
        <v>43466</v>
      </c>
      <c r="B28" s="4">
        <v>6550883</v>
      </c>
      <c r="C28" s="10">
        <f t="shared" si="5"/>
        <v>-0.24411705214000845</v>
      </c>
      <c r="D28" s="7">
        <f t="shared" ref="D28:D39" si="24">B28-F28</f>
        <v>2707538</v>
      </c>
      <c r="E28" s="10">
        <f t="shared" si="7"/>
        <v>-0.27925376726039886</v>
      </c>
      <c r="F28" s="4">
        <v>3843345</v>
      </c>
      <c r="G28" s="16">
        <f t="shared" si="8"/>
        <v>-0.21723417017060243</v>
      </c>
      <c r="H28" s="9">
        <f t="shared" ref="H28:H39" si="25">F28/B28</f>
        <v>0.58669113766800596</v>
      </c>
      <c r="I28" s="21">
        <f t="shared" ref="I28:I39" si="26">K28+M28+O28+Q28+S28+U28+W28</f>
        <v>4333388</v>
      </c>
      <c r="J28" s="16">
        <f t="shared" si="11"/>
        <v>-7.9369395820418132E-2</v>
      </c>
      <c r="K28" s="18">
        <v>491760</v>
      </c>
      <c r="L28" s="20">
        <f t="shared" si="12"/>
        <v>-0.44148582760065824</v>
      </c>
      <c r="M28" s="18">
        <v>2447823</v>
      </c>
      <c r="N28" s="20">
        <f t="shared" si="13"/>
        <v>-8.3375086220648487E-2</v>
      </c>
      <c r="O28" s="18">
        <v>512541</v>
      </c>
      <c r="P28" s="20">
        <f t="shared" si="14"/>
        <v>-9.8183667257272456E-2</v>
      </c>
      <c r="Q28" s="18">
        <v>178892</v>
      </c>
      <c r="R28" s="20">
        <f t="shared" si="15"/>
        <v>-0.20111108133937106</v>
      </c>
      <c r="S28" s="18">
        <v>219073</v>
      </c>
      <c r="T28" s="20">
        <f t="shared" si="16"/>
        <v>0.34349511228857743</v>
      </c>
      <c r="U28" s="18">
        <v>354957</v>
      </c>
      <c r="V28" s="20">
        <f t="shared" si="17"/>
        <v>2.3249683855557115</v>
      </c>
      <c r="W28" s="18">
        <v>128342</v>
      </c>
      <c r="X28" s="20">
        <f t="shared" si="18"/>
        <v>0.36622701966169546</v>
      </c>
      <c r="Y28" s="19">
        <f t="shared" ref="Y28:Y39" si="27">F28-I28</f>
        <v>-490043</v>
      </c>
      <c r="Z28" s="20">
        <f t="shared" si="20"/>
        <v>-3.4142784650477642</v>
      </c>
      <c r="AA28" s="18">
        <v>728277</v>
      </c>
      <c r="AB28" s="17">
        <f t="shared" si="21"/>
        <v>0.50228041115472766</v>
      </c>
      <c r="AC28" s="21">
        <f t="shared" ref="AC28:AC39" si="28">Y28-AA28</f>
        <v>-1218320</v>
      </c>
      <c r="AD28" s="16">
        <f t="shared" si="23"/>
        <v>3.3232885267774765</v>
      </c>
    </row>
    <row r="29" spans="1:30" x14ac:dyDescent="0.25">
      <c r="A29" s="67">
        <v>43497</v>
      </c>
      <c r="B29" s="4">
        <v>8363283</v>
      </c>
      <c r="C29" s="10">
        <f t="shared" si="5"/>
        <v>-0.1170221245884705</v>
      </c>
      <c r="D29" s="7">
        <f t="shared" si="24"/>
        <v>3282247</v>
      </c>
      <c r="E29" s="10">
        <f t="shared" si="7"/>
        <v>-0.20515717790522614</v>
      </c>
      <c r="F29" s="4">
        <v>5081036</v>
      </c>
      <c r="G29" s="16">
        <f t="shared" si="8"/>
        <v>-4.8895877205297422E-2</v>
      </c>
      <c r="H29" s="9">
        <f t="shared" si="25"/>
        <v>0.60754084251363971</v>
      </c>
      <c r="I29" s="21">
        <f t="shared" si="26"/>
        <v>4455002</v>
      </c>
      <c r="J29" s="16">
        <f t="shared" si="11"/>
        <v>-0.17714757920805246</v>
      </c>
      <c r="K29" s="18">
        <v>438014</v>
      </c>
      <c r="L29" s="20">
        <f t="shared" si="12"/>
        <v>-0.65170919442434461</v>
      </c>
      <c r="M29" s="18">
        <v>2771850</v>
      </c>
      <c r="N29" s="20">
        <f t="shared" si="13"/>
        <v>-2.7483839639826813E-2</v>
      </c>
      <c r="O29" s="18">
        <v>509265</v>
      </c>
      <c r="P29" s="20">
        <f t="shared" si="14"/>
        <v>-3.3962543321022332E-2</v>
      </c>
      <c r="Q29" s="18">
        <v>240180</v>
      </c>
      <c r="R29" s="20">
        <f t="shared" si="15"/>
        <v>-0.28447582447046205</v>
      </c>
      <c r="S29" s="18">
        <v>258055</v>
      </c>
      <c r="T29" s="20">
        <f t="shared" si="16"/>
        <v>6.2580036811786366E-2</v>
      </c>
      <c r="U29" s="18">
        <v>100583</v>
      </c>
      <c r="V29" s="20">
        <f t="shared" si="17"/>
        <v>-3.9184219324640557E-2</v>
      </c>
      <c r="W29" s="18">
        <v>137055</v>
      </c>
      <c r="X29" s="20">
        <f t="shared" si="18"/>
        <v>0.42883205971580773</v>
      </c>
      <c r="Y29" s="19">
        <f t="shared" si="27"/>
        <v>626034</v>
      </c>
      <c r="Z29" s="20">
        <f t="shared" si="20"/>
        <v>-9.7135539904796371</v>
      </c>
      <c r="AA29" s="18">
        <v>754886</v>
      </c>
      <c r="AB29" s="17">
        <f t="shared" si="21"/>
        <v>1.0806304021873347</v>
      </c>
      <c r="AC29" s="21">
        <f t="shared" si="28"/>
        <v>-128852</v>
      </c>
      <c r="AD29" s="16">
        <f t="shared" si="23"/>
        <v>-0.70355816703553564</v>
      </c>
    </row>
    <row r="30" spans="1:30" x14ac:dyDescent="0.25">
      <c r="A30" s="67">
        <v>43525</v>
      </c>
      <c r="B30" s="4">
        <v>7935684</v>
      </c>
      <c r="C30" s="10">
        <f t="shared" si="5"/>
        <v>-0.28345670781115662</v>
      </c>
      <c r="D30" s="7">
        <f t="shared" si="24"/>
        <v>3493000.6500000004</v>
      </c>
      <c r="E30" s="10">
        <f t="shared" si="7"/>
        <v>-0.13517603361052422</v>
      </c>
      <c r="F30" s="4">
        <v>4442683.3499999996</v>
      </c>
      <c r="G30" s="16">
        <f t="shared" si="8"/>
        <v>-0.36857655670190137</v>
      </c>
      <c r="H30" s="9">
        <f t="shared" si="25"/>
        <v>0.55983622205722905</v>
      </c>
      <c r="I30" s="21">
        <f t="shared" si="26"/>
        <v>4065839</v>
      </c>
      <c r="J30" s="16">
        <f t="shared" si="11"/>
        <v>-0.18941278545622153</v>
      </c>
      <c r="K30" s="18">
        <v>474578</v>
      </c>
      <c r="L30" s="20">
        <f t="shared" si="12"/>
        <v>-0.51231297270634657</v>
      </c>
      <c r="M30" s="18">
        <v>2228772</v>
      </c>
      <c r="N30" s="20">
        <f t="shared" si="13"/>
        <v>-0.17119710123585707</v>
      </c>
      <c r="O30" s="18">
        <v>507652</v>
      </c>
      <c r="P30" s="20">
        <f t="shared" si="14"/>
        <v>-7.9985574143646043E-2</v>
      </c>
      <c r="Q30" s="18">
        <v>265690</v>
      </c>
      <c r="R30" s="20">
        <f t="shared" si="15"/>
        <v>0.19822131624401873</v>
      </c>
      <c r="S30" s="18">
        <v>233029</v>
      </c>
      <c r="T30" s="20">
        <f t="shared" si="16"/>
        <v>-0.26143991784937781</v>
      </c>
      <c r="U30" s="18">
        <v>248905</v>
      </c>
      <c r="V30" s="20">
        <f t="shared" si="17"/>
        <v>0.48604435953312031</v>
      </c>
      <c r="W30" s="18">
        <v>107213</v>
      </c>
      <c r="X30" s="20">
        <f t="shared" si="18"/>
        <v>0.1039798177418525</v>
      </c>
      <c r="Y30" s="19">
        <f t="shared" si="27"/>
        <v>376844.34999999963</v>
      </c>
      <c r="Z30" s="20">
        <f t="shared" si="20"/>
        <v>-0.81344920925733522</v>
      </c>
      <c r="AA30" s="18">
        <v>724218</v>
      </c>
      <c r="AB30" s="17">
        <f t="shared" si="21"/>
        <v>0.38996837046476984</v>
      </c>
      <c r="AC30" s="21">
        <f t="shared" si="28"/>
        <v>-347373.65000000037</v>
      </c>
      <c r="AD30" s="16">
        <f t="shared" si="23"/>
        <v>-1.2317321322907935</v>
      </c>
    </row>
    <row r="31" spans="1:30" x14ac:dyDescent="0.25">
      <c r="A31" s="67">
        <v>43556</v>
      </c>
      <c r="B31" s="4">
        <v>11031285</v>
      </c>
      <c r="C31" s="10">
        <f t="shared" si="5"/>
        <v>-0.15669812155174234</v>
      </c>
      <c r="D31" s="7">
        <f t="shared" si="24"/>
        <v>4464229.42</v>
      </c>
      <c r="E31" s="10">
        <f t="shared" si="7"/>
        <v>-0.13885808883001638</v>
      </c>
      <c r="F31" s="4">
        <v>6567055.5800000001</v>
      </c>
      <c r="G31" s="16">
        <f t="shared" si="8"/>
        <v>-0.16840945313032241</v>
      </c>
      <c r="H31" s="9">
        <f t="shared" si="25"/>
        <v>0.5953119314748917</v>
      </c>
      <c r="I31" s="21">
        <f t="shared" si="26"/>
        <v>2852762</v>
      </c>
      <c r="J31" s="16">
        <f t="shared" si="11"/>
        <v>-0.45139804209876122</v>
      </c>
      <c r="K31" s="18">
        <v>438293</v>
      </c>
      <c r="L31" s="20">
        <f t="shared" si="12"/>
        <v>-0.52278589479345983</v>
      </c>
      <c r="M31" s="18">
        <v>1126314</v>
      </c>
      <c r="N31" s="20">
        <f t="shared" si="13"/>
        <v>-0.59901968777112469</v>
      </c>
      <c r="O31" s="18">
        <v>531897</v>
      </c>
      <c r="P31" s="20">
        <f t="shared" si="14"/>
        <v>-0.18601604715899789</v>
      </c>
      <c r="Q31" s="18">
        <v>255437</v>
      </c>
      <c r="R31" s="20">
        <f t="shared" si="15"/>
        <v>-0.12314674008190563</v>
      </c>
      <c r="S31" s="18">
        <v>343077</v>
      </c>
      <c r="T31" s="20">
        <f t="shared" si="16"/>
        <v>5.2293054584268805E-2</v>
      </c>
      <c r="U31" s="18">
        <v>94387</v>
      </c>
      <c r="V31" s="20">
        <f t="shared" si="17"/>
        <v>-0.14800104709206285</v>
      </c>
      <c r="W31" s="18">
        <v>63357</v>
      </c>
      <c r="X31" s="20">
        <f t="shared" si="18"/>
        <v>-0.30487684458829334</v>
      </c>
      <c r="Y31" s="19">
        <f t="shared" si="27"/>
        <v>3714293.58</v>
      </c>
      <c r="Z31" s="20">
        <f t="shared" si="20"/>
        <v>0.37723331469481525</v>
      </c>
      <c r="AA31" s="18">
        <v>587589</v>
      </c>
      <c r="AB31" s="17">
        <f t="shared" si="21"/>
        <v>-0.29815649157676472</v>
      </c>
      <c r="AC31" s="21">
        <f t="shared" si="28"/>
        <v>3126704.58</v>
      </c>
      <c r="AD31" s="16">
        <f t="shared" si="23"/>
        <v>0.6812806794155668</v>
      </c>
    </row>
    <row r="32" spans="1:30" x14ac:dyDescent="0.25">
      <c r="A32" s="67">
        <v>43586</v>
      </c>
      <c r="B32" s="4">
        <v>12192533</v>
      </c>
      <c r="C32" s="10">
        <f t="shared" si="5"/>
        <v>-0.1135354285322091</v>
      </c>
      <c r="D32" s="7">
        <f t="shared" si="24"/>
        <v>4655800.57</v>
      </c>
      <c r="E32" s="10">
        <f t="shared" si="7"/>
        <v>-0.2551323324651904</v>
      </c>
      <c r="F32" s="4">
        <v>7536732.4299999997</v>
      </c>
      <c r="G32" s="16">
        <f t="shared" si="8"/>
        <v>4.4148685864993098E-3</v>
      </c>
      <c r="H32" s="9">
        <f t="shared" si="25"/>
        <v>0.61814328737104918</v>
      </c>
      <c r="I32" s="21">
        <f t="shared" si="26"/>
        <v>5026397.63</v>
      </c>
      <c r="J32" s="16">
        <f t="shared" si="11"/>
        <v>-0.13218782382838223</v>
      </c>
      <c r="K32" s="18">
        <v>494429.63</v>
      </c>
      <c r="L32" s="20">
        <f t="shared" si="12"/>
        <v>-0.46682738169054327</v>
      </c>
      <c r="M32" s="18">
        <v>3161900</v>
      </c>
      <c r="N32" s="20">
        <f t="shared" si="13"/>
        <v>2.0866104107098105E-2</v>
      </c>
      <c r="O32" s="18">
        <v>499402</v>
      </c>
      <c r="P32" s="20">
        <f t="shared" si="14"/>
        <v>-0.31288790926964705</v>
      </c>
      <c r="Q32" s="18">
        <v>254745</v>
      </c>
      <c r="R32" s="20">
        <f t="shared" si="15"/>
        <v>4.1935932464047809E-2</v>
      </c>
      <c r="S32" s="18">
        <v>435398</v>
      </c>
      <c r="T32" s="20">
        <f t="shared" si="16"/>
        <v>0.20792227536537466</v>
      </c>
      <c r="U32" s="18">
        <v>120956</v>
      </c>
      <c r="V32" s="20">
        <f t="shared" si="17"/>
        <v>-0.64684173338238471</v>
      </c>
      <c r="W32" s="18">
        <v>59567</v>
      </c>
      <c r="X32" s="20">
        <f t="shared" si="18"/>
        <v>-0.36067702743313446</v>
      </c>
      <c r="Y32" s="19">
        <f t="shared" si="27"/>
        <v>2510334.7999999998</v>
      </c>
      <c r="Z32" s="20">
        <f t="shared" si="20"/>
        <v>0.46668458392903345</v>
      </c>
      <c r="AA32" s="18">
        <v>587392</v>
      </c>
      <c r="AB32" s="17">
        <f t="shared" si="21"/>
        <v>0.28301952732514968</v>
      </c>
      <c r="AC32" s="21">
        <f t="shared" si="28"/>
        <v>1922942.7999999998</v>
      </c>
      <c r="AD32" s="16">
        <f t="shared" si="23"/>
        <v>0.53375175772541739</v>
      </c>
    </row>
    <row r="33" spans="1:30" x14ac:dyDescent="0.25">
      <c r="A33" s="67">
        <v>43617</v>
      </c>
      <c r="B33" s="4">
        <v>10036330</v>
      </c>
      <c r="C33" s="10">
        <f t="shared" si="5"/>
        <v>-0.19806509602007749</v>
      </c>
      <c r="D33" s="7">
        <f t="shared" si="24"/>
        <v>3822094.3499999996</v>
      </c>
      <c r="E33" s="10">
        <f t="shared" si="7"/>
        <v>-0.30864479274236045</v>
      </c>
      <c r="F33" s="4">
        <v>6214235.6500000004</v>
      </c>
      <c r="G33" s="16">
        <f t="shared" si="8"/>
        <v>-0.11056644635390434</v>
      </c>
      <c r="H33" s="9">
        <f t="shared" si="25"/>
        <v>0.61917410547481</v>
      </c>
      <c r="I33" s="21">
        <f t="shared" si="26"/>
        <v>5378859.3200000003</v>
      </c>
      <c r="J33" s="16">
        <f t="shared" si="11"/>
        <v>-2.2229310038308303E-2</v>
      </c>
      <c r="K33" s="18">
        <v>516097.32</v>
      </c>
      <c r="L33" s="20">
        <f t="shared" si="12"/>
        <v>-0.45047624929192953</v>
      </c>
      <c r="M33" s="18">
        <v>3367016</v>
      </c>
      <c r="N33" s="20">
        <f t="shared" si="13"/>
        <v>6.3194570312919307E-2</v>
      </c>
      <c r="O33" s="18">
        <v>516319</v>
      </c>
      <c r="P33" s="20">
        <f t="shared" si="14"/>
        <v>-0.13681403649555712</v>
      </c>
      <c r="Q33" s="18">
        <v>229055</v>
      </c>
      <c r="R33" s="20">
        <f t="shared" si="15"/>
        <v>9.0992660192140029E-2</v>
      </c>
      <c r="S33" s="18">
        <v>547735</v>
      </c>
      <c r="T33" s="20">
        <f t="shared" si="16"/>
        <v>0.26927426344158278</v>
      </c>
      <c r="U33" s="18">
        <v>152369</v>
      </c>
      <c r="V33" s="20">
        <f t="shared" si="17"/>
        <v>1.4531725459258427</v>
      </c>
      <c r="W33" s="18">
        <v>50268</v>
      </c>
      <c r="X33" s="20">
        <f t="shared" si="18"/>
        <v>-0.4614354436075726</v>
      </c>
      <c r="Y33" s="19">
        <f t="shared" si="27"/>
        <v>835376.33000000007</v>
      </c>
      <c r="Z33" s="20">
        <f t="shared" si="20"/>
        <v>-0.4376796729645096</v>
      </c>
      <c r="AA33" s="18">
        <v>589450</v>
      </c>
      <c r="AB33" s="17">
        <f t="shared" si="21"/>
        <v>2.968344800657071</v>
      </c>
      <c r="AC33" s="21">
        <f t="shared" si="28"/>
        <v>245926.33000000007</v>
      </c>
      <c r="AD33" s="16">
        <f t="shared" si="23"/>
        <v>-0.81606796305298968</v>
      </c>
    </row>
    <row r="34" spans="1:30" x14ac:dyDescent="0.25">
      <c r="A34" s="67">
        <v>43647</v>
      </c>
      <c r="B34" s="4">
        <v>13989437</v>
      </c>
      <c r="C34" s="10">
        <f t="shared" si="5"/>
        <v>3.9618978614608391E-3</v>
      </c>
      <c r="D34" s="7">
        <f t="shared" si="24"/>
        <v>5293727.68</v>
      </c>
      <c r="E34" s="10">
        <f t="shared" si="7"/>
        <v>-1.4370252782164084E-2</v>
      </c>
      <c r="F34" s="4">
        <v>8695709.3200000003</v>
      </c>
      <c r="G34" s="16">
        <f t="shared" si="8"/>
        <v>1.5459808705079681E-2</v>
      </c>
      <c r="H34" s="9">
        <f t="shared" si="25"/>
        <v>0.62159108475916514</v>
      </c>
      <c r="I34" s="21">
        <f t="shared" si="26"/>
        <v>5718625</v>
      </c>
      <c r="J34" s="16">
        <f t="shared" si="11"/>
        <v>-4.3373854741874718E-2</v>
      </c>
      <c r="K34" s="18">
        <v>391802</v>
      </c>
      <c r="L34" s="20">
        <f t="shared" si="12"/>
        <v>-0.56466444444444441</v>
      </c>
      <c r="M34" s="18">
        <v>3448755</v>
      </c>
      <c r="N34" s="20">
        <f t="shared" si="13"/>
        <v>7.7735937499999963E-2</v>
      </c>
      <c r="O34" s="18">
        <v>516997</v>
      </c>
      <c r="P34" s="20">
        <f t="shared" si="14"/>
        <v>-2.7497343001984476E-2</v>
      </c>
      <c r="Q34" s="18">
        <v>257687</v>
      </c>
      <c r="R34" s="20">
        <f t="shared" si="15"/>
        <v>-0.16222507599525338</v>
      </c>
      <c r="S34" s="18">
        <v>465758</v>
      </c>
      <c r="T34" s="20">
        <f t="shared" si="16"/>
        <v>0.21725108524923487</v>
      </c>
      <c r="U34" s="18">
        <v>198949</v>
      </c>
      <c r="V34" s="20">
        <f t="shared" si="17"/>
        <v>-0.50633002481389577</v>
      </c>
      <c r="W34" s="18">
        <v>438677</v>
      </c>
      <c r="X34" s="20">
        <f t="shared" si="18"/>
        <v>0.73335993899138208</v>
      </c>
      <c r="Y34" s="19">
        <f t="shared" si="27"/>
        <v>2977084.3200000003</v>
      </c>
      <c r="Z34" s="20">
        <f t="shared" si="20"/>
        <v>0.15149319334790756</v>
      </c>
      <c r="AA34" s="18">
        <v>830298</v>
      </c>
      <c r="AB34" s="17">
        <f t="shared" si="21"/>
        <v>0.36217594309132495</v>
      </c>
      <c r="AC34" s="21">
        <f t="shared" si="28"/>
        <v>2146786.3200000003</v>
      </c>
      <c r="AD34" s="16">
        <f t="shared" si="23"/>
        <v>8.6499604731880897E-2</v>
      </c>
    </row>
    <row r="35" spans="1:30" x14ac:dyDescent="0.25">
      <c r="A35" s="67">
        <v>43678</v>
      </c>
      <c r="B35" s="4">
        <v>11808377</v>
      </c>
      <c r="C35" s="10">
        <f t="shared" si="5"/>
        <v>-8.5822628465574202E-2</v>
      </c>
      <c r="D35" s="7">
        <f t="shared" si="24"/>
        <v>4807554.03</v>
      </c>
      <c r="E35" s="10">
        <f t="shared" si="7"/>
        <v>-0.22416873539230631</v>
      </c>
      <c r="F35" s="4">
        <v>7000822.9699999997</v>
      </c>
      <c r="G35" s="16">
        <f t="shared" si="8"/>
        <v>4.1743556159894224E-2</v>
      </c>
      <c r="H35" s="9">
        <f t="shared" si="25"/>
        <v>0.5928691953178663</v>
      </c>
      <c r="I35" s="21">
        <f t="shared" si="26"/>
        <v>5853930</v>
      </c>
      <c r="J35" s="16">
        <f t="shared" si="11"/>
        <v>-2.6822385813181526E-2</v>
      </c>
      <c r="K35" s="18">
        <v>560171</v>
      </c>
      <c r="L35" s="20">
        <f t="shared" si="12"/>
        <v>-0.48199846866307627</v>
      </c>
      <c r="M35" s="18">
        <v>3745196</v>
      </c>
      <c r="N35" s="20">
        <f t="shared" si="13"/>
        <v>0.14958388469033923</v>
      </c>
      <c r="O35" s="18">
        <v>517816</v>
      </c>
      <c r="P35" s="20">
        <f t="shared" si="14"/>
        <v>-1.1882612686363481E-2</v>
      </c>
      <c r="Q35" s="18">
        <v>305278</v>
      </c>
      <c r="R35" s="20">
        <f t="shared" si="15"/>
        <v>0.21843631385477491</v>
      </c>
      <c r="S35" s="18">
        <v>429922</v>
      </c>
      <c r="T35" s="20">
        <f t="shared" si="16"/>
        <v>0.14809355188455031</v>
      </c>
      <c r="U35" s="18">
        <v>185692</v>
      </c>
      <c r="V35" s="20">
        <f t="shared" si="17"/>
        <v>-0.45956297512194555</v>
      </c>
      <c r="W35" s="18">
        <v>109855</v>
      </c>
      <c r="X35" s="20">
        <f t="shared" si="18"/>
        <v>-0.40081596587779056</v>
      </c>
      <c r="Y35" s="19">
        <f t="shared" si="27"/>
        <v>1146892.9699999997</v>
      </c>
      <c r="Z35" s="20">
        <f t="shared" si="20"/>
        <v>0.62675239000312022</v>
      </c>
      <c r="AA35" s="18">
        <v>408628</v>
      </c>
      <c r="AB35" s="17">
        <f t="shared" si="21"/>
        <v>0.30105643892840539</v>
      </c>
      <c r="AC35" s="21">
        <f t="shared" si="28"/>
        <v>738264.96999999974</v>
      </c>
      <c r="AD35" s="16">
        <f t="shared" si="23"/>
        <v>0.88840650626940731</v>
      </c>
    </row>
    <row r="36" spans="1:30" x14ac:dyDescent="0.25">
      <c r="A36" s="67">
        <v>43709</v>
      </c>
      <c r="B36" s="4">
        <v>13561815</v>
      </c>
      <c r="C36" s="10">
        <f t="shared" si="5"/>
        <v>-0.10025189575305404</v>
      </c>
      <c r="D36" s="7">
        <f t="shared" si="24"/>
        <v>6528658</v>
      </c>
      <c r="E36" s="10">
        <f t="shared" si="7"/>
        <v>-2.943555502499684E-2</v>
      </c>
      <c r="F36" s="4">
        <v>7033157</v>
      </c>
      <c r="G36" s="16">
        <f t="shared" si="8"/>
        <v>-0.15732639400180271</v>
      </c>
      <c r="H36" s="9">
        <f t="shared" si="25"/>
        <v>0.51859998090226123</v>
      </c>
      <c r="I36" s="21">
        <f t="shared" si="26"/>
        <v>5713072</v>
      </c>
      <c r="J36" s="16">
        <f t="shared" si="11"/>
        <v>-1.4512003292623477E-2</v>
      </c>
      <c r="K36" s="18">
        <v>706233</v>
      </c>
      <c r="L36" s="20">
        <f t="shared" si="12"/>
        <v>-0.3749890482170497</v>
      </c>
      <c r="M36" s="18">
        <v>3593776</v>
      </c>
      <c r="N36" s="20">
        <f t="shared" si="13"/>
        <v>8.9675184390658025E-2</v>
      </c>
      <c r="O36" s="18">
        <v>523843</v>
      </c>
      <c r="P36" s="20">
        <f t="shared" si="14"/>
        <v>4.6372920362467429E-3</v>
      </c>
      <c r="Q36" s="18">
        <v>284070</v>
      </c>
      <c r="R36" s="20">
        <f t="shared" si="15"/>
        <v>0.21920547992240214</v>
      </c>
      <c r="S36" s="18">
        <v>292137</v>
      </c>
      <c r="T36" s="20">
        <f t="shared" si="16"/>
        <v>-0.13374154904519042</v>
      </c>
      <c r="U36" s="18">
        <v>194731</v>
      </c>
      <c r="V36" s="20">
        <f t="shared" si="17"/>
        <v>0.23167954864581097</v>
      </c>
      <c r="W36" s="18">
        <v>118282</v>
      </c>
      <c r="X36" s="20">
        <f t="shared" si="18"/>
        <v>-9.8610413527540075E-3</v>
      </c>
      <c r="Y36" s="19">
        <f t="shared" si="27"/>
        <v>1320085</v>
      </c>
      <c r="Z36" s="20">
        <f t="shared" si="20"/>
        <v>-0.48212464300285596</v>
      </c>
      <c r="AA36" s="18">
        <v>408628</v>
      </c>
      <c r="AB36" s="17">
        <f t="shared" si="21"/>
        <v>-0.50305250305250304</v>
      </c>
      <c r="AC36" s="21">
        <f t="shared" si="28"/>
        <v>911457</v>
      </c>
      <c r="AD36" s="16">
        <f t="shared" si="23"/>
        <v>-0.47215890532811666</v>
      </c>
    </row>
    <row r="37" spans="1:30" x14ac:dyDescent="0.25">
      <c r="A37" s="67">
        <v>43739</v>
      </c>
      <c r="B37" s="4">
        <v>9864028</v>
      </c>
      <c r="C37" s="10">
        <f t="shared" si="5"/>
        <v>-0.32394447669893933</v>
      </c>
      <c r="D37" s="7">
        <f t="shared" si="24"/>
        <v>4192589.75</v>
      </c>
      <c r="E37" s="10">
        <f t="shared" si="7"/>
        <v>-0.26930475552602051</v>
      </c>
      <c r="F37" s="4">
        <v>5671438.25</v>
      </c>
      <c r="G37" s="16">
        <f t="shared" si="8"/>
        <v>-0.35935858913896812</v>
      </c>
      <c r="H37" s="9">
        <f t="shared" si="25"/>
        <v>0.57496169414766463</v>
      </c>
      <c r="I37" s="21">
        <f t="shared" si="26"/>
        <v>5866469</v>
      </c>
      <c r="J37" s="16">
        <f t="shared" si="11"/>
        <v>3.1140902323547603E-3</v>
      </c>
      <c r="K37" s="18">
        <v>643857</v>
      </c>
      <c r="L37" s="20">
        <f t="shared" si="12"/>
        <v>-0.31918135580674833</v>
      </c>
      <c r="M37" s="18">
        <v>3818433</v>
      </c>
      <c r="N37" s="20">
        <f t="shared" si="13"/>
        <v>0.14654918222299629</v>
      </c>
      <c r="O37" s="18">
        <v>510684</v>
      </c>
      <c r="P37" s="20">
        <f t="shared" si="14"/>
        <v>-0.16418193810464499</v>
      </c>
      <c r="Q37" s="18">
        <v>291915</v>
      </c>
      <c r="R37" s="20">
        <f t="shared" si="15"/>
        <v>0.2548251760275797</v>
      </c>
      <c r="S37" s="18">
        <v>394386</v>
      </c>
      <c r="T37" s="20">
        <f t="shared" si="16"/>
        <v>-8.3296530628373278E-2</v>
      </c>
      <c r="U37" s="18">
        <v>58241</v>
      </c>
      <c r="V37" s="20">
        <f t="shared" si="17"/>
        <v>-0.71353879751318172</v>
      </c>
      <c r="W37" s="18">
        <v>148953</v>
      </c>
      <c r="X37" s="20">
        <f t="shared" si="18"/>
        <v>0.5677612882854437</v>
      </c>
      <c r="Y37" s="19">
        <f t="shared" si="27"/>
        <v>-195030.75</v>
      </c>
      <c r="Z37" s="20">
        <f t="shared" si="20"/>
        <v>-1.0649130319158673</v>
      </c>
      <c r="AA37" s="18">
        <v>541856</v>
      </c>
      <c r="AB37" s="17">
        <f t="shared" si="21"/>
        <v>-0.27272824886283253</v>
      </c>
      <c r="AC37" s="21">
        <f t="shared" si="28"/>
        <v>-736886.75</v>
      </c>
      <c r="AD37" s="16">
        <f t="shared" si="23"/>
        <v>-1.3261368967531777</v>
      </c>
    </row>
    <row r="38" spans="1:30" x14ac:dyDescent="0.25">
      <c r="A38" s="67">
        <v>43770</v>
      </c>
      <c r="B38" s="4">
        <v>10806325</v>
      </c>
      <c r="C38" s="10">
        <f t="shared" si="5"/>
        <v>-0.11349026090954184</v>
      </c>
      <c r="D38" s="7">
        <f t="shared" si="24"/>
        <v>4562052.2699999996</v>
      </c>
      <c r="E38" s="10">
        <f t="shared" si="7"/>
        <v>-0.13847907039897489</v>
      </c>
      <c r="F38" s="4">
        <v>6244272.7300000004</v>
      </c>
      <c r="G38" s="16">
        <f t="shared" si="8"/>
        <v>-9.429721824757642E-2</v>
      </c>
      <c r="H38" s="9">
        <f t="shared" si="25"/>
        <v>0.57783499293237994</v>
      </c>
      <c r="I38" s="21">
        <f t="shared" si="26"/>
        <v>5600507</v>
      </c>
      <c r="J38" s="16">
        <f t="shared" si="11"/>
        <v>1.9774737586550017E-2</v>
      </c>
      <c r="K38" s="18">
        <v>655275</v>
      </c>
      <c r="L38" s="20">
        <f t="shared" si="12"/>
        <v>-3.8152442434464029E-2</v>
      </c>
      <c r="M38" s="18">
        <v>3602012</v>
      </c>
      <c r="N38" s="20">
        <f t="shared" si="13"/>
        <v>8.5455041307122226E-2</v>
      </c>
      <c r="O38" s="18">
        <v>499658</v>
      </c>
      <c r="P38" s="20">
        <f t="shared" si="14"/>
        <v>-0.10610305456861424</v>
      </c>
      <c r="Q38" s="18">
        <v>213261</v>
      </c>
      <c r="R38" s="20">
        <f t="shared" si="15"/>
        <v>-0.12258491870186294</v>
      </c>
      <c r="S38" s="18">
        <v>427588</v>
      </c>
      <c r="T38" s="20">
        <f t="shared" si="16"/>
        <v>0.34308321004639364</v>
      </c>
      <c r="U38" s="18">
        <v>103697</v>
      </c>
      <c r="V38" s="20">
        <f t="shared" si="17"/>
        <v>-0.63001430747877962</v>
      </c>
      <c r="W38" s="18">
        <v>99016</v>
      </c>
      <c r="X38" s="20">
        <f t="shared" si="18"/>
        <v>8.1598322154982306E-2</v>
      </c>
      <c r="Y38" s="19">
        <f t="shared" si="27"/>
        <v>643765.73000000045</v>
      </c>
      <c r="Z38" s="20">
        <f t="shared" si="20"/>
        <v>-0.54098340165234782</v>
      </c>
      <c r="AA38" s="18">
        <v>544676</v>
      </c>
      <c r="AB38" s="17">
        <f t="shared" si="21"/>
        <v>-0.28824155117124506</v>
      </c>
      <c r="AC38" s="21">
        <f t="shared" si="28"/>
        <v>99089.730000000447</v>
      </c>
      <c r="AD38" s="16">
        <f t="shared" si="23"/>
        <v>-0.84450049039993025</v>
      </c>
    </row>
    <row r="39" spans="1:30" x14ac:dyDescent="0.25">
      <c r="A39" s="67">
        <v>43800</v>
      </c>
      <c r="B39" s="4">
        <v>11999947</v>
      </c>
      <c r="C39" s="10">
        <f t="shared" si="5"/>
        <v>-6.9860526520176269E-2</v>
      </c>
      <c r="D39" s="7">
        <f t="shared" si="24"/>
        <v>6019756</v>
      </c>
      <c r="E39" s="10">
        <f t="shared" si="7"/>
        <v>8.5915448494944924E-2</v>
      </c>
      <c r="F39" s="4">
        <v>5980191</v>
      </c>
      <c r="G39" s="16">
        <f t="shared" si="8"/>
        <v>-0.18722546800658735</v>
      </c>
      <c r="H39" s="9">
        <f t="shared" si="25"/>
        <v>0.49835145105224216</v>
      </c>
      <c r="I39" s="21">
        <f t="shared" si="26"/>
        <v>6123695</v>
      </c>
      <c r="J39" s="16">
        <f t="shared" si="11"/>
        <v>0.10184712531148432</v>
      </c>
      <c r="K39" s="18">
        <v>684106</v>
      </c>
      <c r="L39" s="20">
        <f t="shared" si="12"/>
        <v>-0.30652585781319852</v>
      </c>
      <c r="M39" s="18">
        <v>3903499</v>
      </c>
      <c r="N39" s="20">
        <f t="shared" si="13"/>
        <v>0.28770721749606443</v>
      </c>
      <c r="O39" s="18">
        <v>510920</v>
      </c>
      <c r="P39" s="20">
        <f t="shared" si="14"/>
        <v>-7.2365040660739233E-2</v>
      </c>
      <c r="Q39" s="18">
        <v>299480</v>
      </c>
      <c r="R39" s="20">
        <f t="shared" si="15"/>
        <v>0.1111647045291797</v>
      </c>
      <c r="S39" s="18">
        <v>399797</v>
      </c>
      <c r="T39" s="20">
        <f t="shared" si="16"/>
        <v>0.14882544791023111</v>
      </c>
      <c r="U39" s="18">
        <v>175170</v>
      </c>
      <c r="V39" s="20">
        <f t="shared" si="17"/>
        <v>-0.17622494039305314</v>
      </c>
      <c r="W39" s="18">
        <v>150723</v>
      </c>
      <c r="X39" s="20">
        <f t="shared" si="18"/>
        <v>-5.129286469610761E-2</v>
      </c>
      <c r="Y39" s="19">
        <f t="shared" si="27"/>
        <v>-143504</v>
      </c>
      <c r="Z39" s="20">
        <f t="shared" si="20"/>
        <v>-1.0797206355696338</v>
      </c>
      <c r="AA39" s="18">
        <v>557927</v>
      </c>
      <c r="AB39" s="17">
        <f t="shared" si="21"/>
        <v>-7.1667340544659841E-2</v>
      </c>
      <c r="AC39" s="21">
        <f t="shared" si="28"/>
        <v>-701431</v>
      </c>
      <c r="AD39" s="16">
        <f t="shared" si="23"/>
        <v>-1.5849708986920881</v>
      </c>
    </row>
    <row r="40" spans="1:30" x14ac:dyDescent="0.25">
      <c r="A40" s="22" t="s">
        <v>18</v>
      </c>
      <c r="B40" s="23">
        <f>SUM(B28:B39)</f>
        <v>128139927</v>
      </c>
      <c r="C40" s="24">
        <f t="shared" si="5"/>
        <v>-0.14669573851658013</v>
      </c>
      <c r="D40" s="26">
        <f>SUM(D28:D39)</f>
        <v>53829247.719999999</v>
      </c>
      <c r="E40" s="24">
        <f t="shared" si="7"/>
        <v>-0.15573664857584057</v>
      </c>
      <c r="F40" s="23">
        <f>SUM(F28:F39)</f>
        <v>74310679.280000001</v>
      </c>
      <c r="G40" s="27">
        <f t="shared" si="8"/>
        <v>-0.14002479566719961</v>
      </c>
      <c r="H40" s="28">
        <f>AVERAGE(H28:H39)</f>
        <v>0.58090882713926717</v>
      </c>
      <c r="I40" s="29">
        <f>SUM(I28:I39)</f>
        <v>60988545.950000003</v>
      </c>
      <c r="J40" s="27">
        <f t="shared" si="11"/>
        <v>-8.0368219904324856E-2</v>
      </c>
      <c r="K40" s="30">
        <f>SUM(K28:K39)</f>
        <v>6494615.9499999993</v>
      </c>
      <c r="L40" s="31">
        <f t="shared" si="12"/>
        <v>-0.44113038687078709</v>
      </c>
      <c r="M40" s="30">
        <f>SUM(M28:M39)</f>
        <v>37215346</v>
      </c>
      <c r="N40" s="31">
        <f t="shared" si="13"/>
        <v>1.3519624215527104E-2</v>
      </c>
      <c r="O40" s="30">
        <f>SUM(O28:O39)</f>
        <v>6156994</v>
      </c>
      <c r="P40" s="31">
        <f t="shared" si="14"/>
        <v>-0.11071603389075046</v>
      </c>
      <c r="Q40" s="30">
        <f>SUM(Q28:Q39)</f>
        <v>3075690</v>
      </c>
      <c r="R40" s="31">
        <f t="shared" si="15"/>
        <v>4.0033609429441785E-3</v>
      </c>
      <c r="S40" s="30">
        <f>SUM(S28:S39)</f>
        <v>4445955</v>
      </c>
      <c r="T40" s="31">
        <f t="shared" si="16"/>
        <v>0.10311117220270649</v>
      </c>
      <c r="U40" s="30">
        <f>SUM(U28:U39)</f>
        <v>1988637</v>
      </c>
      <c r="V40" s="31">
        <f t="shared" si="17"/>
        <v>-0.20303191700400725</v>
      </c>
      <c r="W40" s="30">
        <f>SUM(W28:W39)</f>
        <v>1611308</v>
      </c>
      <c r="X40" s="31">
        <f t="shared" si="18"/>
        <v>9.9165925957254597E-2</v>
      </c>
      <c r="Y40" s="33">
        <f>SUM(Y28:Y39)</f>
        <v>13322133.329999998</v>
      </c>
      <c r="Z40" s="31">
        <f t="shared" si="20"/>
        <v>-0.33693735464542618</v>
      </c>
      <c r="AA40" s="30">
        <f>SUM(AA28:AA39)</f>
        <v>7263825</v>
      </c>
      <c r="AB40" s="31">
        <f t="shared" si="21"/>
        <v>8.9129004171146775E-2</v>
      </c>
      <c r="AC40" s="29">
        <f>SUM(AC28:AC39)</f>
        <v>6058308.3300000001</v>
      </c>
      <c r="AD40" s="27">
        <f t="shared" si="23"/>
        <v>-0.54864288860405885</v>
      </c>
    </row>
    <row r="41" spans="1:30" x14ac:dyDescent="0.25">
      <c r="A41" s="67">
        <v>43831</v>
      </c>
      <c r="B41" s="4">
        <v>5978967</v>
      </c>
      <c r="C41" s="10">
        <f t="shared" si="5"/>
        <v>-8.73036505155107E-2</v>
      </c>
      <c r="D41" s="7">
        <f t="shared" ref="D41:D52" si="29">B41-F41</f>
        <v>2537994.11</v>
      </c>
      <c r="E41" s="10">
        <f t="shared" si="7"/>
        <v>-6.2619209776557216E-2</v>
      </c>
      <c r="F41" s="4">
        <v>3440972.89</v>
      </c>
      <c r="G41" s="16">
        <f t="shared" si="8"/>
        <v>-0.10469320604837706</v>
      </c>
      <c r="H41" s="9">
        <f t="shared" ref="H41:H52" si="30">F41/B41</f>
        <v>0.5755129422858497</v>
      </c>
      <c r="I41" s="21">
        <f t="shared" ref="I41:I52" si="31">K41+M41+O41+Q41+S41+U41+W41</f>
        <v>4783739</v>
      </c>
      <c r="J41" s="16">
        <f t="shared" si="11"/>
        <v>0.1039258427816756</v>
      </c>
      <c r="K41" s="18">
        <v>449153</v>
      </c>
      <c r="L41" s="20">
        <f t="shared" si="12"/>
        <v>-8.6641857816821211E-2</v>
      </c>
      <c r="M41" s="18">
        <v>3186171</v>
      </c>
      <c r="N41" s="20">
        <f t="shared" si="13"/>
        <v>0.30163455445920717</v>
      </c>
      <c r="O41" s="18">
        <v>493935</v>
      </c>
      <c r="P41" s="20">
        <f t="shared" si="14"/>
        <v>-3.6301486125012383E-2</v>
      </c>
      <c r="Q41" s="18">
        <v>224351</v>
      </c>
      <c r="R41" s="20">
        <f t="shared" si="15"/>
        <v>0.25411421416273505</v>
      </c>
      <c r="S41" s="18">
        <v>248481</v>
      </c>
      <c r="T41" s="20">
        <f t="shared" si="16"/>
        <v>0.13423835890319658</v>
      </c>
      <c r="U41" s="18">
        <v>37708</v>
      </c>
      <c r="V41" s="20">
        <f t="shared" si="17"/>
        <v>-0.89376741408114224</v>
      </c>
      <c r="W41" s="18">
        <v>143940</v>
      </c>
      <c r="X41" s="20">
        <f t="shared" si="18"/>
        <v>0.12153464960807847</v>
      </c>
      <c r="Y41" s="19">
        <f t="shared" ref="Y41:Y52" si="32">F41-I41</f>
        <v>-1342766.1099999999</v>
      </c>
      <c r="Z41" s="20">
        <f t="shared" si="20"/>
        <v>1.7400985423728117</v>
      </c>
      <c r="AA41" s="18">
        <v>307562</v>
      </c>
      <c r="AB41" s="17">
        <f t="shared" si="21"/>
        <v>-0.57768541365441994</v>
      </c>
      <c r="AC41" s="21">
        <f t="shared" ref="AC41:AC52" si="33">Y41-AA41</f>
        <v>-1650328.1099999999</v>
      </c>
      <c r="AD41" s="16">
        <f t="shared" si="23"/>
        <v>0.35459330061067695</v>
      </c>
    </row>
    <row r="42" spans="1:30" x14ac:dyDescent="0.25">
      <c r="A42" s="67">
        <v>43862</v>
      </c>
      <c r="B42" s="4">
        <v>7583876</v>
      </c>
      <c r="C42" s="10">
        <f t="shared" si="5"/>
        <v>-9.3193904833783536E-2</v>
      </c>
      <c r="D42" s="7">
        <f t="shared" si="29"/>
        <v>3369768.9299999997</v>
      </c>
      <c r="E42" s="10">
        <f t="shared" si="7"/>
        <v>2.6665247923145285E-2</v>
      </c>
      <c r="F42" s="4">
        <v>4214107.07</v>
      </c>
      <c r="G42" s="16">
        <f t="shared" si="8"/>
        <v>-0.17062050534576012</v>
      </c>
      <c r="H42" s="9">
        <f t="shared" si="30"/>
        <v>0.55566666306252899</v>
      </c>
      <c r="I42" s="21">
        <f t="shared" si="31"/>
        <v>4714552</v>
      </c>
      <c r="J42" s="16">
        <f t="shared" si="11"/>
        <v>5.8260355438673139E-2</v>
      </c>
      <c r="K42" s="18">
        <v>532390</v>
      </c>
      <c r="L42" s="20">
        <f t="shared" si="12"/>
        <v>0.21546343267566792</v>
      </c>
      <c r="M42" s="18">
        <v>2910160</v>
      </c>
      <c r="N42" s="20">
        <f t="shared" si="13"/>
        <v>4.989808250807215E-2</v>
      </c>
      <c r="O42" s="18">
        <v>484945</v>
      </c>
      <c r="P42" s="20">
        <f t="shared" si="14"/>
        <v>-4.7755098033440357E-2</v>
      </c>
      <c r="Q42" s="18">
        <v>228241</v>
      </c>
      <c r="R42" s="20">
        <f t="shared" si="15"/>
        <v>-4.9708551919393829E-2</v>
      </c>
      <c r="S42" s="18">
        <v>309666</v>
      </c>
      <c r="T42" s="20">
        <f t="shared" si="16"/>
        <v>0.19999999999999996</v>
      </c>
      <c r="U42" s="18">
        <v>150661</v>
      </c>
      <c r="V42" s="20">
        <f t="shared" si="17"/>
        <v>0.49787737490430795</v>
      </c>
      <c r="W42" s="18">
        <v>98489</v>
      </c>
      <c r="X42" s="20">
        <f t="shared" si="18"/>
        <v>-0.28139068257268984</v>
      </c>
      <c r="Y42" s="19">
        <f t="shared" si="32"/>
        <v>-500444.9299999997</v>
      </c>
      <c r="Z42" s="20">
        <f t="shared" si="20"/>
        <v>-1.7993893782126844</v>
      </c>
      <c r="AA42" s="18">
        <v>321769</v>
      </c>
      <c r="AB42" s="17">
        <f t="shared" si="21"/>
        <v>-0.57375153334410767</v>
      </c>
      <c r="AC42" s="21">
        <f t="shared" si="33"/>
        <v>-822213.9299999997</v>
      </c>
      <c r="AD42" s="16">
        <f t="shared" si="23"/>
        <v>5.3810723155247855</v>
      </c>
    </row>
    <row r="43" spans="1:30" x14ac:dyDescent="0.25">
      <c r="A43" s="67">
        <v>43891</v>
      </c>
      <c r="B43" s="4">
        <v>12524631</v>
      </c>
      <c r="C43" s="10">
        <f t="shared" si="5"/>
        <v>0.5782673554037685</v>
      </c>
      <c r="D43" s="7">
        <f t="shared" si="29"/>
        <v>6179149.96</v>
      </c>
      <c r="E43" s="10">
        <f t="shared" si="7"/>
        <v>0.76900910682624679</v>
      </c>
      <c r="F43" s="4">
        <v>6345481.04</v>
      </c>
      <c r="G43" s="16">
        <f t="shared" si="8"/>
        <v>0.42829919219878687</v>
      </c>
      <c r="H43" s="9">
        <f t="shared" si="30"/>
        <v>0.50664015889969138</v>
      </c>
      <c r="I43" s="21">
        <f t="shared" si="31"/>
        <v>4295637</v>
      </c>
      <c r="J43" s="16">
        <f t="shared" si="11"/>
        <v>5.6519207966670537E-2</v>
      </c>
      <c r="K43" s="18">
        <v>381400</v>
      </c>
      <c r="L43" s="20">
        <f t="shared" si="12"/>
        <v>-0.196338641909233</v>
      </c>
      <c r="M43" s="18">
        <v>2862134</v>
      </c>
      <c r="N43" s="20">
        <f t="shared" si="13"/>
        <v>0.28417532165694825</v>
      </c>
      <c r="O43" s="18">
        <v>396413</v>
      </c>
      <c r="P43" s="20">
        <f t="shared" si="14"/>
        <v>-0.21912451837085245</v>
      </c>
      <c r="Q43" s="18">
        <v>224103</v>
      </c>
      <c r="R43" s="20">
        <f t="shared" si="15"/>
        <v>-0.15652452105837633</v>
      </c>
      <c r="S43" s="18">
        <v>299601</v>
      </c>
      <c r="T43" s="20">
        <f t="shared" si="16"/>
        <v>0.28568118131219711</v>
      </c>
      <c r="U43" s="18">
        <v>31544</v>
      </c>
      <c r="V43" s="20">
        <f t="shared" si="17"/>
        <v>-0.87326891786022776</v>
      </c>
      <c r="W43" s="18">
        <v>100442</v>
      </c>
      <c r="X43" s="20">
        <f t="shared" si="18"/>
        <v>-6.3154654752688555E-2</v>
      </c>
      <c r="Y43" s="19">
        <f t="shared" si="32"/>
        <v>2049844.04</v>
      </c>
      <c r="Z43" s="20">
        <f t="shared" si="20"/>
        <v>4.4394978722647744</v>
      </c>
      <c r="AA43" s="18">
        <v>330504</v>
      </c>
      <c r="AB43" s="17">
        <f t="shared" si="21"/>
        <v>-0.54364017464354664</v>
      </c>
      <c r="AC43" s="21">
        <f t="shared" si="33"/>
        <v>1719340.04</v>
      </c>
      <c r="AD43" s="16">
        <f t="shared" si="23"/>
        <v>-5.9495407610795992</v>
      </c>
    </row>
    <row r="44" spans="1:30" x14ac:dyDescent="0.25">
      <c r="A44" s="67">
        <v>43922</v>
      </c>
      <c r="B44" s="4">
        <v>11577352.359999999</v>
      </c>
      <c r="C44" s="10">
        <f t="shared" si="5"/>
        <v>4.9501699937949173E-2</v>
      </c>
      <c r="D44" s="7">
        <f t="shared" si="29"/>
        <v>4832467.2699999996</v>
      </c>
      <c r="E44" s="10">
        <f t="shared" si="7"/>
        <v>8.2486318545877957E-2</v>
      </c>
      <c r="F44" s="4">
        <v>6744885.0899999999</v>
      </c>
      <c r="G44" s="16">
        <f t="shared" si="8"/>
        <v>2.7079032274613279E-2</v>
      </c>
      <c r="H44" s="9">
        <f t="shared" si="30"/>
        <v>0.58259305584441934</v>
      </c>
      <c r="I44" s="21">
        <f t="shared" si="31"/>
        <v>4179731.69</v>
      </c>
      <c r="J44" s="16">
        <f t="shared" si="11"/>
        <v>0.46515260999690833</v>
      </c>
      <c r="K44" s="18">
        <v>350360</v>
      </c>
      <c r="L44" s="20">
        <f t="shared" si="12"/>
        <v>-0.20062606521208415</v>
      </c>
      <c r="M44" s="18">
        <v>2906284.27</v>
      </c>
      <c r="N44" s="20">
        <f t="shared" si="13"/>
        <v>1.5803499468176727</v>
      </c>
      <c r="O44" s="18">
        <v>169208.04</v>
      </c>
      <c r="P44" s="20">
        <f t="shared" si="14"/>
        <v>-0.68187818318208215</v>
      </c>
      <c r="Q44" s="18">
        <v>265794.71000000002</v>
      </c>
      <c r="R44" s="20">
        <f t="shared" si="15"/>
        <v>4.0548980766294651E-2</v>
      </c>
      <c r="S44" s="18">
        <v>344984.35</v>
      </c>
      <c r="T44" s="20">
        <f t="shared" si="16"/>
        <v>5.559539112210965E-3</v>
      </c>
      <c r="U44" s="18">
        <v>21493</v>
      </c>
      <c r="V44" s="20">
        <f t="shared" si="17"/>
        <v>-0.77228855668683183</v>
      </c>
      <c r="W44" s="18">
        <v>121607.32</v>
      </c>
      <c r="X44" s="20">
        <f t="shared" si="18"/>
        <v>0.91939833009770044</v>
      </c>
      <c r="Y44" s="19">
        <f t="shared" si="32"/>
        <v>2565153.4</v>
      </c>
      <c r="Z44" s="20">
        <f t="shared" si="20"/>
        <v>-0.3093832394368784</v>
      </c>
      <c r="AA44" s="18">
        <v>330700.74</v>
      </c>
      <c r="AB44" s="17">
        <f t="shared" si="21"/>
        <v>-0.43719038307388325</v>
      </c>
      <c r="AC44" s="21">
        <f t="shared" si="33"/>
        <v>2234452.66</v>
      </c>
      <c r="AD44" s="16">
        <f t="shared" si="23"/>
        <v>-0.28536495763216618</v>
      </c>
    </row>
    <row r="45" spans="1:30" x14ac:dyDescent="0.25">
      <c r="A45" s="67">
        <v>43952</v>
      </c>
      <c r="B45" s="4">
        <v>12947927.33</v>
      </c>
      <c r="C45" s="10">
        <f t="shared" si="5"/>
        <v>6.1955487838335266E-2</v>
      </c>
      <c r="D45" s="7">
        <f t="shared" si="29"/>
        <v>5343250.26</v>
      </c>
      <c r="E45" s="10">
        <f t="shared" si="7"/>
        <v>0.14765445376454323</v>
      </c>
      <c r="F45" s="4">
        <v>7604677.0700000003</v>
      </c>
      <c r="G45" s="16">
        <f t="shared" si="8"/>
        <v>9.0151323044913578E-3</v>
      </c>
      <c r="H45" s="9">
        <f t="shared" si="30"/>
        <v>0.58732775340653698</v>
      </c>
      <c r="I45" s="21">
        <f t="shared" si="31"/>
        <v>4511100.72</v>
      </c>
      <c r="J45" s="16">
        <f t="shared" si="11"/>
        <v>-0.10251813484163208</v>
      </c>
      <c r="K45" s="18">
        <v>504597.5</v>
      </c>
      <c r="L45" s="20">
        <f t="shared" si="12"/>
        <v>2.0564847620479387E-2</v>
      </c>
      <c r="M45" s="18">
        <v>3138257</v>
      </c>
      <c r="N45" s="20">
        <f t="shared" si="13"/>
        <v>-7.4774660805212445E-3</v>
      </c>
      <c r="O45" s="18">
        <v>151786.15</v>
      </c>
      <c r="P45" s="20">
        <f t="shared" si="14"/>
        <v>-0.69606419277455833</v>
      </c>
      <c r="Q45" s="18">
        <v>193755.46</v>
      </c>
      <c r="R45" s="20">
        <f t="shared" si="15"/>
        <v>-0.2394140807474141</v>
      </c>
      <c r="S45" s="18">
        <v>387867.54</v>
      </c>
      <c r="T45" s="20">
        <f t="shared" si="16"/>
        <v>-0.10916554508748322</v>
      </c>
      <c r="U45" s="18">
        <v>31692</v>
      </c>
      <c r="V45" s="20">
        <f t="shared" si="17"/>
        <v>-0.73798736730712</v>
      </c>
      <c r="W45" s="18">
        <v>103145.07</v>
      </c>
      <c r="X45" s="20">
        <f t="shared" si="18"/>
        <v>0.73158074101432002</v>
      </c>
      <c r="Y45" s="19">
        <f t="shared" si="32"/>
        <v>3093576.3500000006</v>
      </c>
      <c r="Z45" s="20">
        <f t="shared" si="20"/>
        <v>0.23233616089774189</v>
      </c>
      <c r="AA45" s="18">
        <v>295714.65999999997</v>
      </c>
      <c r="AB45" s="17">
        <f t="shared" si="21"/>
        <v>-0.49656335122030948</v>
      </c>
      <c r="AC45" s="21">
        <f t="shared" si="33"/>
        <v>2797861.6900000004</v>
      </c>
      <c r="AD45" s="16">
        <f t="shared" si="23"/>
        <v>0.45498955559156551</v>
      </c>
    </row>
    <row r="46" spans="1:30" x14ac:dyDescent="0.25">
      <c r="A46" s="67">
        <v>43983</v>
      </c>
      <c r="B46" s="4">
        <v>11902556</v>
      </c>
      <c r="C46" s="10">
        <f t="shared" si="5"/>
        <v>0.18594705435154091</v>
      </c>
      <c r="D46" s="7">
        <f t="shared" si="29"/>
        <v>5123673.03</v>
      </c>
      <c r="E46" s="10">
        <f t="shared" si="7"/>
        <v>0.340540698583226</v>
      </c>
      <c r="F46" s="4">
        <v>6778882.9699999997</v>
      </c>
      <c r="G46" s="16">
        <f t="shared" si="8"/>
        <v>9.0863519152190486E-2</v>
      </c>
      <c r="H46" s="9">
        <f t="shared" si="30"/>
        <v>0.5695317014261474</v>
      </c>
      <c r="I46" s="21">
        <f t="shared" si="31"/>
        <v>4291480.7</v>
      </c>
      <c r="J46" s="16">
        <f t="shared" si="11"/>
        <v>-0.20215784710279427</v>
      </c>
      <c r="K46" s="18">
        <v>443102</v>
      </c>
      <c r="L46" s="20">
        <f t="shared" si="12"/>
        <v>-0.14143712275041465</v>
      </c>
      <c r="M46" s="18">
        <v>3031579</v>
      </c>
      <c r="N46" s="20">
        <f t="shared" si="13"/>
        <v>-9.9624415209194184E-2</v>
      </c>
      <c r="O46" s="18">
        <v>102515.87</v>
      </c>
      <c r="P46" s="20">
        <f t="shared" si="14"/>
        <v>-0.80144858120657969</v>
      </c>
      <c r="Q46" s="18">
        <v>289602.42</v>
      </c>
      <c r="R46" s="20">
        <f t="shared" si="15"/>
        <v>0.2643357272270852</v>
      </c>
      <c r="S46" s="18">
        <v>285324.82</v>
      </c>
      <c r="T46" s="20">
        <f t="shared" si="16"/>
        <v>-0.47908236647283808</v>
      </c>
      <c r="U46" s="18">
        <v>31065</v>
      </c>
      <c r="V46" s="20">
        <f t="shared" si="17"/>
        <v>-0.79611994565823752</v>
      </c>
      <c r="W46" s="18">
        <v>108291.59</v>
      </c>
      <c r="X46" s="20">
        <f t="shared" si="18"/>
        <v>1.1542848332935467</v>
      </c>
      <c r="Y46" s="19">
        <f t="shared" si="32"/>
        <v>2487402.2699999996</v>
      </c>
      <c r="Z46" s="20">
        <f t="shared" si="20"/>
        <v>1.9775828936881648</v>
      </c>
      <c r="AA46" s="18">
        <v>301305.65999999997</v>
      </c>
      <c r="AB46" s="17">
        <f t="shared" si="21"/>
        <v>-0.48883593180083129</v>
      </c>
      <c r="AC46" s="21">
        <f t="shared" si="33"/>
        <v>2186096.6099999994</v>
      </c>
      <c r="AD46" s="16">
        <f t="shared" si="23"/>
        <v>7.8892336579007161</v>
      </c>
    </row>
    <row r="47" spans="1:30" x14ac:dyDescent="0.25">
      <c r="A47" s="67">
        <v>44013</v>
      </c>
      <c r="B47" s="4">
        <v>11413037</v>
      </c>
      <c r="C47" s="10">
        <f t="shared" ref="C47:C78" si="34">(B47/B34)-1</f>
        <v>-0.18416752582680773</v>
      </c>
      <c r="D47" s="7">
        <f t="shared" si="29"/>
        <v>4802246.5999999996</v>
      </c>
      <c r="E47" s="10">
        <f t="shared" ref="E47:E78" si="35">(D47/D34)-1</f>
        <v>-9.2842153905430935E-2</v>
      </c>
      <c r="F47" s="4">
        <v>6610790.4000000004</v>
      </c>
      <c r="G47" s="16">
        <f t="shared" ref="G47:G78" si="36">(F47/F34)-1</f>
        <v>-0.23976410011828686</v>
      </c>
      <c r="H47" s="9">
        <f t="shared" si="30"/>
        <v>0.57923148763996823</v>
      </c>
      <c r="I47" s="21">
        <f t="shared" si="31"/>
        <v>4388811</v>
      </c>
      <c r="J47" s="16">
        <f t="shared" ref="J47:J78" si="37">(I47/I34)-1</f>
        <v>-0.23254086428118648</v>
      </c>
      <c r="K47" s="18">
        <v>420860</v>
      </c>
      <c r="L47" s="20">
        <f t="shared" ref="L47:L78" si="38">(K47/K34)-1</f>
        <v>7.4165011919285817E-2</v>
      </c>
      <c r="M47" s="18">
        <v>3080248</v>
      </c>
      <c r="N47" s="20">
        <f t="shared" ref="N47:N78" si="39">(M47/M34)-1</f>
        <v>-0.10685218288918752</v>
      </c>
      <c r="O47" s="18">
        <v>148229</v>
      </c>
      <c r="P47" s="20">
        <f t="shared" ref="P47:P78" si="40">(O47/O34)-1</f>
        <v>-0.71328847169325926</v>
      </c>
      <c r="Q47" s="18">
        <v>238405</v>
      </c>
      <c r="R47" s="20">
        <f t="shared" ref="R47:R78" si="41">(Q47/Q34)-1</f>
        <v>-7.4827212859011172E-2</v>
      </c>
      <c r="S47" s="18">
        <v>361306</v>
      </c>
      <c r="T47" s="20">
        <f t="shared" ref="T47:T78" si="42">(S47/S34)-1</f>
        <v>-0.22426238518715724</v>
      </c>
      <c r="U47" s="18">
        <v>21612</v>
      </c>
      <c r="V47" s="20">
        <f t="shared" ref="V47:V78" si="43">(U47/U34)-1</f>
        <v>-0.89136914485621943</v>
      </c>
      <c r="W47" s="18">
        <v>118151</v>
      </c>
      <c r="X47" s="20">
        <f t="shared" ref="X47:X78" si="44">(W47/W34)-1</f>
        <v>-0.73066515910339502</v>
      </c>
      <c r="Y47" s="19">
        <f t="shared" si="32"/>
        <v>2221979.4000000004</v>
      </c>
      <c r="Z47" s="20">
        <f t="shared" ref="Z47:Z78" si="45">(Y47/Y34)-1</f>
        <v>-0.25363907731037993</v>
      </c>
      <c r="AA47" s="18">
        <v>315119</v>
      </c>
      <c r="AB47" s="17">
        <f t="shared" ref="AB47:AB78" si="46">(AA47/AA34)-1</f>
        <v>-0.62047481747517153</v>
      </c>
      <c r="AC47" s="21">
        <f t="shared" si="33"/>
        <v>1906860.4000000004</v>
      </c>
      <c r="AD47" s="16">
        <f t="shared" ref="AD47:AD78" si="47">(AC47/AC34)-1</f>
        <v>-0.11176050348597333</v>
      </c>
    </row>
    <row r="48" spans="1:30" x14ac:dyDescent="0.25">
      <c r="A48" s="67">
        <v>44044</v>
      </c>
      <c r="B48" s="4">
        <v>11491012</v>
      </c>
      <c r="C48" s="10">
        <f t="shared" si="34"/>
        <v>-2.6876259116727086E-2</v>
      </c>
      <c r="D48" s="7">
        <f t="shared" si="29"/>
        <v>4670223.21</v>
      </c>
      <c r="E48" s="10">
        <f t="shared" si="35"/>
        <v>-2.8565632157856458E-2</v>
      </c>
      <c r="F48" s="4">
        <v>6820788.79</v>
      </c>
      <c r="G48" s="16">
        <f t="shared" si="36"/>
        <v>-2.571614519771237E-2</v>
      </c>
      <c r="H48" s="9">
        <f t="shared" si="30"/>
        <v>0.59357598704100212</v>
      </c>
      <c r="I48" s="21">
        <f t="shared" si="31"/>
        <v>4701126</v>
      </c>
      <c r="J48" s="16">
        <f t="shared" si="37"/>
        <v>-0.19692821745391553</v>
      </c>
      <c r="K48" s="18">
        <v>474053</v>
      </c>
      <c r="L48" s="20">
        <f t="shared" si="38"/>
        <v>-0.1537351987161063</v>
      </c>
      <c r="M48" s="18">
        <v>3193273</v>
      </c>
      <c r="N48" s="20">
        <f t="shared" si="39"/>
        <v>-0.1473682552261617</v>
      </c>
      <c r="O48" s="18">
        <v>169222</v>
      </c>
      <c r="P48" s="20">
        <f t="shared" si="40"/>
        <v>-0.6732005191033108</v>
      </c>
      <c r="Q48" s="18">
        <v>210064</v>
      </c>
      <c r="R48" s="20">
        <f t="shared" si="41"/>
        <v>-0.31189276659307252</v>
      </c>
      <c r="S48" s="18">
        <v>353350</v>
      </c>
      <c r="T48" s="20">
        <f t="shared" si="42"/>
        <v>-0.17810672633640523</v>
      </c>
      <c r="U48" s="18">
        <v>28716</v>
      </c>
      <c r="V48" s="20">
        <f t="shared" si="43"/>
        <v>-0.84535682743467677</v>
      </c>
      <c r="W48" s="18">
        <v>272448</v>
      </c>
      <c r="X48" s="20">
        <f t="shared" si="44"/>
        <v>1.4800691821036822</v>
      </c>
      <c r="Y48" s="19">
        <f t="shared" si="32"/>
        <v>2119662.79</v>
      </c>
      <c r="Z48" s="20">
        <f t="shared" si="45"/>
        <v>0.84817837884209935</v>
      </c>
      <c r="AA48" s="18">
        <v>308251</v>
      </c>
      <c r="AB48" s="17">
        <f t="shared" si="46"/>
        <v>-0.24564395978738607</v>
      </c>
      <c r="AC48" s="21">
        <f t="shared" si="33"/>
        <v>1811411.79</v>
      </c>
      <c r="AD48" s="16">
        <f t="shared" si="47"/>
        <v>1.4536065824713322</v>
      </c>
    </row>
    <row r="49" spans="1:30" x14ac:dyDescent="0.25">
      <c r="A49" s="67">
        <v>44075</v>
      </c>
      <c r="B49" s="4">
        <v>10323500</v>
      </c>
      <c r="C49" s="10">
        <f t="shared" si="34"/>
        <v>-0.23878182971821982</v>
      </c>
      <c r="D49" s="7">
        <f t="shared" si="29"/>
        <v>4316448.34</v>
      </c>
      <c r="E49" s="10">
        <f t="shared" si="35"/>
        <v>-0.33884600173573198</v>
      </c>
      <c r="F49" s="4">
        <v>6007051.6600000001</v>
      </c>
      <c r="G49" s="16">
        <f t="shared" si="36"/>
        <v>-0.14589541225938796</v>
      </c>
      <c r="H49" s="9">
        <f t="shared" si="30"/>
        <v>0.58188130575870589</v>
      </c>
      <c r="I49" s="21">
        <f t="shared" si="31"/>
        <v>4273476</v>
      </c>
      <c r="J49" s="16">
        <f t="shared" si="37"/>
        <v>-0.25198282115121251</v>
      </c>
      <c r="K49" s="18">
        <v>320636</v>
      </c>
      <c r="L49" s="20">
        <f t="shared" si="38"/>
        <v>-0.54599119554028208</v>
      </c>
      <c r="M49" s="18">
        <v>3088101</v>
      </c>
      <c r="N49" s="20">
        <f t="shared" si="39"/>
        <v>-0.14070854722164094</v>
      </c>
      <c r="O49" s="18">
        <v>176127</v>
      </c>
      <c r="P49" s="20">
        <f t="shared" si="40"/>
        <v>-0.66377903303088903</v>
      </c>
      <c r="Q49" s="18">
        <v>225869</v>
      </c>
      <c r="R49" s="20">
        <f t="shared" si="41"/>
        <v>-0.20488259935931286</v>
      </c>
      <c r="S49" s="18">
        <v>293290</v>
      </c>
      <c r="T49" s="20">
        <f t="shared" si="42"/>
        <v>3.9467783950679625E-3</v>
      </c>
      <c r="U49" s="18">
        <v>26458</v>
      </c>
      <c r="V49" s="20">
        <f t="shared" si="43"/>
        <v>-0.86413051851014988</v>
      </c>
      <c r="W49" s="18">
        <v>142995</v>
      </c>
      <c r="X49" s="20">
        <f t="shared" si="44"/>
        <v>0.2089328891970037</v>
      </c>
      <c r="Y49" s="19">
        <f t="shared" si="32"/>
        <v>1733575.6600000001</v>
      </c>
      <c r="Z49" s="20">
        <f t="shared" si="45"/>
        <v>0.31323032986512245</v>
      </c>
      <c r="AA49" s="18">
        <v>307784</v>
      </c>
      <c r="AB49" s="17">
        <f t="shared" si="46"/>
        <v>-0.24678680853979662</v>
      </c>
      <c r="AC49" s="21">
        <f t="shared" si="33"/>
        <v>1425791.6600000001</v>
      </c>
      <c r="AD49" s="16">
        <f t="shared" si="47"/>
        <v>0.56429942388944321</v>
      </c>
    </row>
    <row r="50" spans="1:30" x14ac:dyDescent="0.25">
      <c r="A50" s="67">
        <v>44105</v>
      </c>
      <c r="B50" s="4">
        <v>12795408</v>
      </c>
      <c r="C50" s="10">
        <f t="shared" si="34"/>
        <v>0.29717879957356153</v>
      </c>
      <c r="D50" s="7">
        <f t="shared" si="29"/>
        <v>5478261.5899999999</v>
      </c>
      <c r="E50" s="10">
        <f t="shared" si="35"/>
        <v>0.30665338529723773</v>
      </c>
      <c r="F50" s="4">
        <v>7317146.4100000001</v>
      </c>
      <c r="G50" s="16">
        <f t="shared" si="36"/>
        <v>0.29017474711992142</v>
      </c>
      <c r="H50" s="9">
        <f t="shared" si="30"/>
        <v>0.57185721705786952</v>
      </c>
      <c r="I50" s="21">
        <f t="shared" si="31"/>
        <v>4615869</v>
      </c>
      <c r="J50" s="16">
        <f t="shared" si="37"/>
        <v>-0.21317763717834359</v>
      </c>
      <c r="K50" s="18">
        <v>537779</v>
      </c>
      <c r="L50" s="20">
        <f t="shared" si="38"/>
        <v>-0.16475397487330257</v>
      </c>
      <c r="M50" s="18">
        <v>3035236</v>
      </c>
      <c r="N50" s="20">
        <f t="shared" si="39"/>
        <v>-0.20510953053255088</v>
      </c>
      <c r="O50" s="18">
        <v>171197</v>
      </c>
      <c r="P50" s="20">
        <f t="shared" si="40"/>
        <v>-0.664769211488905</v>
      </c>
      <c r="Q50" s="18">
        <v>295113</v>
      </c>
      <c r="R50" s="20">
        <f t="shared" si="41"/>
        <v>1.0955243820975236E-2</v>
      </c>
      <c r="S50" s="18">
        <v>368393</v>
      </c>
      <c r="T50" s="20">
        <f t="shared" si="42"/>
        <v>-6.5907511929936713E-2</v>
      </c>
      <c r="U50" s="18">
        <v>25862</v>
      </c>
      <c r="V50" s="20">
        <f t="shared" si="43"/>
        <v>-0.5559485585755739</v>
      </c>
      <c r="W50" s="18">
        <v>182289</v>
      </c>
      <c r="X50" s="20">
        <f t="shared" si="44"/>
        <v>0.22380213892972955</v>
      </c>
      <c r="Y50" s="19">
        <f t="shared" si="32"/>
        <v>2701277.41</v>
      </c>
      <c r="Z50" s="20">
        <f t="shared" si="45"/>
        <v>-14.850520546119011</v>
      </c>
      <c r="AA50" s="18">
        <v>259099</v>
      </c>
      <c r="AB50" s="17">
        <f t="shared" si="46"/>
        <v>-0.52183052323864643</v>
      </c>
      <c r="AC50" s="21">
        <f t="shared" si="33"/>
        <v>2442178.41</v>
      </c>
      <c r="AD50" s="16">
        <f t="shared" si="47"/>
        <v>-4.314184180947751</v>
      </c>
    </row>
    <row r="51" spans="1:30" x14ac:dyDescent="0.25">
      <c r="A51" s="67">
        <v>44136</v>
      </c>
      <c r="B51" s="4">
        <v>12202888</v>
      </c>
      <c r="C51" s="10">
        <f t="shared" si="34"/>
        <v>0.12923570223919789</v>
      </c>
      <c r="D51" s="7">
        <f t="shared" si="29"/>
        <v>4756643.4000000004</v>
      </c>
      <c r="E51" s="10">
        <f t="shared" si="35"/>
        <v>4.2654296462061536E-2</v>
      </c>
      <c r="F51" s="4">
        <v>7446244.5999999996</v>
      </c>
      <c r="G51" s="16">
        <f t="shared" si="36"/>
        <v>0.19249189168583913</v>
      </c>
      <c r="H51" s="9">
        <f t="shared" si="30"/>
        <v>0.61020346986713303</v>
      </c>
      <c r="I51" s="21">
        <f t="shared" si="31"/>
        <v>4838977</v>
      </c>
      <c r="J51" s="16">
        <f t="shared" si="37"/>
        <v>-0.13597518938910347</v>
      </c>
      <c r="K51" s="18">
        <v>637156</v>
      </c>
      <c r="L51" s="20">
        <f t="shared" si="38"/>
        <v>-2.765098622715656E-2</v>
      </c>
      <c r="M51" s="18">
        <v>3251708</v>
      </c>
      <c r="N51" s="20">
        <f t="shared" si="39"/>
        <v>-9.7252313429272319E-2</v>
      </c>
      <c r="O51" s="18">
        <v>204734</v>
      </c>
      <c r="P51" s="20">
        <f t="shared" si="40"/>
        <v>-0.59025173218481441</v>
      </c>
      <c r="Q51" s="18">
        <v>253648</v>
      </c>
      <c r="R51" s="20">
        <f t="shared" si="41"/>
        <v>0.18937827357088266</v>
      </c>
      <c r="S51" s="18">
        <v>316062</v>
      </c>
      <c r="T51" s="20">
        <f t="shared" si="42"/>
        <v>-0.26082584169808321</v>
      </c>
      <c r="U51" s="18">
        <v>20680</v>
      </c>
      <c r="V51" s="20">
        <f t="shared" si="43"/>
        <v>-0.80057282274318453</v>
      </c>
      <c r="W51" s="18">
        <v>154989</v>
      </c>
      <c r="X51" s="20">
        <f t="shared" si="44"/>
        <v>0.56529247798335613</v>
      </c>
      <c r="Y51" s="19">
        <f t="shared" si="32"/>
        <v>2607267.5999999996</v>
      </c>
      <c r="Z51" s="20">
        <f t="shared" si="45"/>
        <v>3.0500254650088285</v>
      </c>
      <c r="AA51" s="18">
        <v>263586</v>
      </c>
      <c r="AB51" s="17">
        <f t="shared" si="46"/>
        <v>-0.51606826810801287</v>
      </c>
      <c r="AC51" s="21">
        <f t="shared" si="33"/>
        <v>2343681.5999999996</v>
      </c>
      <c r="AD51" s="16">
        <f t="shared" si="47"/>
        <v>22.652114099008941</v>
      </c>
    </row>
    <row r="52" spans="1:30" x14ac:dyDescent="0.25">
      <c r="A52" s="67">
        <v>44166</v>
      </c>
      <c r="B52" s="4">
        <v>12398731</v>
      </c>
      <c r="C52" s="10">
        <f t="shared" si="34"/>
        <v>3.3232146775314941E-2</v>
      </c>
      <c r="D52" s="7">
        <f t="shared" si="29"/>
        <v>5192102.1900000004</v>
      </c>
      <c r="E52" s="10">
        <f t="shared" si="35"/>
        <v>-0.13748959426262453</v>
      </c>
      <c r="F52" s="4">
        <v>7206628.8099999996</v>
      </c>
      <c r="G52" s="16">
        <f t="shared" si="36"/>
        <v>0.20508338446046293</v>
      </c>
      <c r="H52" s="9">
        <f t="shared" si="30"/>
        <v>0.58123922601433964</v>
      </c>
      <c r="I52" s="21">
        <f t="shared" si="31"/>
        <v>4724136</v>
      </c>
      <c r="J52" s="16">
        <f t="shared" si="37"/>
        <v>-0.22854812331443675</v>
      </c>
      <c r="K52" s="18">
        <v>642294</v>
      </c>
      <c r="L52" s="20">
        <f t="shared" si="38"/>
        <v>-6.1119183284461753E-2</v>
      </c>
      <c r="M52" s="18">
        <v>3013558</v>
      </c>
      <c r="N52" s="20">
        <f t="shared" si="39"/>
        <v>-0.22798545612538901</v>
      </c>
      <c r="O52" s="18">
        <v>211191</v>
      </c>
      <c r="P52" s="20">
        <f t="shared" si="40"/>
        <v>-0.58664565881155561</v>
      </c>
      <c r="Q52" s="18">
        <v>282853</v>
      </c>
      <c r="R52" s="20">
        <f t="shared" si="41"/>
        <v>-5.5519567249899815E-2</v>
      </c>
      <c r="S52" s="18">
        <v>416417</v>
      </c>
      <c r="T52" s="20">
        <f t="shared" si="42"/>
        <v>4.1571097331895901E-2</v>
      </c>
      <c r="U52" s="18">
        <v>31780</v>
      </c>
      <c r="V52" s="20">
        <f t="shared" si="43"/>
        <v>-0.81857624022378261</v>
      </c>
      <c r="W52" s="18">
        <v>126043</v>
      </c>
      <c r="X52" s="20">
        <f t="shared" si="44"/>
        <v>-0.16374408683478969</v>
      </c>
      <c r="Y52" s="19">
        <f t="shared" si="32"/>
        <v>2482492.8099999996</v>
      </c>
      <c r="Z52" s="20">
        <f t="shared" si="45"/>
        <v>-18.299119257999774</v>
      </c>
      <c r="AA52" s="18">
        <v>271783</v>
      </c>
      <c r="AB52" s="17">
        <f t="shared" si="46"/>
        <v>-0.51286996327476531</v>
      </c>
      <c r="AC52" s="21">
        <f t="shared" si="33"/>
        <v>2210709.8099999996</v>
      </c>
      <c r="AD52" s="16">
        <f t="shared" si="47"/>
        <v>-4.1517138677931253</v>
      </c>
    </row>
    <row r="53" spans="1:30" x14ac:dyDescent="0.25">
      <c r="A53" s="22" t="s">
        <v>19</v>
      </c>
      <c r="B53" s="23">
        <f>SUM(B41:B52)</f>
        <v>133139885.69</v>
      </c>
      <c r="C53" s="24">
        <f t="shared" si="34"/>
        <v>3.9019521916849431E-2</v>
      </c>
      <c r="D53" s="26">
        <f>SUM(D41:D52)</f>
        <v>56602228.890000008</v>
      </c>
      <c r="E53" s="24">
        <f t="shared" si="35"/>
        <v>5.1514395750504205E-2</v>
      </c>
      <c r="F53" s="23">
        <f>SUM(F41:F52)</f>
        <v>76537656.799999997</v>
      </c>
      <c r="G53" s="27">
        <f t="shared" si="36"/>
        <v>2.9968472117026801E-2</v>
      </c>
      <c r="H53" s="28">
        <f>AVERAGE(H41:H52)</f>
        <v>0.57460508069201599</v>
      </c>
      <c r="I53" s="29">
        <f>SUM(I41:I52)</f>
        <v>54318636.109999999</v>
      </c>
      <c r="J53" s="27">
        <f t="shared" si="37"/>
        <v>-0.10936331955623546</v>
      </c>
      <c r="K53" s="30">
        <f>SUM(K41:K52)</f>
        <v>5693780.5</v>
      </c>
      <c r="L53" s="31">
        <f t="shared" si="38"/>
        <v>-0.12330759142116776</v>
      </c>
      <c r="M53" s="30">
        <f>SUM(M41:M52)</f>
        <v>36696709.269999996</v>
      </c>
      <c r="N53" s="31">
        <f t="shared" si="39"/>
        <v>-1.3936098565360711E-2</v>
      </c>
      <c r="O53" s="30">
        <f>SUM(O41:O52)</f>
        <v>2879503.06</v>
      </c>
      <c r="P53" s="31">
        <f t="shared" si="40"/>
        <v>-0.53231998277081316</v>
      </c>
      <c r="Q53" s="30">
        <f>SUM(Q41:Q52)</f>
        <v>2931799.59</v>
      </c>
      <c r="R53" s="31">
        <f t="shared" si="41"/>
        <v>-4.6783131589984706E-2</v>
      </c>
      <c r="S53" s="30">
        <f>SUM(S41:S52)</f>
        <v>3984742.71</v>
      </c>
      <c r="T53" s="31">
        <f t="shared" si="42"/>
        <v>-0.10373750746465049</v>
      </c>
      <c r="U53" s="30">
        <f>SUM(U41:U52)</f>
        <v>459271</v>
      </c>
      <c r="V53" s="31">
        <f t="shared" si="43"/>
        <v>-0.76905237104609836</v>
      </c>
      <c r="W53" s="30">
        <f>SUM(W41:W52)</f>
        <v>1672829.98</v>
      </c>
      <c r="X53" s="31">
        <f t="shared" si="44"/>
        <v>3.8181390522482372E-2</v>
      </c>
      <c r="Y53" s="33">
        <f>SUM(Y41:Y52)</f>
        <v>22219020.690000001</v>
      </c>
      <c r="Z53" s="31">
        <f t="shared" si="45"/>
        <v>0.6678275272898806</v>
      </c>
      <c r="AA53" s="30">
        <f>SUM(AA41:AA52)</f>
        <v>3613178.0599999996</v>
      </c>
      <c r="AB53" s="31">
        <f t="shared" si="46"/>
        <v>-0.50257914253165525</v>
      </c>
      <c r="AC53" s="29">
        <f>SUM(AC41:AC52)</f>
        <v>18605842.630000003</v>
      </c>
      <c r="AD53" s="27">
        <f t="shared" si="47"/>
        <v>2.0711283771851212</v>
      </c>
    </row>
    <row r="54" spans="1:30" x14ac:dyDescent="0.25">
      <c r="A54" s="67">
        <v>44197</v>
      </c>
      <c r="B54" s="4">
        <v>6667726</v>
      </c>
      <c r="C54" s="10">
        <f t="shared" si="34"/>
        <v>0.11519698971410941</v>
      </c>
      <c r="D54" s="7">
        <f t="shared" ref="D54:D65" si="48">B54-F54</f>
        <v>2665663.61</v>
      </c>
      <c r="E54" s="10">
        <f t="shared" si="35"/>
        <v>5.0303308229505683E-2</v>
      </c>
      <c r="F54" s="4">
        <v>4002062.39</v>
      </c>
      <c r="G54" s="16">
        <f t="shared" si="36"/>
        <v>0.16306129630681276</v>
      </c>
      <c r="H54" s="9">
        <f t="shared" ref="H54:H65" si="49">F54/B54</f>
        <v>0.60021398449786334</v>
      </c>
      <c r="I54" s="21">
        <f t="shared" ref="I54:I65" si="50">K54+M54+O54+Q54+S54+U54+W54</f>
        <v>4268079</v>
      </c>
      <c r="J54" s="16">
        <f t="shared" si="37"/>
        <v>-0.10779434245890085</v>
      </c>
      <c r="K54" s="18">
        <v>417771</v>
      </c>
      <c r="L54" s="20">
        <f t="shared" si="38"/>
        <v>-6.9869287302990246E-2</v>
      </c>
      <c r="M54" s="18">
        <v>3101693</v>
      </c>
      <c r="N54" s="20">
        <f t="shared" si="39"/>
        <v>-2.6513956721092469E-2</v>
      </c>
      <c r="O54" s="18">
        <v>182692</v>
      </c>
      <c r="P54" s="20">
        <f t="shared" si="40"/>
        <v>-0.63012947047688461</v>
      </c>
      <c r="Q54" s="18">
        <v>191758</v>
      </c>
      <c r="R54" s="20">
        <f t="shared" si="41"/>
        <v>-0.14527682069614134</v>
      </c>
      <c r="S54" s="18">
        <v>205543</v>
      </c>
      <c r="T54" s="20">
        <f t="shared" si="42"/>
        <v>-0.1728019446154837</v>
      </c>
      <c r="U54" s="18">
        <v>25460</v>
      </c>
      <c r="V54" s="20">
        <f t="shared" si="43"/>
        <v>-0.32481171104274953</v>
      </c>
      <c r="W54" s="18">
        <v>143162</v>
      </c>
      <c r="X54" s="20">
        <f t="shared" si="44"/>
        <v>-5.4050298735583979E-3</v>
      </c>
      <c r="Y54" s="19">
        <f t="shared" ref="Y54:Y65" si="51">F54-I54</f>
        <v>-266016.60999999987</v>
      </c>
      <c r="Z54" s="20">
        <f t="shared" si="45"/>
        <v>-0.80188909444549517</v>
      </c>
      <c r="AA54" s="18">
        <v>310968</v>
      </c>
      <c r="AB54" s="17">
        <f t="shared" si="46"/>
        <v>1.1074189919430877E-2</v>
      </c>
      <c r="AC54" s="21">
        <f t="shared" ref="AC54:AC65" si="52">Y54-AA54</f>
        <v>-576984.60999999987</v>
      </c>
      <c r="AD54" s="16">
        <f t="shared" si="47"/>
        <v>-0.65038188072794823</v>
      </c>
    </row>
    <row r="55" spans="1:30" x14ac:dyDescent="0.25">
      <c r="A55" s="67">
        <v>44228</v>
      </c>
      <c r="B55" s="4">
        <v>7611996</v>
      </c>
      <c r="C55" s="10">
        <f t="shared" si="34"/>
        <v>3.7078665315730674E-3</v>
      </c>
      <c r="D55" s="7">
        <f t="shared" si="48"/>
        <v>2796197.7800000003</v>
      </c>
      <c r="E55" s="10">
        <f t="shared" si="35"/>
        <v>-0.17021082510841468</v>
      </c>
      <c r="F55" s="4">
        <v>4815798.22</v>
      </c>
      <c r="G55" s="16">
        <f t="shared" si="36"/>
        <v>0.14278022366432164</v>
      </c>
      <c r="H55" s="9">
        <f t="shared" si="49"/>
        <v>0.63265905814979406</v>
      </c>
      <c r="I55" s="21">
        <f t="shared" si="50"/>
        <v>4129333</v>
      </c>
      <c r="J55" s="16">
        <f t="shared" si="37"/>
        <v>-0.12413035215222989</v>
      </c>
      <c r="K55" s="18">
        <v>487920</v>
      </c>
      <c r="L55" s="20">
        <f t="shared" si="38"/>
        <v>-8.3528991904430971E-2</v>
      </c>
      <c r="M55" s="18">
        <v>2791665</v>
      </c>
      <c r="N55" s="20">
        <f t="shared" si="39"/>
        <v>-4.0717692498006941E-2</v>
      </c>
      <c r="O55" s="18">
        <v>188115</v>
      </c>
      <c r="P55" s="20">
        <f t="shared" si="40"/>
        <v>-0.61209003082823821</v>
      </c>
      <c r="Q55" s="18">
        <v>216109</v>
      </c>
      <c r="R55" s="20">
        <f t="shared" si="41"/>
        <v>-5.3154341244561643E-2</v>
      </c>
      <c r="S55" s="18">
        <v>317646</v>
      </c>
      <c r="T55" s="20">
        <f t="shared" si="42"/>
        <v>2.5769700257697092E-2</v>
      </c>
      <c r="U55" s="18">
        <v>21090</v>
      </c>
      <c r="V55" s="20">
        <f t="shared" si="43"/>
        <v>-0.86001685904115865</v>
      </c>
      <c r="W55" s="18">
        <v>106788</v>
      </c>
      <c r="X55" s="20">
        <f t="shared" si="44"/>
        <v>8.4263217212074526E-2</v>
      </c>
      <c r="Y55" s="19">
        <f t="shared" si="51"/>
        <v>686465.21999999974</v>
      </c>
      <c r="Z55" s="20">
        <f t="shared" si="45"/>
        <v>-2.3717098103081993</v>
      </c>
      <c r="AA55" s="18">
        <v>348625</v>
      </c>
      <c r="AB55" s="17">
        <f t="shared" si="46"/>
        <v>8.3463602770931899E-2</v>
      </c>
      <c r="AC55" s="21">
        <f t="shared" si="52"/>
        <v>337840.21999999974</v>
      </c>
      <c r="AD55" s="16">
        <f t="shared" si="47"/>
        <v>-1.4108908979442853</v>
      </c>
    </row>
    <row r="56" spans="1:30" x14ac:dyDescent="0.25">
      <c r="A56" s="67">
        <v>44256</v>
      </c>
      <c r="B56" s="4">
        <v>12074039</v>
      </c>
      <c r="C56" s="10">
        <f t="shared" si="34"/>
        <v>-3.5976469087193097E-2</v>
      </c>
      <c r="D56" s="7">
        <f t="shared" si="48"/>
        <v>5524938.8700000001</v>
      </c>
      <c r="E56" s="10">
        <f t="shared" si="35"/>
        <v>-0.10587396231438928</v>
      </c>
      <c r="F56" s="4">
        <v>6549100.1299999999</v>
      </c>
      <c r="G56" s="16">
        <f t="shared" si="36"/>
        <v>3.2088834355732399E-2</v>
      </c>
      <c r="H56" s="9">
        <f t="shared" si="49"/>
        <v>0.54241170912235748</v>
      </c>
      <c r="I56" s="21">
        <f t="shared" si="50"/>
        <v>4603275</v>
      </c>
      <c r="J56" s="16">
        <f t="shared" si="37"/>
        <v>7.1616386580150904E-2</v>
      </c>
      <c r="K56" s="18">
        <v>565755</v>
      </c>
      <c r="L56" s="20">
        <f t="shared" si="38"/>
        <v>0.4833639223911903</v>
      </c>
      <c r="M56" s="18">
        <v>2737046</v>
      </c>
      <c r="N56" s="20">
        <f t="shared" si="39"/>
        <v>-4.3704452691593065E-2</v>
      </c>
      <c r="O56" s="18">
        <v>192535</v>
      </c>
      <c r="P56" s="20">
        <f t="shared" si="40"/>
        <v>-0.51430704845703845</v>
      </c>
      <c r="Q56" s="18">
        <v>245078</v>
      </c>
      <c r="R56" s="20">
        <f t="shared" si="41"/>
        <v>9.3595355706973971E-2</v>
      </c>
      <c r="S56" s="18">
        <v>454905</v>
      </c>
      <c r="T56" s="20">
        <f t="shared" si="42"/>
        <v>0.51836943134368707</v>
      </c>
      <c r="U56" s="18">
        <v>33017</v>
      </c>
      <c r="V56" s="20">
        <f t="shared" si="43"/>
        <v>4.6696677656606678E-2</v>
      </c>
      <c r="W56" s="18">
        <v>374939</v>
      </c>
      <c r="X56" s="20">
        <f t="shared" si="44"/>
        <v>2.7328906234443759</v>
      </c>
      <c r="Y56" s="19">
        <f t="shared" si="51"/>
        <v>1945825.13</v>
      </c>
      <c r="Z56" s="20">
        <f t="shared" si="45"/>
        <v>-5.0744792272098938E-2</v>
      </c>
      <c r="AA56" s="18">
        <v>483963</v>
      </c>
      <c r="AB56" s="17">
        <f t="shared" si="46"/>
        <v>0.46431813230702201</v>
      </c>
      <c r="AC56" s="21">
        <f t="shared" si="52"/>
        <v>1461862.13</v>
      </c>
      <c r="AD56" s="16">
        <f t="shared" si="47"/>
        <v>-0.14975391953298556</v>
      </c>
    </row>
    <row r="57" spans="1:30" x14ac:dyDescent="0.25">
      <c r="A57" s="67">
        <v>44287</v>
      </c>
      <c r="B57" s="4">
        <v>13512832</v>
      </c>
      <c r="C57" s="10">
        <f t="shared" si="34"/>
        <v>0.16717808872148732</v>
      </c>
      <c r="D57" s="7">
        <f t="shared" si="48"/>
        <v>5642977.1600000001</v>
      </c>
      <c r="E57" s="10">
        <f t="shared" si="35"/>
        <v>0.16772175468867712</v>
      </c>
      <c r="F57" s="4">
        <v>7869854.8399999999</v>
      </c>
      <c r="G57" s="16">
        <f t="shared" si="36"/>
        <v>0.16678857163450944</v>
      </c>
      <c r="H57" s="9">
        <f t="shared" si="49"/>
        <v>0.5823986296876924</v>
      </c>
      <c r="I57" s="21">
        <f t="shared" si="50"/>
        <v>5300007.0999999996</v>
      </c>
      <c r="J57" s="16">
        <f t="shared" si="37"/>
        <v>0.26802567559067403</v>
      </c>
      <c r="K57" s="18">
        <v>600922.1</v>
      </c>
      <c r="L57" s="20">
        <f t="shared" si="38"/>
        <v>0.71515612512843929</v>
      </c>
      <c r="M57" s="18">
        <v>3221481</v>
      </c>
      <c r="N57" s="20">
        <f t="shared" si="39"/>
        <v>0.10845350995207359</v>
      </c>
      <c r="O57" s="18">
        <v>192281</v>
      </c>
      <c r="P57" s="20">
        <f t="shared" si="40"/>
        <v>0.13635853237233886</v>
      </c>
      <c r="Q57" s="18">
        <v>217387</v>
      </c>
      <c r="R57" s="20">
        <f t="shared" si="41"/>
        <v>-0.18212442979019416</v>
      </c>
      <c r="S57" s="18">
        <v>495692</v>
      </c>
      <c r="T57" s="20">
        <f t="shared" si="42"/>
        <v>0.43685358480754277</v>
      </c>
      <c r="U57" s="18">
        <v>56531</v>
      </c>
      <c r="V57" s="20">
        <f t="shared" si="43"/>
        <v>1.6302051830828641</v>
      </c>
      <c r="W57" s="18">
        <v>515713</v>
      </c>
      <c r="X57" s="20">
        <f t="shared" si="44"/>
        <v>3.2408055699278631</v>
      </c>
      <c r="Y57" s="19">
        <f t="shared" si="51"/>
        <v>2569847.7400000002</v>
      </c>
      <c r="Z57" s="20">
        <f t="shared" si="45"/>
        <v>1.8300426009612014E-3</v>
      </c>
      <c r="AA57" s="18">
        <v>408264</v>
      </c>
      <c r="AB57" s="17">
        <f t="shared" si="46"/>
        <v>0.23454214224014147</v>
      </c>
      <c r="AC57" s="21">
        <f t="shared" si="52"/>
        <v>2161583.7400000002</v>
      </c>
      <c r="AD57" s="16">
        <f t="shared" si="47"/>
        <v>-3.2611530020063118E-2</v>
      </c>
    </row>
    <row r="58" spans="1:30" x14ac:dyDescent="0.25">
      <c r="A58" s="67">
        <v>44317</v>
      </c>
      <c r="B58" s="4">
        <v>11412354.42</v>
      </c>
      <c r="C58" s="10">
        <f t="shared" si="34"/>
        <v>-0.11859604018954595</v>
      </c>
      <c r="D58" s="7">
        <f t="shared" si="48"/>
        <v>4805563.43</v>
      </c>
      <c r="E58" s="10">
        <f t="shared" si="35"/>
        <v>-0.10062916835940983</v>
      </c>
      <c r="F58" s="4">
        <v>6606790.9900000002</v>
      </c>
      <c r="G58" s="16">
        <f t="shared" si="36"/>
        <v>-0.13122004666530829</v>
      </c>
      <c r="H58" s="9">
        <f t="shared" si="49"/>
        <v>0.57891568618143219</v>
      </c>
      <c r="I58" s="21">
        <f t="shared" si="50"/>
        <v>5224551</v>
      </c>
      <c r="J58" s="16">
        <f t="shared" si="37"/>
        <v>0.15815436725606968</v>
      </c>
      <c r="K58" s="18">
        <v>500932</v>
      </c>
      <c r="L58" s="20">
        <f t="shared" si="38"/>
        <v>-7.2642056292391288E-3</v>
      </c>
      <c r="M58" s="18">
        <v>3535030</v>
      </c>
      <c r="N58" s="20">
        <f t="shared" si="39"/>
        <v>0.12643100931504336</v>
      </c>
      <c r="O58" s="18">
        <v>187538</v>
      </c>
      <c r="P58" s="20">
        <f t="shared" si="40"/>
        <v>0.23554092385899517</v>
      </c>
      <c r="Q58" s="18">
        <v>228492</v>
      </c>
      <c r="R58" s="20">
        <f t="shared" si="41"/>
        <v>0.17928031550697976</v>
      </c>
      <c r="S58" s="18">
        <v>420345</v>
      </c>
      <c r="T58" s="20">
        <f t="shared" si="42"/>
        <v>8.3733379699677979E-2</v>
      </c>
      <c r="U58" s="18">
        <v>47302</v>
      </c>
      <c r="V58" s="20">
        <f t="shared" si="43"/>
        <v>0.49255332576044419</v>
      </c>
      <c r="W58" s="18">
        <v>304912</v>
      </c>
      <c r="X58" s="20">
        <f t="shared" si="44"/>
        <v>1.9561471042678042</v>
      </c>
      <c r="Y58" s="19">
        <f t="shared" si="51"/>
        <v>1382239.9900000002</v>
      </c>
      <c r="Z58" s="20">
        <f t="shared" si="45"/>
        <v>-0.55319027765388751</v>
      </c>
      <c r="AA58" s="18">
        <v>401314</v>
      </c>
      <c r="AB58" s="17">
        <f t="shared" si="46"/>
        <v>0.35709876541122454</v>
      </c>
      <c r="AC58" s="21">
        <f t="shared" si="52"/>
        <v>980925.99000000022</v>
      </c>
      <c r="AD58" s="16">
        <f t="shared" si="47"/>
        <v>-0.64940154350517587</v>
      </c>
    </row>
    <row r="59" spans="1:30" x14ac:dyDescent="0.25">
      <c r="A59" s="67">
        <v>44348</v>
      </c>
      <c r="B59" s="4">
        <v>11694165</v>
      </c>
      <c r="C59" s="10">
        <f t="shared" si="34"/>
        <v>-1.7508088178707193E-2</v>
      </c>
      <c r="D59" s="7">
        <f t="shared" si="48"/>
        <v>5254086.76</v>
      </c>
      <c r="E59" s="10">
        <f t="shared" si="35"/>
        <v>2.545317182349538E-2</v>
      </c>
      <c r="F59" s="4">
        <v>6440078.2400000002</v>
      </c>
      <c r="G59" s="16">
        <f t="shared" si="36"/>
        <v>-4.9979433410988539E-2</v>
      </c>
      <c r="H59" s="9">
        <f t="shared" si="49"/>
        <v>0.55070868591301736</v>
      </c>
      <c r="I59" s="21">
        <f t="shared" si="50"/>
        <v>5578424.0499999998</v>
      </c>
      <c r="J59" s="16">
        <f t="shared" si="37"/>
        <v>0.29988328969998612</v>
      </c>
      <c r="K59" s="18">
        <v>597393.05000000005</v>
      </c>
      <c r="L59" s="20">
        <f t="shared" si="38"/>
        <v>0.34820662059751495</v>
      </c>
      <c r="M59" s="18">
        <v>3589762</v>
      </c>
      <c r="N59" s="20">
        <f t="shared" si="39"/>
        <v>0.18412286138675582</v>
      </c>
      <c r="O59" s="18">
        <v>184495</v>
      </c>
      <c r="P59" s="20">
        <f t="shared" si="40"/>
        <v>0.79967257752385068</v>
      </c>
      <c r="Q59" s="18">
        <v>336616</v>
      </c>
      <c r="R59" s="20">
        <f t="shared" si="41"/>
        <v>0.16233835338806912</v>
      </c>
      <c r="S59" s="18">
        <v>411521</v>
      </c>
      <c r="T59" s="20">
        <f t="shared" si="42"/>
        <v>0.44228952812447231</v>
      </c>
      <c r="U59" s="18">
        <v>75265</v>
      </c>
      <c r="V59" s="20">
        <f t="shared" si="43"/>
        <v>1.4228231128279414</v>
      </c>
      <c r="W59" s="18">
        <v>383372</v>
      </c>
      <c r="X59" s="20">
        <f t="shared" si="44"/>
        <v>2.5401825755813543</v>
      </c>
      <c r="Y59" s="19">
        <f t="shared" si="51"/>
        <v>861654.19000000041</v>
      </c>
      <c r="Z59" s="20">
        <f t="shared" si="45"/>
        <v>-0.65359274597751305</v>
      </c>
      <c r="AA59" s="18">
        <v>401290</v>
      </c>
      <c r="AB59" s="17">
        <f t="shared" si="46"/>
        <v>0.33183691272178573</v>
      </c>
      <c r="AC59" s="21">
        <f t="shared" si="52"/>
        <v>460364.19000000041</v>
      </c>
      <c r="AD59" s="16">
        <f t="shared" si="47"/>
        <v>-0.7894126966328352</v>
      </c>
    </row>
    <row r="60" spans="1:30" x14ac:dyDescent="0.25">
      <c r="A60" s="67">
        <v>44378</v>
      </c>
      <c r="B60" s="4">
        <v>10900540</v>
      </c>
      <c r="C60" s="10">
        <f t="shared" si="34"/>
        <v>-4.4904524536282464E-2</v>
      </c>
      <c r="D60" s="7">
        <f t="shared" si="48"/>
        <v>4983518.63</v>
      </c>
      <c r="E60" s="10">
        <f t="shared" si="35"/>
        <v>3.7747338922578422E-2</v>
      </c>
      <c r="F60" s="4">
        <v>5917021.3700000001</v>
      </c>
      <c r="G60" s="16">
        <f t="shared" si="36"/>
        <v>-0.1049449442535646</v>
      </c>
      <c r="H60" s="9">
        <f t="shared" si="49"/>
        <v>0.54281910529203137</v>
      </c>
      <c r="I60" s="21">
        <f t="shared" si="50"/>
        <v>5125862</v>
      </c>
      <c r="J60" s="16">
        <f t="shared" si="37"/>
        <v>0.16793865126568441</v>
      </c>
      <c r="K60" s="18">
        <v>639384</v>
      </c>
      <c r="L60" s="20">
        <f t="shared" si="38"/>
        <v>0.51923204866226302</v>
      </c>
      <c r="M60" s="18">
        <v>3235480</v>
      </c>
      <c r="N60" s="20">
        <f t="shared" si="39"/>
        <v>5.0395942144918271E-2</v>
      </c>
      <c r="O60" s="18">
        <v>176660</v>
      </c>
      <c r="P60" s="20">
        <f t="shared" si="40"/>
        <v>0.19180457265447393</v>
      </c>
      <c r="Q60" s="18">
        <v>318651</v>
      </c>
      <c r="R60" s="20">
        <f t="shared" si="41"/>
        <v>0.33659528952832374</v>
      </c>
      <c r="S60" s="18">
        <v>406042</v>
      </c>
      <c r="T60" s="20">
        <f t="shared" si="42"/>
        <v>0.12381748434844697</v>
      </c>
      <c r="U60" s="18">
        <v>115215</v>
      </c>
      <c r="V60" s="20">
        <f t="shared" si="43"/>
        <v>4.3310660744031093</v>
      </c>
      <c r="W60" s="18">
        <v>234430</v>
      </c>
      <c r="X60" s="20">
        <f t="shared" si="44"/>
        <v>0.9841558683379743</v>
      </c>
      <c r="Y60" s="19">
        <f t="shared" si="51"/>
        <v>791159.37000000011</v>
      </c>
      <c r="Z60" s="20">
        <f t="shared" si="45"/>
        <v>-0.64393937675569812</v>
      </c>
      <c r="AA60" s="18">
        <v>441007</v>
      </c>
      <c r="AB60" s="17">
        <f t="shared" si="46"/>
        <v>0.39949352466845856</v>
      </c>
      <c r="AC60" s="21">
        <f t="shared" si="52"/>
        <v>350152.37000000011</v>
      </c>
      <c r="AD60" s="16">
        <f t="shared" si="47"/>
        <v>-0.8163723102121162</v>
      </c>
    </row>
    <row r="61" spans="1:30" x14ac:dyDescent="0.25">
      <c r="A61" s="67">
        <v>44409</v>
      </c>
      <c r="B61" s="4">
        <v>11301926</v>
      </c>
      <c r="C61" s="10">
        <f t="shared" si="34"/>
        <v>-1.6455121620271518E-2</v>
      </c>
      <c r="D61" s="7">
        <f t="shared" si="48"/>
        <v>4879147.9400000004</v>
      </c>
      <c r="E61" s="10">
        <f t="shared" si="35"/>
        <v>4.4735491347104306E-2</v>
      </c>
      <c r="F61" s="4">
        <v>6422778.0599999996</v>
      </c>
      <c r="G61" s="16">
        <f t="shared" si="36"/>
        <v>-5.8352595609400204E-2</v>
      </c>
      <c r="H61" s="9">
        <f t="shared" si="49"/>
        <v>0.56829057808377081</v>
      </c>
      <c r="I61" s="21">
        <f t="shared" si="50"/>
        <v>5058719</v>
      </c>
      <c r="J61" s="16">
        <f t="shared" si="37"/>
        <v>7.6065393695042394E-2</v>
      </c>
      <c r="K61" s="18">
        <v>766357</v>
      </c>
      <c r="L61" s="20">
        <f t="shared" si="38"/>
        <v>0.61660616007070934</v>
      </c>
      <c r="M61" s="18">
        <v>3210411</v>
      </c>
      <c r="N61" s="20">
        <f t="shared" si="39"/>
        <v>5.3669072453248479E-3</v>
      </c>
      <c r="O61" s="18">
        <v>177029</v>
      </c>
      <c r="P61" s="20">
        <f t="shared" si="40"/>
        <v>4.6134663341645954E-2</v>
      </c>
      <c r="Q61" s="18">
        <v>269478</v>
      </c>
      <c r="R61" s="20">
        <f t="shared" si="41"/>
        <v>0.28283761139462249</v>
      </c>
      <c r="S61" s="18">
        <v>355821</v>
      </c>
      <c r="T61" s="20">
        <f t="shared" si="42"/>
        <v>6.9930663647941316E-3</v>
      </c>
      <c r="U61" s="18">
        <v>59221</v>
      </c>
      <c r="V61" s="20">
        <f t="shared" si="43"/>
        <v>1.062299763198217</v>
      </c>
      <c r="W61" s="18">
        <v>220402</v>
      </c>
      <c r="X61" s="20">
        <f t="shared" si="44"/>
        <v>-0.19103094902513507</v>
      </c>
      <c r="Y61" s="19">
        <f t="shared" si="51"/>
        <v>1364059.0599999996</v>
      </c>
      <c r="Z61" s="20">
        <f t="shared" si="45"/>
        <v>-0.35647355492804611</v>
      </c>
      <c r="AA61" s="18">
        <v>506969</v>
      </c>
      <c r="AB61" s="17">
        <f t="shared" si="46"/>
        <v>0.64466295324264955</v>
      </c>
      <c r="AC61" s="21">
        <f t="shared" si="52"/>
        <v>857090.05999999959</v>
      </c>
      <c r="AD61" s="16">
        <f t="shared" si="47"/>
        <v>-0.52683864335452979</v>
      </c>
    </row>
    <row r="62" spans="1:30" x14ac:dyDescent="0.25">
      <c r="A62" s="67">
        <v>44440</v>
      </c>
      <c r="B62" s="4">
        <v>12700295</v>
      </c>
      <c r="C62" s="10">
        <f t="shared" si="34"/>
        <v>0.23023151063108438</v>
      </c>
      <c r="D62" s="7">
        <f t="shared" si="48"/>
        <v>5821550.7800000003</v>
      </c>
      <c r="E62" s="10">
        <f t="shared" si="35"/>
        <v>0.34869001582907866</v>
      </c>
      <c r="F62" s="4">
        <v>6878744.2199999997</v>
      </c>
      <c r="G62" s="16">
        <f t="shared" si="36"/>
        <v>0.14511154711794161</v>
      </c>
      <c r="H62" s="9">
        <f t="shared" si="49"/>
        <v>0.54162082219350016</v>
      </c>
      <c r="I62" s="21">
        <f t="shared" si="50"/>
        <v>5426905</v>
      </c>
      <c r="J62" s="16">
        <f t="shared" si="37"/>
        <v>0.26990417168599978</v>
      </c>
      <c r="K62" s="18">
        <v>927470</v>
      </c>
      <c r="L62" s="20">
        <f t="shared" si="38"/>
        <v>1.8925947179979792</v>
      </c>
      <c r="M62" s="18">
        <v>3313251</v>
      </c>
      <c r="N62" s="20">
        <f t="shared" si="39"/>
        <v>7.2908884780646721E-2</v>
      </c>
      <c r="O62" s="18">
        <v>179776</v>
      </c>
      <c r="P62" s="20">
        <f t="shared" si="40"/>
        <v>2.0718004621665065E-2</v>
      </c>
      <c r="Q62" s="18">
        <v>289792</v>
      </c>
      <c r="R62" s="20">
        <f t="shared" si="41"/>
        <v>0.28300917788629687</v>
      </c>
      <c r="S62" s="18">
        <v>468359</v>
      </c>
      <c r="T62" s="20">
        <f t="shared" si="42"/>
        <v>0.59691431688772201</v>
      </c>
      <c r="U62" s="18">
        <v>74342</v>
      </c>
      <c r="V62" s="20">
        <f t="shared" si="43"/>
        <v>1.8098117771562476</v>
      </c>
      <c r="W62" s="18">
        <v>173915</v>
      </c>
      <c r="X62" s="20">
        <f t="shared" si="44"/>
        <v>0.21623133676002659</v>
      </c>
      <c r="Y62" s="19">
        <f t="shared" si="51"/>
        <v>1451839.2199999997</v>
      </c>
      <c r="Z62" s="20">
        <f t="shared" si="45"/>
        <v>-0.16251753326993545</v>
      </c>
      <c r="AA62" s="18">
        <v>567649</v>
      </c>
      <c r="AB62" s="17">
        <f t="shared" si="46"/>
        <v>0.84430964572557388</v>
      </c>
      <c r="AC62" s="21">
        <f t="shared" si="52"/>
        <v>884190.21999999974</v>
      </c>
      <c r="AD62" s="16">
        <f t="shared" si="47"/>
        <v>-0.37986015432296771</v>
      </c>
    </row>
    <row r="63" spans="1:30" x14ac:dyDescent="0.25">
      <c r="A63" s="67">
        <v>44470</v>
      </c>
      <c r="B63" s="4">
        <v>11905965</v>
      </c>
      <c r="C63" s="10">
        <f t="shared" si="34"/>
        <v>-6.9512672046096569E-2</v>
      </c>
      <c r="D63" s="7">
        <f t="shared" si="48"/>
        <v>5198650.71</v>
      </c>
      <c r="E63" s="10">
        <f t="shared" si="35"/>
        <v>-5.1040074557666348E-2</v>
      </c>
      <c r="F63" s="4">
        <v>6707314.29</v>
      </c>
      <c r="G63" s="16">
        <f t="shared" si="36"/>
        <v>-8.3342888857133035E-2</v>
      </c>
      <c r="H63" s="9">
        <f t="shared" si="49"/>
        <v>0.56335746745433912</v>
      </c>
      <c r="I63" s="21">
        <f t="shared" si="50"/>
        <v>5585503</v>
      </c>
      <c r="J63" s="16">
        <f t="shared" si="37"/>
        <v>0.2100653203113001</v>
      </c>
      <c r="K63" s="18">
        <v>745236</v>
      </c>
      <c r="L63" s="20">
        <f t="shared" si="38"/>
        <v>0.38576627201880331</v>
      </c>
      <c r="M63" s="18">
        <v>3631911</v>
      </c>
      <c r="N63" s="20">
        <f t="shared" si="39"/>
        <v>0.19658273689426453</v>
      </c>
      <c r="O63" s="18">
        <v>188378</v>
      </c>
      <c r="P63" s="20">
        <f t="shared" si="40"/>
        <v>0.1003580670222024</v>
      </c>
      <c r="Q63" s="18">
        <v>243083</v>
      </c>
      <c r="R63" s="20">
        <f t="shared" si="41"/>
        <v>-0.17630534744318282</v>
      </c>
      <c r="S63" s="18">
        <v>353469</v>
      </c>
      <c r="T63" s="20">
        <f t="shared" si="42"/>
        <v>-4.0511084629729632E-2</v>
      </c>
      <c r="U63" s="18">
        <v>150298</v>
      </c>
      <c r="V63" s="20">
        <f t="shared" si="43"/>
        <v>4.8115381641017709</v>
      </c>
      <c r="W63" s="18">
        <v>273128</v>
      </c>
      <c r="X63" s="20">
        <f t="shared" si="44"/>
        <v>0.49832408976954179</v>
      </c>
      <c r="Y63" s="19">
        <f t="shared" si="51"/>
        <v>1121811.29</v>
      </c>
      <c r="Z63" s="20">
        <f t="shared" si="45"/>
        <v>-0.58471081650218215</v>
      </c>
      <c r="AA63" s="18">
        <v>565638</v>
      </c>
      <c r="AB63" s="17">
        <f t="shared" si="46"/>
        <v>1.1830960366500833</v>
      </c>
      <c r="AC63" s="21">
        <f t="shared" si="52"/>
        <v>556173.29</v>
      </c>
      <c r="AD63" s="16">
        <f t="shared" si="47"/>
        <v>-0.77226344818927461</v>
      </c>
    </row>
    <row r="64" spans="1:30" x14ac:dyDescent="0.25">
      <c r="A64" s="67">
        <v>44501</v>
      </c>
      <c r="B64" s="4">
        <v>9747352</v>
      </c>
      <c r="C64" s="10">
        <f t="shared" si="34"/>
        <v>-0.20122580818573443</v>
      </c>
      <c r="D64" s="7">
        <f t="shared" si="48"/>
        <v>4260231.5599999996</v>
      </c>
      <c r="E64" s="10">
        <f t="shared" si="35"/>
        <v>-0.10436179428544101</v>
      </c>
      <c r="F64" s="4">
        <v>5487120.4400000004</v>
      </c>
      <c r="G64" s="16">
        <f t="shared" si="36"/>
        <v>-0.26310231066006073</v>
      </c>
      <c r="H64" s="9">
        <f t="shared" si="49"/>
        <v>0.56293447081833103</v>
      </c>
      <c r="I64" s="21">
        <f t="shared" si="50"/>
        <v>5310032</v>
      </c>
      <c r="J64" s="16">
        <f t="shared" si="37"/>
        <v>9.7345988625281654E-2</v>
      </c>
      <c r="K64" s="18">
        <v>591429</v>
      </c>
      <c r="L64" s="20">
        <f t="shared" si="38"/>
        <v>-7.1767353677906209E-2</v>
      </c>
      <c r="M64" s="18">
        <v>3545585</v>
      </c>
      <c r="N64" s="20">
        <f t="shared" si="39"/>
        <v>9.0376196140612874E-2</v>
      </c>
      <c r="O64" s="18">
        <v>200122</v>
      </c>
      <c r="P64" s="20">
        <f t="shared" si="40"/>
        <v>-2.2526790860335821E-2</v>
      </c>
      <c r="Q64" s="18">
        <v>317288</v>
      </c>
      <c r="R64" s="20">
        <f t="shared" si="41"/>
        <v>0.25089888349208356</v>
      </c>
      <c r="S64" s="18">
        <v>366354</v>
      </c>
      <c r="T64" s="20">
        <f t="shared" si="42"/>
        <v>0.15912067885414882</v>
      </c>
      <c r="U64" s="18">
        <v>48005</v>
      </c>
      <c r="V64" s="20">
        <f t="shared" si="43"/>
        <v>1.3213249516441006</v>
      </c>
      <c r="W64" s="18">
        <v>241249</v>
      </c>
      <c r="X64" s="20">
        <f t="shared" si="44"/>
        <v>0.55655562652833424</v>
      </c>
      <c r="Y64" s="19">
        <f t="shared" si="51"/>
        <v>177088.44000000041</v>
      </c>
      <c r="Z64" s="20">
        <f t="shared" si="45"/>
        <v>-0.93207891664054721</v>
      </c>
      <c r="AA64" s="18">
        <v>649451</v>
      </c>
      <c r="AB64" s="17">
        <f t="shared" si="46"/>
        <v>1.4639055185025001</v>
      </c>
      <c r="AC64" s="21">
        <f t="shared" si="52"/>
        <v>-472362.55999999959</v>
      </c>
      <c r="AD64" s="16">
        <f t="shared" si="47"/>
        <v>-1.2015472408880112</v>
      </c>
    </row>
    <row r="65" spans="1:30" x14ac:dyDescent="0.25">
      <c r="A65" s="67">
        <v>44531</v>
      </c>
      <c r="B65" s="4">
        <v>22718925</v>
      </c>
      <c r="C65" s="10">
        <f t="shared" si="34"/>
        <v>0.83235889221243697</v>
      </c>
      <c r="D65" s="7">
        <f t="shared" si="48"/>
        <v>11151425.91</v>
      </c>
      <c r="E65" s="10">
        <f t="shared" si="35"/>
        <v>1.1477670319119815</v>
      </c>
      <c r="F65" s="4">
        <v>11567499.09</v>
      </c>
      <c r="G65" s="16">
        <f t="shared" si="36"/>
        <v>0.60511931375580308</v>
      </c>
      <c r="H65" s="9">
        <f t="shared" si="49"/>
        <v>0.50915697331629906</v>
      </c>
      <c r="I65" s="21">
        <f t="shared" si="50"/>
        <v>4822542</v>
      </c>
      <c r="J65" s="16">
        <f t="shared" si="37"/>
        <v>2.0830475667931614E-2</v>
      </c>
      <c r="K65" s="18">
        <v>480614</v>
      </c>
      <c r="L65" s="20">
        <f t="shared" si="38"/>
        <v>-0.25172273133487155</v>
      </c>
      <c r="M65" s="18">
        <v>3046229</v>
      </c>
      <c r="N65" s="20">
        <f t="shared" si="39"/>
        <v>1.0841337714422528E-2</v>
      </c>
      <c r="O65" s="18">
        <v>210370</v>
      </c>
      <c r="P65" s="20">
        <f t="shared" si="40"/>
        <v>-3.8874762655605188E-3</v>
      </c>
      <c r="Q65" s="18">
        <v>345950</v>
      </c>
      <c r="R65" s="20">
        <f t="shared" si="41"/>
        <v>0.22307346925788307</v>
      </c>
      <c r="S65" s="18">
        <v>433726</v>
      </c>
      <c r="T65" s="20">
        <f t="shared" si="42"/>
        <v>4.1566506650785096E-2</v>
      </c>
      <c r="U65" s="18">
        <v>25448</v>
      </c>
      <c r="V65" s="20">
        <f t="shared" si="43"/>
        <v>-0.1992448080553807</v>
      </c>
      <c r="W65" s="18">
        <v>280205</v>
      </c>
      <c r="X65" s="20">
        <f t="shared" si="44"/>
        <v>1.2230905325960189</v>
      </c>
      <c r="Y65" s="19">
        <f t="shared" si="51"/>
        <v>6744957.0899999999</v>
      </c>
      <c r="Z65" s="20">
        <f t="shared" si="45"/>
        <v>1.7170097181469788</v>
      </c>
      <c r="AA65" s="18">
        <v>659894</v>
      </c>
      <c r="AB65" s="17">
        <f t="shared" si="46"/>
        <v>1.42801794078364</v>
      </c>
      <c r="AC65" s="21">
        <f t="shared" si="52"/>
        <v>6085063.0899999999</v>
      </c>
      <c r="AD65" s="16">
        <f t="shared" si="47"/>
        <v>1.7525381497266714</v>
      </c>
    </row>
    <row r="66" spans="1:30" x14ac:dyDescent="0.25">
      <c r="A66" s="22" t="s">
        <v>20</v>
      </c>
      <c r="B66" s="23">
        <f>SUM(B54:B65)</f>
        <v>142248115.42000002</v>
      </c>
      <c r="C66" s="24">
        <f t="shared" si="34"/>
        <v>6.8410977542878726E-2</v>
      </c>
      <c r="D66" s="26">
        <f>SUM(D54:D65)</f>
        <v>62983953.140000001</v>
      </c>
      <c r="E66" s="24">
        <f t="shared" si="35"/>
        <v>0.11274687190149613</v>
      </c>
      <c r="F66" s="23">
        <f>SUM(F54:F65)</f>
        <v>79264162.280000001</v>
      </c>
      <c r="G66" s="27">
        <f t="shared" si="36"/>
        <v>3.5623059210247554E-2</v>
      </c>
      <c r="H66" s="28">
        <f>AVERAGE(H54:H65)</f>
        <v>0.56462393089253571</v>
      </c>
      <c r="I66" s="29">
        <f>SUM(I54:I65)</f>
        <v>60433232.150000006</v>
      </c>
      <c r="J66" s="27">
        <f t="shared" si="37"/>
        <v>0.11256902746264497</v>
      </c>
      <c r="K66" s="30">
        <f>SUM(K54:K65)</f>
        <v>7321183.1500000004</v>
      </c>
      <c r="L66" s="31">
        <f t="shared" si="38"/>
        <v>0.28582110778594294</v>
      </c>
      <c r="M66" s="30">
        <f>SUM(M54:M65)</f>
        <v>38959544</v>
      </c>
      <c r="N66" s="31">
        <f t="shared" si="39"/>
        <v>6.166315113845644E-2</v>
      </c>
      <c r="O66" s="30">
        <f>SUM(O54:O65)</f>
        <v>2259991</v>
      </c>
      <c r="P66" s="31">
        <f t="shared" si="40"/>
        <v>-0.21514547721994781</v>
      </c>
      <c r="Q66" s="30">
        <f>SUM(Q54:Q65)</f>
        <v>3219682</v>
      </c>
      <c r="R66" s="31">
        <f t="shared" si="41"/>
        <v>9.8193072603574683E-2</v>
      </c>
      <c r="S66" s="30">
        <f>SUM(S54:S65)</f>
        <v>4689423</v>
      </c>
      <c r="T66" s="31">
        <f t="shared" si="42"/>
        <v>0.17684461489359249</v>
      </c>
      <c r="U66" s="30">
        <f>SUM(U54:U65)</f>
        <v>731194</v>
      </c>
      <c r="V66" s="31">
        <f t="shared" si="43"/>
        <v>0.59207526710809089</v>
      </c>
      <c r="W66" s="30">
        <f>SUM(W54:W65)</f>
        <v>3252215</v>
      </c>
      <c r="X66" s="31">
        <f t="shared" si="44"/>
        <v>0.94413959510696954</v>
      </c>
      <c r="Y66" s="33">
        <f>SUM(Y54:Y65)</f>
        <v>18830930.129999999</v>
      </c>
      <c r="Z66" s="31">
        <f t="shared" si="45"/>
        <v>-0.15248604370420626</v>
      </c>
      <c r="AA66" s="30">
        <f>SUM(AA54:AA65)</f>
        <v>5745032</v>
      </c>
      <c r="AB66" s="31">
        <f t="shared" si="46"/>
        <v>0.59002183246955742</v>
      </c>
      <c r="AC66" s="29">
        <f>SUM(AC54:AC65)</f>
        <v>13085898.130000001</v>
      </c>
      <c r="AD66" s="27">
        <f t="shared" si="47"/>
        <v>-0.29667801721055409</v>
      </c>
    </row>
    <row r="67" spans="1:30" x14ac:dyDescent="0.25">
      <c r="A67" s="67">
        <v>44562</v>
      </c>
      <c r="B67" s="4">
        <v>6179301.2800000003</v>
      </c>
      <c r="C67" s="10">
        <f t="shared" si="34"/>
        <v>-7.3252068246355662E-2</v>
      </c>
      <c r="D67" s="7">
        <f t="shared" ref="D67:D78" si="53">B67-F67</f>
        <v>2606104.4900000002</v>
      </c>
      <c r="E67" s="10">
        <f t="shared" si="35"/>
        <v>-2.2343074263597607E-2</v>
      </c>
      <c r="F67" s="4">
        <v>3573196.79</v>
      </c>
      <c r="G67" s="16">
        <f t="shared" si="36"/>
        <v>-0.10716114798000442</v>
      </c>
      <c r="H67" s="9">
        <f t="shared" ref="H67:H78" si="54">F67/B67</f>
        <v>0.57825256094326571</v>
      </c>
      <c r="I67" s="21">
        <f t="shared" ref="I67:I78" si="55">K67+M67+O67+Q67+S67+U67+W67</f>
        <v>4426734</v>
      </c>
      <c r="J67" s="16">
        <f t="shared" si="37"/>
        <v>3.7172460959602693E-2</v>
      </c>
      <c r="K67" s="18">
        <v>242045</v>
      </c>
      <c r="L67" s="20">
        <f t="shared" si="38"/>
        <v>-0.42062756869193885</v>
      </c>
      <c r="M67" s="18">
        <v>3294762</v>
      </c>
      <c r="N67" s="20">
        <f t="shared" si="39"/>
        <v>6.2246328053743527E-2</v>
      </c>
      <c r="O67" s="18">
        <v>223469</v>
      </c>
      <c r="P67" s="20">
        <f t="shared" si="40"/>
        <v>0.22320079696976336</v>
      </c>
      <c r="Q67" s="18">
        <v>262379</v>
      </c>
      <c r="R67" s="20">
        <f t="shared" si="41"/>
        <v>0.36828189697431135</v>
      </c>
      <c r="S67" s="18">
        <v>176710</v>
      </c>
      <c r="T67" s="20">
        <f t="shared" si="42"/>
        <v>-0.14027721693270989</v>
      </c>
      <c r="U67" s="18">
        <v>34149</v>
      </c>
      <c r="V67" s="20">
        <f t="shared" si="43"/>
        <v>0.34128043990573453</v>
      </c>
      <c r="W67" s="18">
        <v>193220</v>
      </c>
      <c r="X67" s="20">
        <f t="shared" si="44"/>
        <v>0.34965982593146228</v>
      </c>
      <c r="Y67" s="19">
        <f t="shared" ref="Y67:Y78" si="56">F67-I67</f>
        <v>-853537.21</v>
      </c>
      <c r="Z67" s="20">
        <f t="shared" si="45"/>
        <v>2.2085861480604554</v>
      </c>
      <c r="AA67" s="18">
        <v>242149</v>
      </c>
      <c r="AB67" s="17">
        <f t="shared" si="46"/>
        <v>-0.22130572920686375</v>
      </c>
      <c r="AC67" s="21">
        <f t="shared" ref="AC67:AC78" si="57">Y67-AA67</f>
        <v>-1095686.21</v>
      </c>
      <c r="AD67" s="16">
        <f t="shared" si="47"/>
        <v>0.89898688978896724</v>
      </c>
    </row>
    <row r="68" spans="1:30" x14ac:dyDescent="0.25">
      <c r="A68" s="67">
        <v>44593</v>
      </c>
      <c r="B68" s="4">
        <v>8244750.7699999996</v>
      </c>
      <c r="C68" s="10">
        <f t="shared" si="34"/>
        <v>8.3125998752495267E-2</v>
      </c>
      <c r="D68" s="7">
        <f t="shared" si="53"/>
        <v>3452192.7699999996</v>
      </c>
      <c r="E68" s="10">
        <f t="shared" si="35"/>
        <v>0.23460250011356476</v>
      </c>
      <c r="F68" s="4">
        <v>4792558</v>
      </c>
      <c r="G68" s="16">
        <f t="shared" si="36"/>
        <v>-4.8258292682370474E-3</v>
      </c>
      <c r="H68" s="9">
        <f t="shared" si="54"/>
        <v>0.58128597621635569</v>
      </c>
      <c r="I68" s="21">
        <f t="shared" si="55"/>
        <v>3998447</v>
      </c>
      <c r="J68" s="16">
        <f t="shared" si="37"/>
        <v>-3.1696644470184387E-2</v>
      </c>
      <c r="K68" s="18">
        <v>291579</v>
      </c>
      <c r="L68" s="20">
        <f t="shared" si="38"/>
        <v>-0.40240408263649774</v>
      </c>
      <c r="M68" s="18">
        <v>2794117</v>
      </c>
      <c r="N68" s="20">
        <f t="shared" si="39"/>
        <v>8.7832888258443376E-4</v>
      </c>
      <c r="O68" s="18">
        <v>228739</v>
      </c>
      <c r="P68" s="20">
        <f t="shared" si="40"/>
        <v>0.21595300746883561</v>
      </c>
      <c r="Q68" s="18">
        <v>225941</v>
      </c>
      <c r="R68" s="20">
        <f t="shared" si="41"/>
        <v>4.549556011086997E-2</v>
      </c>
      <c r="S68" s="18">
        <v>261943</v>
      </c>
      <c r="T68" s="20">
        <f t="shared" si="42"/>
        <v>-0.1753618808358991</v>
      </c>
      <c r="U68" s="18">
        <v>36972</v>
      </c>
      <c r="V68" s="20">
        <f t="shared" si="43"/>
        <v>0.75305832147937402</v>
      </c>
      <c r="W68" s="18">
        <v>159156</v>
      </c>
      <c r="X68" s="20">
        <f t="shared" si="44"/>
        <v>0.49039217889650533</v>
      </c>
      <c r="Y68" s="19">
        <f t="shared" si="56"/>
        <v>794111</v>
      </c>
      <c r="Z68" s="20">
        <f t="shared" si="45"/>
        <v>0.15681170271088218</v>
      </c>
      <c r="AA68" s="18">
        <v>403970.69</v>
      </c>
      <c r="AB68" s="17">
        <f t="shared" si="46"/>
        <v>0.1587542201505916</v>
      </c>
      <c r="AC68" s="21">
        <f t="shared" si="57"/>
        <v>390140.31</v>
      </c>
      <c r="AD68" s="16">
        <f t="shared" si="47"/>
        <v>0.1548071748236497</v>
      </c>
    </row>
    <row r="69" spans="1:30" x14ac:dyDescent="0.25">
      <c r="A69" s="67">
        <v>44621</v>
      </c>
      <c r="B69" s="4">
        <v>17640985.559999999</v>
      </c>
      <c r="C69" s="10">
        <f t="shared" si="34"/>
        <v>0.46106746549352695</v>
      </c>
      <c r="D69" s="7">
        <f t="shared" si="53"/>
        <v>8741360.8699999992</v>
      </c>
      <c r="E69" s="10">
        <f t="shared" si="35"/>
        <v>0.58216426926729037</v>
      </c>
      <c r="F69" s="4">
        <v>8899624.6899999995</v>
      </c>
      <c r="G69" s="16">
        <f t="shared" si="36"/>
        <v>0.35890801993280874</v>
      </c>
      <c r="H69" s="9">
        <f t="shared" si="54"/>
        <v>0.50448568532244753</v>
      </c>
      <c r="I69" s="21">
        <f t="shared" si="55"/>
        <v>4316014</v>
      </c>
      <c r="J69" s="16">
        <f t="shared" si="37"/>
        <v>-6.2403614817711284E-2</v>
      </c>
      <c r="K69" s="18">
        <v>289788</v>
      </c>
      <c r="L69" s="20">
        <f t="shared" si="38"/>
        <v>-0.48778534878171642</v>
      </c>
      <c r="M69" s="18">
        <v>2985328</v>
      </c>
      <c r="N69" s="20">
        <f t="shared" si="39"/>
        <v>9.0711665057876312E-2</v>
      </c>
      <c r="O69" s="18">
        <v>199610</v>
      </c>
      <c r="P69" s="20">
        <f t="shared" si="40"/>
        <v>3.6746565559508726E-2</v>
      </c>
      <c r="Q69" s="18">
        <v>233460</v>
      </c>
      <c r="R69" s="20">
        <f t="shared" si="41"/>
        <v>-4.7405315858624619E-2</v>
      </c>
      <c r="S69" s="18">
        <v>364138</v>
      </c>
      <c r="T69" s="20">
        <f t="shared" si="42"/>
        <v>-0.19952957210846223</v>
      </c>
      <c r="U69" s="18">
        <v>41983</v>
      </c>
      <c r="V69" s="20">
        <f t="shared" si="43"/>
        <v>0.27155707665747952</v>
      </c>
      <c r="W69" s="18">
        <v>201707</v>
      </c>
      <c r="X69" s="20">
        <f t="shared" si="44"/>
        <v>-0.46202715641744385</v>
      </c>
      <c r="Y69" s="19">
        <f t="shared" si="56"/>
        <v>4583610.6899999995</v>
      </c>
      <c r="Z69" s="20">
        <f t="shared" si="45"/>
        <v>1.355612855097621</v>
      </c>
      <c r="AA69" s="18">
        <v>412537.98</v>
      </c>
      <c r="AB69" s="17">
        <f t="shared" si="46"/>
        <v>-0.14758363759213</v>
      </c>
      <c r="AC69" s="21">
        <f t="shared" si="57"/>
        <v>4171072.7099999995</v>
      </c>
      <c r="AD69" s="16">
        <f t="shared" si="47"/>
        <v>1.8532599787642079</v>
      </c>
    </row>
    <row r="70" spans="1:30" x14ac:dyDescent="0.25">
      <c r="A70" s="67">
        <v>44652</v>
      </c>
      <c r="B70" s="4">
        <v>16545016.859999999</v>
      </c>
      <c r="C70" s="10">
        <f t="shared" si="34"/>
        <v>0.22439299622758568</v>
      </c>
      <c r="D70" s="7">
        <f t="shared" si="53"/>
        <v>7306042.8899999987</v>
      </c>
      <c r="E70" s="10">
        <f t="shared" si="35"/>
        <v>0.29471424087777076</v>
      </c>
      <c r="F70" s="4">
        <v>9238973.9700000007</v>
      </c>
      <c r="G70" s="16">
        <f t="shared" si="36"/>
        <v>0.17397006143508498</v>
      </c>
      <c r="H70" s="9">
        <f t="shared" si="54"/>
        <v>0.55841429768116901</v>
      </c>
      <c r="I70" s="21">
        <f t="shared" si="55"/>
        <v>5696313</v>
      </c>
      <c r="J70" s="16">
        <f t="shared" si="37"/>
        <v>7.4774597943463306E-2</v>
      </c>
      <c r="K70" s="18">
        <v>648404</v>
      </c>
      <c r="L70" s="20">
        <f t="shared" si="38"/>
        <v>7.9015067011181772E-2</v>
      </c>
      <c r="M70" s="18">
        <v>3894547</v>
      </c>
      <c r="N70" s="20">
        <f t="shared" si="39"/>
        <v>0.2089306129696249</v>
      </c>
      <c r="O70" s="18">
        <v>210468</v>
      </c>
      <c r="P70" s="20">
        <f t="shared" si="40"/>
        <v>9.4585528471351932E-2</v>
      </c>
      <c r="Q70" s="18">
        <v>258813</v>
      </c>
      <c r="R70" s="20">
        <f t="shared" si="41"/>
        <v>0.19056337315478844</v>
      </c>
      <c r="S70" s="18">
        <v>362901</v>
      </c>
      <c r="T70" s="20">
        <f t="shared" si="42"/>
        <v>-0.26789014145880907</v>
      </c>
      <c r="U70" s="18">
        <v>80672</v>
      </c>
      <c r="V70" s="20">
        <f t="shared" si="43"/>
        <v>0.42704003113336042</v>
      </c>
      <c r="W70" s="18">
        <v>240508</v>
      </c>
      <c r="X70" s="20">
        <f t="shared" si="44"/>
        <v>-0.53363983455914432</v>
      </c>
      <c r="Y70" s="19">
        <f t="shared" si="56"/>
        <v>3542660.9700000007</v>
      </c>
      <c r="Z70" s="20">
        <f t="shared" si="45"/>
        <v>0.37854897582375857</v>
      </c>
      <c r="AA70" s="18">
        <v>399448.49</v>
      </c>
      <c r="AB70" s="17">
        <f t="shared" si="46"/>
        <v>-2.1592670428938199E-2</v>
      </c>
      <c r="AC70" s="21">
        <f t="shared" si="57"/>
        <v>3143212.4800000004</v>
      </c>
      <c r="AD70" s="16">
        <f t="shared" si="47"/>
        <v>0.45412477982462995</v>
      </c>
    </row>
    <row r="71" spans="1:30" x14ac:dyDescent="0.25">
      <c r="A71" s="67">
        <v>44682</v>
      </c>
      <c r="B71" s="4">
        <v>14569736.24</v>
      </c>
      <c r="C71" s="10">
        <f t="shared" si="34"/>
        <v>0.27666349149363345</v>
      </c>
      <c r="D71" s="7">
        <f t="shared" si="53"/>
        <v>6047198.2599999998</v>
      </c>
      <c r="E71" s="10">
        <f t="shared" si="35"/>
        <v>0.25837445454340835</v>
      </c>
      <c r="F71" s="4">
        <v>8522537.9800000004</v>
      </c>
      <c r="G71" s="16">
        <f t="shared" si="36"/>
        <v>0.28996633810569516</v>
      </c>
      <c r="H71" s="9">
        <f t="shared" si="54"/>
        <v>0.58494799354034155</v>
      </c>
      <c r="I71" s="21">
        <f t="shared" si="55"/>
        <v>5782425</v>
      </c>
      <c r="J71" s="16">
        <f t="shared" si="37"/>
        <v>0.10677931940945729</v>
      </c>
      <c r="K71" s="18">
        <v>423876</v>
      </c>
      <c r="L71" s="20">
        <f t="shared" si="38"/>
        <v>-0.15382526969728427</v>
      </c>
      <c r="M71" s="18">
        <v>4166343</v>
      </c>
      <c r="N71" s="20">
        <f t="shared" si="39"/>
        <v>0.17858773475755507</v>
      </c>
      <c r="O71" s="18">
        <v>191348</v>
      </c>
      <c r="P71" s="20">
        <f t="shared" si="40"/>
        <v>2.031588264778339E-2</v>
      </c>
      <c r="Q71" s="18">
        <v>290330</v>
      </c>
      <c r="R71" s="20">
        <f t="shared" si="41"/>
        <v>0.27063529576527845</v>
      </c>
      <c r="S71" s="18">
        <v>350630</v>
      </c>
      <c r="T71" s="20">
        <f t="shared" si="42"/>
        <v>-0.16585185978184591</v>
      </c>
      <c r="U71" s="18">
        <v>113413</v>
      </c>
      <c r="V71" s="20">
        <f t="shared" si="43"/>
        <v>1.3976364635744787</v>
      </c>
      <c r="W71" s="18">
        <v>246485</v>
      </c>
      <c r="X71" s="20">
        <f t="shared" si="44"/>
        <v>-0.19161922128351783</v>
      </c>
      <c r="Y71" s="19">
        <f t="shared" si="56"/>
        <v>2740112.9800000004</v>
      </c>
      <c r="Z71" s="20">
        <f t="shared" si="45"/>
        <v>0.98237136808637704</v>
      </c>
      <c r="AA71" s="18">
        <v>428315.87</v>
      </c>
      <c r="AB71" s="17">
        <f t="shared" si="46"/>
        <v>6.7283648215611613E-2</v>
      </c>
      <c r="AC71" s="21">
        <f t="shared" si="57"/>
        <v>2311797.1100000003</v>
      </c>
      <c r="AD71" s="16">
        <f t="shared" si="47"/>
        <v>1.3567497788492684</v>
      </c>
    </row>
    <row r="72" spans="1:30" x14ac:dyDescent="0.25">
      <c r="A72" s="67">
        <v>44713</v>
      </c>
      <c r="B72" s="4">
        <v>14177801.85</v>
      </c>
      <c r="C72" s="10">
        <f t="shared" si="34"/>
        <v>0.21238257284722772</v>
      </c>
      <c r="D72" s="7">
        <f t="shared" si="53"/>
        <v>5720184.2699999996</v>
      </c>
      <c r="E72" s="10">
        <f t="shared" si="35"/>
        <v>8.8711422420439723E-2</v>
      </c>
      <c r="F72" s="4">
        <v>8457617.5800000001</v>
      </c>
      <c r="G72" s="16">
        <f t="shared" si="36"/>
        <v>0.31327870016684756</v>
      </c>
      <c r="H72" s="9">
        <f t="shared" si="54"/>
        <v>0.59653941206689953</v>
      </c>
      <c r="I72" s="21">
        <f t="shared" si="55"/>
        <v>5868170</v>
      </c>
      <c r="J72" s="16">
        <f t="shared" si="37"/>
        <v>5.1940466949621733E-2</v>
      </c>
      <c r="K72" s="18">
        <v>462917</v>
      </c>
      <c r="L72" s="20">
        <f t="shared" si="38"/>
        <v>-0.22510481164787577</v>
      </c>
      <c r="M72" s="18">
        <v>4182396</v>
      </c>
      <c r="N72" s="20">
        <f t="shared" si="39"/>
        <v>0.16509005332386928</v>
      </c>
      <c r="O72" s="18">
        <v>191056</v>
      </c>
      <c r="P72" s="20">
        <f t="shared" si="40"/>
        <v>3.5561939347949822E-2</v>
      </c>
      <c r="Q72" s="18">
        <v>420201</v>
      </c>
      <c r="R72" s="20">
        <f t="shared" si="41"/>
        <v>0.24830964660028054</v>
      </c>
      <c r="S72" s="18">
        <v>370913</v>
      </c>
      <c r="T72" s="20">
        <f t="shared" si="42"/>
        <v>-9.8677831750992095E-2</v>
      </c>
      <c r="U72" s="18">
        <v>58970</v>
      </c>
      <c r="V72" s="20">
        <f t="shared" si="43"/>
        <v>-0.21650169401448216</v>
      </c>
      <c r="W72" s="18">
        <v>181717</v>
      </c>
      <c r="X72" s="20">
        <f t="shared" si="44"/>
        <v>-0.52600346399841413</v>
      </c>
      <c r="Y72" s="19">
        <f t="shared" si="56"/>
        <v>2589447.58</v>
      </c>
      <c r="Z72" s="20">
        <f t="shared" si="45"/>
        <v>2.0052051159874229</v>
      </c>
      <c r="AA72" s="18">
        <v>387657.79</v>
      </c>
      <c r="AB72" s="17">
        <f t="shared" si="46"/>
        <v>-3.3970968626180653E-2</v>
      </c>
      <c r="AC72" s="21">
        <f t="shared" si="57"/>
        <v>2201789.79</v>
      </c>
      <c r="AD72" s="16">
        <f t="shared" si="47"/>
        <v>3.7827129864292832</v>
      </c>
    </row>
    <row r="73" spans="1:30" x14ac:dyDescent="0.25">
      <c r="A73" s="67">
        <v>44743</v>
      </c>
      <c r="B73" s="4">
        <v>12722329.810000001</v>
      </c>
      <c r="C73" s="10">
        <f t="shared" si="34"/>
        <v>0.16712840006091456</v>
      </c>
      <c r="D73" s="7">
        <f t="shared" si="53"/>
        <v>5137360.5900000008</v>
      </c>
      <c r="E73" s="10">
        <f t="shared" si="35"/>
        <v>3.0870148467770697E-2</v>
      </c>
      <c r="F73" s="4">
        <v>7584969.2199999997</v>
      </c>
      <c r="G73" s="16">
        <f t="shared" si="36"/>
        <v>0.28188977962065387</v>
      </c>
      <c r="H73" s="9">
        <f t="shared" si="54"/>
        <v>0.59619341215616539</v>
      </c>
      <c r="I73" s="21">
        <f t="shared" si="55"/>
        <v>5754502</v>
      </c>
      <c r="J73" s="16">
        <f t="shared" si="37"/>
        <v>0.12264083582429652</v>
      </c>
      <c r="K73" s="18">
        <v>448405</v>
      </c>
      <c r="L73" s="20">
        <f t="shared" si="38"/>
        <v>-0.29869217872201992</v>
      </c>
      <c r="M73" s="18">
        <v>4156562</v>
      </c>
      <c r="N73" s="20">
        <f t="shared" si="39"/>
        <v>0.2846817164686537</v>
      </c>
      <c r="O73" s="18">
        <v>206430</v>
      </c>
      <c r="P73" s="20">
        <f t="shared" si="40"/>
        <v>0.16851579304879438</v>
      </c>
      <c r="Q73" s="18">
        <v>298979</v>
      </c>
      <c r="R73" s="20">
        <f t="shared" si="41"/>
        <v>-6.1735252674556151E-2</v>
      </c>
      <c r="S73" s="18">
        <v>433228</v>
      </c>
      <c r="T73" s="20">
        <f t="shared" si="42"/>
        <v>6.6953664891809206E-2</v>
      </c>
      <c r="U73" s="18">
        <v>66529</v>
      </c>
      <c r="V73" s="20">
        <f t="shared" si="43"/>
        <v>-0.4225665060972964</v>
      </c>
      <c r="W73" s="18">
        <v>144369</v>
      </c>
      <c r="X73" s="20">
        <f t="shared" si="44"/>
        <v>-0.38417011474640617</v>
      </c>
      <c r="Y73" s="19">
        <f t="shared" si="56"/>
        <v>1830467.2199999997</v>
      </c>
      <c r="Z73" s="20">
        <f t="shared" si="45"/>
        <v>1.3136516982665571</v>
      </c>
      <c r="AA73" s="18">
        <v>613459.22</v>
      </c>
      <c r="AB73" s="17">
        <f t="shared" si="46"/>
        <v>0.39104191089937346</v>
      </c>
      <c r="AC73" s="21">
        <f t="shared" si="57"/>
        <v>1217007.9999999998</v>
      </c>
      <c r="AD73" s="16">
        <f t="shared" si="47"/>
        <v>2.4756526137464081</v>
      </c>
    </row>
    <row r="74" spans="1:30" x14ac:dyDescent="0.25">
      <c r="A74" s="67">
        <v>44774</v>
      </c>
      <c r="B74" s="4">
        <v>14065414.59</v>
      </c>
      <c r="C74" s="10">
        <f t="shared" si="34"/>
        <v>0.24451483667474028</v>
      </c>
      <c r="D74" s="7">
        <f t="shared" si="53"/>
        <v>6105535.5199999996</v>
      </c>
      <c r="E74" s="10">
        <f t="shared" si="35"/>
        <v>0.25135281714782343</v>
      </c>
      <c r="F74" s="4">
        <v>7959879.0700000003</v>
      </c>
      <c r="G74" s="16">
        <f t="shared" si="36"/>
        <v>0.2393202747535077</v>
      </c>
      <c r="H74" s="9">
        <f t="shared" si="54"/>
        <v>0.56591855284942583</v>
      </c>
      <c r="I74" s="21">
        <f t="shared" si="55"/>
        <v>5793847</v>
      </c>
      <c r="J74" s="16">
        <f t="shared" si="37"/>
        <v>0.14531900269613707</v>
      </c>
      <c r="K74" s="18">
        <v>463731</v>
      </c>
      <c r="L74" s="20">
        <f t="shared" si="38"/>
        <v>-0.39488906606190066</v>
      </c>
      <c r="M74" s="18">
        <v>4209870</v>
      </c>
      <c r="N74" s="20">
        <f t="shared" si="39"/>
        <v>0.31131808357247714</v>
      </c>
      <c r="O74" s="18">
        <v>174202</v>
      </c>
      <c r="P74" s="20">
        <f t="shared" si="40"/>
        <v>-1.5969135000480139E-2</v>
      </c>
      <c r="Q74" s="18">
        <v>332911</v>
      </c>
      <c r="R74" s="20">
        <f t="shared" si="41"/>
        <v>0.23539212848544233</v>
      </c>
      <c r="S74" s="18">
        <v>404880</v>
      </c>
      <c r="T74" s="20">
        <f t="shared" si="42"/>
        <v>0.13787550481843391</v>
      </c>
      <c r="U74" s="18">
        <v>63543</v>
      </c>
      <c r="V74" s="20">
        <f t="shared" si="43"/>
        <v>7.2980868273078814E-2</v>
      </c>
      <c r="W74" s="18">
        <v>144710</v>
      </c>
      <c r="X74" s="20">
        <f t="shared" si="44"/>
        <v>-0.34342701064418657</v>
      </c>
      <c r="Y74" s="19">
        <f t="shared" si="56"/>
        <v>2166032.0700000003</v>
      </c>
      <c r="Z74" s="20">
        <f t="shared" si="45"/>
        <v>0.58793129529156962</v>
      </c>
      <c r="AA74" s="18">
        <v>586597.53</v>
      </c>
      <c r="AB74" s="17">
        <f t="shared" si="46"/>
        <v>0.15706784832997678</v>
      </c>
      <c r="AC74" s="21">
        <f t="shared" si="57"/>
        <v>1579434.5400000003</v>
      </c>
      <c r="AD74" s="16">
        <f t="shared" si="47"/>
        <v>0.84278713954517337</v>
      </c>
    </row>
    <row r="75" spans="1:30" x14ac:dyDescent="0.25">
      <c r="A75" s="67">
        <v>44805</v>
      </c>
      <c r="B75" s="4">
        <v>13465585.890000001</v>
      </c>
      <c r="C75" s="10">
        <f t="shared" si="34"/>
        <v>6.0257725509525573E-2</v>
      </c>
      <c r="D75" s="7">
        <f t="shared" si="53"/>
        <v>5783694.9200000009</v>
      </c>
      <c r="E75" s="10">
        <f t="shared" si="35"/>
        <v>-6.5027106059185602E-3</v>
      </c>
      <c r="F75" s="4">
        <v>7681890.9699999997</v>
      </c>
      <c r="G75" s="16">
        <f t="shared" si="36"/>
        <v>0.11675775756639495</v>
      </c>
      <c r="H75" s="9">
        <f t="shared" si="54"/>
        <v>0.57048323279455904</v>
      </c>
      <c r="I75" s="21">
        <f t="shared" si="55"/>
        <v>5941806</v>
      </c>
      <c r="J75" s="16">
        <f t="shared" si="37"/>
        <v>9.4879309661768607E-2</v>
      </c>
      <c r="K75" s="18">
        <v>454389</v>
      </c>
      <c r="L75" s="20">
        <f t="shared" si="38"/>
        <v>-0.51007687580191274</v>
      </c>
      <c r="M75" s="18">
        <v>4227841</v>
      </c>
      <c r="N75" s="20">
        <f t="shared" si="39"/>
        <v>0.27604005854069014</v>
      </c>
      <c r="O75" s="18">
        <v>183254</v>
      </c>
      <c r="P75" s="20">
        <f t="shared" si="40"/>
        <v>1.9346297614809549E-2</v>
      </c>
      <c r="Q75" s="18">
        <v>303809</v>
      </c>
      <c r="R75" s="20">
        <f t="shared" si="41"/>
        <v>4.8369175132508824E-2</v>
      </c>
      <c r="S75" s="18">
        <v>456571</v>
      </c>
      <c r="T75" s="20">
        <f t="shared" si="42"/>
        <v>-2.5168727407821723E-2</v>
      </c>
      <c r="U75" s="18">
        <v>75998</v>
      </c>
      <c r="V75" s="20">
        <f t="shared" si="43"/>
        <v>2.2275429770520105E-2</v>
      </c>
      <c r="W75" s="18">
        <v>239944</v>
      </c>
      <c r="X75" s="20">
        <f t="shared" si="44"/>
        <v>0.37966247879711346</v>
      </c>
      <c r="Y75" s="19">
        <f t="shared" si="56"/>
        <v>1740084.9699999997</v>
      </c>
      <c r="Z75" s="20">
        <f t="shared" si="45"/>
        <v>0.19853834090526923</v>
      </c>
      <c r="AA75" s="18">
        <v>574510.71</v>
      </c>
      <c r="AB75" s="17">
        <f t="shared" si="46"/>
        <v>1.2087945191482596E-2</v>
      </c>
      <c r="AC75" s="21">
        <f t="shared" si="57"/>
        <v>1165574.2599999998</v>
      </c>
      <c r="AD75" s="16">
        <f t="shared" si="47"/>
        <v>0.31823925851611445</v>
      </c>
    </row>
    <row r="76" spans="1:30" x14ac:dyDescent="0.25">
      <c r="A76" s="67">
        <v>44835</v>
      </c>
      <c r="B76" s="4">
        <v>16183936.4</v>
      </c>
      <c r="C76" s="10">
        <f t="shared" si="34"/>
        <v>0.35931328539937768</v>
      </c>
      <c r="D76" s="7">
        <f t="shared" si="53"/>
        <v>6579027.4199999999</v>
      </c>
      <c r="E76" s="10">
        <f t="shared" si="35"/>
        <v>0.26552595798458634</v>
      </c>
      <c r="F76" s="4">
        <v>9604908.9800000004</v>
      </c>
      <c r="G76" s="16">
        <f t="shared" si="36"/>
        <v>0.43200520576768753</v>
      </c>
      <c r="H76" s="9">
        <f t="shared" si="54"/>
        <v>0.59348410316293632</v>
      </c>
      <c r="I76" s="21">
        <f t="shared" si="55"/>
        <v>5617857</v>
      </c>
      <c r="J76" s="16">
        <f t="shared" si="37"/>
        <v>5.7924953222654452E-3</v>
      </c>
      <c r="K76" s="18">
        <v>336427</v>
      </c>
      <c r="L76" s="20">
        <f t="shared" si="38"/>
        <v>-0.54856313973023307</v>
      </c>
      <c r="M76" s="18">
        <v>4068037</v>
      </c>
      <c r="N76" s="20">
        <f t="shared" si="39"/>
        <v>0.12008168702371846</v>
      </c>
      <c r="O76" s="18">
        <v>195519</v>
      </c>
      <c r="P76" s="20">
        <f t="shared" si="40"/>
        <v>3.7907823631209592E-2</v>
      </c>
      <c r="Q76" s="18">
        <v>300535</v>
      </c>
      <c r="R76" s="20">
        <f t="shared" si="41"/>
        <v>0.23634725587556504</v>
      </c>
      <c r="S76" s="18">
        <v>531444</v>
      </c>
      <c r="T76" s="20">
        <f t="shared" si="42"/>
        <v>0.50350950154044627</v>
      </c>
      <c r="U76" s="18">
        <v>61317</v>
      </c>
      <c r="V76" s="20">
        <f t="shared" si="43"/>
        <v>-0.59203049940784314</v>
      </c>
      <c r="W76" s="18">
        <v>124578</v>
      </c>
      <c r="X76" s="20">
        <f t="shared" si="44"/>
        <v>-0.54388418616912215</v>
      </c>
      <c r="Y76" s="19">
        <f t="shared" si="56"/>
        <v>3987051.9800000004</v>
      </c>
      <c r="Z76" s="20">
        <f t="shared" si="45"/>
        <v>2.5541200338605972</v>
      </c>
      <c r="AA76" s="18">
        <v>578696.47</v>
      </c>
      <c r="AB76" s="17">
        <f t="shared" si="46"/>
        <v>2.3086267188555221E-2</v>
      </c>
      <c r="AC76" s="21">
        <f t="shared" si="57"/>
        <v>3408355.5100000007</v>
      </c>
      <c r="AD76" s="16">
        <f t="shared" si="47"/>
        <v>5.1282258089021147</v>
      </c>
    </row>
    <row r="77" spans="1:30" x14ac:dyDescent="0.25">
      <c r="A77" s="67">
        <v>44866</v>
      </c>
      <c r="B77" s="4">
        <v>10971669.289999999</v>
      </c>
      <c r="C77" s="10">
        <f t="shared" si="34"/>
        <v>0.12560511716412814</v>
      </c>
      <c r="D77" s="7">
        <f t="shared" si="53"/>
        <v>4394369.629999999</v>
      </c>
      <c r="E77" s="10">
        <f t="shared" si="35"/>
        <v>3.14860983753662E-2</v>
      </c>
      <c r="F77" s="4">
        <v>6577299.6600000001</v>
      </c>
      <c r="G77" s="16">
        <f t="shared" si="36"/>
        <v>0.19867965938068588</v>
      </c>
      <c r="H77" s="9">
        <f t="shared" si="54"/>
        <v>0.59948030569922517</v>
      </c>
      <c r="I77" s="21">
        <f t="shared" si="55"/>
        <v>5515873</v>
      </c>
      <c r="J77" s="16">
        <f t="shared" si="37"/>
        <v>3.8764549818155469E-2</v>
      </c>
      <c r="K77" s="18">
        <v>365430</v>
      </c>
      <c r="L77" s="20">
        <f t="shared" si="38"/>
        <v>-0.38212363614229261</v>
      </c>
      <c r="M77" s="18">
        <v>4094214</v>
      </c>
      <c r="N77" s="20">
        <f t="shared" si="39"/>
        <v>0.15473581933587832</v>
      </c>
      <c r="O77" s="18">
        <v>203505</v>
      </c>
      <c r="P77" s="20">
        <f t="shared" si="40"/>
        <v>1.6904688140234381E-2</v>
      </c>
      <c r="Q77" s="18">
        <v>290354</v>
      </c>
      <c r="R77" s="20">
        <f t="shared" si="41"/>
        <v>-8.4888177302639867E-2</v>
      </c>
      <c r="S77" s="18">
        <v>388398</v>
      </c>
      <c r="T77" s="20">
        <f t="shared" si="42"/>
        <v>6.0171309716831267E-2</v>
      </c>
      <c r="U77" s="18">
        <v>67722</v>
      </c>
      <c r="V77" s="20">
        <f t="shared" si="43"/>
        <v>0.41072804916154571</v>
      </c>
      <c r="W77" s="18">
        <v>106250</v>
      </c>
      <c r="X77" s="20">
        <f t="shared" si="44"/>
        <v>-0.55958366666804837</v>
      </c>
      <c r="Y77" s="19">
        <f t="shared" si="56"/>
        <v>1061426.6600000001</v>
      </c>
      <c r="Z77" s="20">
        <f t="shared" si="45"/>
        <v>4.9937659397756153</v>
      </c>
      <c r="AA77" s="18">
        <v>597853.85</v>
      </c>
      <c r="AB77" s="17">
        <f t="shared" si="46"/>
        <v>-7.9447333209125892E-2</v>
      </c>
      <c r="AC77" s="21">
        <f t="shared" si="57"/>
        <v>463572.81000000017</v>
      </c>
      <c r="AD77" s="16">
        <f t="shared" si="47"/>
        <v>-1.9813919418168973</v>
      </c>
    </row>
    <row r="78" spans="1:30" x14ac:dyDescent="0.25">
      <c r="A78" s="67">
        <v>44896</v>
      </c>
      <c r="B78" s="4">
        <v>14337958.02</v>
      </c>
      <c r="C78" s="10">
        <f t="shared" si="34"/>
        <v>-0.36889804337133036</v>
      </c>
      <c r="D78" s="7">
        <f t="shared" si="53"/>
        <v>6021602.5499999998</v>
      </c>
      <c r="E78" s="10">
        <f t="shared" si="35"/>
        <v>-0.46001501524570509</v>
      </c>
      <c r="F78" s="4">
        <v>8316355.4699999997</v>
      </c>
      <c r="G78" s="16">
        <f t="shared" si="36"/>
        <v>-0.28105847207808166</v>
      </c>
      <c r="H78" s="9">
        <f t="shared" si="54"/>
        <v>0.58002370061340158</v>
      </c>
      <c r="I78" s="21">
        <f t="shared" si="55"/>
        <v>5500235</v>
      </c>
      <c r="J78" s="16">
        <f t="shared" si="37"/>
        <v>0.14052609598838117</v>
      </c>
      <c r="K78" s="18">
        <v>351089</v>
      </c>
      <c r="L78" s="20">
        <f t="shared" si="38"/>
        <v>-0.26949901584223512</v>
      </c>
      <c r="M78" s="18">
        <v>3908270</v>
      </c>
      <c r="N78" s="20">
        <f t="shared" si="39"/>
        <v>0.28298627581839719</v>
      </c>
      <c r="O78" s="18">
        <v>206944</v>
      </c>
      <c r="P78" s="20">
        <f t="shared" si="40"/>
        <v>-1.6285592052098674E-2</v>
      </c>
      <c r="Q78" s="18">
        <v>349950</v>
      </c>
      <c r="R78" s="20">
        <f t="shared" si="41"/>
        <v>1.1562364503540978E-2</v>
      </c>
      <c r="S78" s="18">
        <v>507845</v>
      </c>
      <c r="T78" s="20">
        <f t="shared" si="42"/>
        <v>0.17088899443427419</v>
      </c>
      <c r="U78" s="18">
        <v>75141</v>
      </c>
      <c r="V78" s="20">
        <f t="shared" si="43"/>
        <v>1.9527271298333857</v>
      </c>
      <c r="W78" s="18">
        <v>100996</v>
      </c>
      <c r="X78" s="20">
        <f t="shared" si="44"/>
        <v>-0.63956389072286357</v>
      </c>
      <c r="Y78" s="19">
        <f t="shared" si="56"/>
        <v>2816120.4699999997</v>
      </c>
      <c r="Z78" s="20">
        <f t="shared" si="45"/>
        <v>-0.58248504291077707</v>
      </c>
      <c r="AA78" s="18">
        <v>580110.18999999994</v>
      </c>
      <c r="AB78" s="17">
        <f t="shared" si="46"/>
        <v>-0.12090397851776202</v>
      </c>
      <c r="AC78" s="21">
        <f t="shared" si="57"/>
        <v>2236010.2799999998</v>
      </c>
      <c r="AD78" s="16">
        <f t="shared" si="47"/>
        <v>-0.63254115085929208</v>
      </c>
    </row>
    <row r="79" spans="1:30" x14ac:dyDescent="0.25">
      <c r="A79" s="34" t="s">
        <v>21</v>
      </c>
      <c r="B79" s="26">
        <f>SUM(B67:B78)</f>
        <v>159104486.56000003</v>
      </c>
      <c r="C79" s="24">
        <f>(B79/B66)-1</f>
        <v>0.1184997853239047</v>
      </c>
      <c r="D79" s="26">
        <f>SUM(D67:D78)</f>
        <v>67894674.179999992</v>
      </c>
      <c r="E79" s="24">
        <f>(D79/D66)-1</f>
        <v>7.796781235824457E-2</v>
      </c>
      <c r="F79" s="26">
        <f>SUM(F67:F78)</f>
        <v>91209812.379999995</v>
      </c>
      <c r="G79" s="27">
        <f>(F79/F66)-1</f>
        <v>0.15070682331571339</v>
      </c>
      <c r="H79" s="28">
        <f>AVERAGE(H67:H78)</f>
        <v>0.57579243608718267</v>
      </c>
      <c r="I79" s="29">
        <f>SUM(I67:I78)</f>
        <v>64212223</v>
      </c>
      <c r="J79" s="27">
        <f>(I79/I66)-1</f>
        <v>6.2531668678919017E-2</v>
      </c>
      <c r="K79" s="29">
        <f>SUM(K67:K78)</f>
        <v>4778080</v>
      </c>
      <c r="L79" s="31">
        <f>(K79/K66)-1</f>
        <v>-0.34736231807013329</v>
      </c>
      <c r="M79" s="29">
        <f>SUM(M67:M78)</f>
        <v>45982287</v>
      </c>
      <c r="N79" s="31">
        <f>(M79/M66)-1</f>
        <v>0.18025732026021668</v>
      </c>
      <c r="O79" s="29">
        <f>SUM(O67:O78)</f>
        <v>2414544</v>
      </c>
      <c r="P79" s="31">
        <f>(O79/O66)-1</f>
        <v>6.838655552168138E-2</v>
      </c>
      <c r="Q79" s="29">
        <f>SUM(Q67:Q78)</f>
        <v>3567662</v>
      </c>
      <c r="R79" s="31">
        <f>(Q79/Q66)-1</f>
        <v>0.10807899662140552</v>
      </c>
      <c r="S79" s="29">
        <f>SUM(S67:S78)</f>
        <v>4609601</v>
      </c>
      <c r="T79" s="31">
        <f>(S79/S66)-1</f>
        <v>-1.7021710346880603E-2</v>
      </c>
      <c r="U79" s="29">
        <f>SUM(U67:U78)</f>
        <v>776409</v>
      </c>
      <c r="V79" s="31">
        <f>(U79/U66)-1</f>
        <v>6.1837214200335389E-2</v>
      </c>
      <c r="W79" s="29">
        <f>SUM(W67:W78)</f>
        <v>2083640</v>
      </c>
      <c r="X79" s="31">
        <f>(W79/W66)-1</f>
        <v>-0.35931665034445759</v>
      </c>
      <c r="Y79" s="29">
        <f>SUM(Y67:Y78)</f>
        <v>26997589.379999999</v>
      </c>
      <c r="Z79" s="31">
        <f>(Y79/Y66)-1</f>
        <v>0.43368326437521554</v>
      </c>
      <c r="AA79" s="29">
        <f>SUM(AA67:AA78)</f>
        <v>5805307.7899999991</v>
      </c>
      <c r="AB79" s="31">
        <f>(AA79/AA66)-1</f>
        <v>1.0491811011670515E-2</v>
      </c>
      <c r="AC79" s="29">
        <f>SUM(AC67:AC78)</f>
        <v>21192281.590000004</v>
      </c>
      <c r="AD79" s="27">
        <f>(AC79/AC66)-1</f>
        <v>0.61947474903657995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C678B-06B8-4FFC-B409-865EF9F91B0E}">
  <sheetPr codeName="Sheet5"/>
  <dimension ref="A1:E97"/>
  <sheetViews>
    <sheetView workbookViewId="0">
      <selection activeCell="A2" sqref="A2:A13"/>
    </sheetView>
  </sheetViews>
  <sheetFormatPr defaultRowHeight="15" x14ac:dyDescent="0.25"/>
  <cols>
    <col min="1" max="1" width="9.5703125" customWidth="1"/>
    <col min="2" max="2" width="14.42578125" bestFit="1" customWidth="1"/>
    <col min="3" max="3" width="19.85546875" customWidth="1"/>
    <col min="4" max="4" width="34.5703125" customWidth="1"/>
    <col min="5" max="5" width="34.7109375" customWidth="1"/>
  </cols>
  <sheetData>
    <row r="1" spans="1:5" x14ac:dyDescent="0.25">
      <c r="A1" t="s">
        <v>24</v>
      </c>
      <c r="B1" t="s">
        <v>12</v>
      </c>
      <c r="C1" t="s">
        <v>54</v>
      </c>
      <c r="D1" t="s">
        <v>55</v>
      </c>
      <c r="E1" t="s">
        <v>56</v>
      </c>
    </row>
    <row r="2" spans="1:5" x14ac:dyDescent="0.25">
      <c r="A2" s="71">
        <v>42736</v>
      </c>
      <c r="B2" s="40">
        <v>8410477</v>
      </c>
    </row>
    <row r="3" spans="1:5" x14ac:dyDescent="0.25">
      <c r="A3" s="71">
        <v>42767</v>
      </c>
      <c r="B3" s="40">
        <v>8781008</v>
      </c>
    </row>
    <row r="4" spans="1:5" x14ac:dyDescent="0.25">
      <c r="A4" s="71">
        <v>42795</v>
      </c>
      <c r="B4" s="40">
        <v>9994730</v>
      </c>
    </row>
    <row r="5" spans="1:5" x14ac:dyDescent="0.25">
      <c r="A5" s="71">
        <v>42826</v>
      </c>
      <c r="B5" s="40">
        <v>10482743</v>
      </c>
    </row>
    <row r="6" spans="1:5" x14ac:dyDescent="0.25">
      <c r="A6" s="71">
        <v>42856</v>
      </c>
      <c r="B6" s="40">
        <v>13324007</v>
      </c>
    </row>
    <row r="7" spans="1:5" x14ac:dyDescent="0.25">
      <c r="A7" s="71">
        <v>42887</v>
      </c>
      <c r="B7" s="40">
        <v>12665976</v>
      </c>
    </row>
    <row r="8" spans="1:5" x14ac:dyDescent="0.25">
      <c r="A8" s="71">
        <v>42917</v>
      </c>
      <c r="B8" s="40">
        <v>13362147</v>
      </c>
    </row>
    <row r="9" spans="1:5" x14ac:dyDescent="0.25">
      <c r="A9" s="71">
        <v>42948</v>
      </c>
      <c r="B9" s="40">
        <v>12258656</v>
      </c>
    </row>
    <row r="10" spans="1:5" x14ac:dyDescent="0.25">
      <c r="A10" s="71">
        <v>42979</v>
      </c>
      <c r="B10" s="40">
        <v>13790745</v>
      </c>
    </row>
    <row r="11" spans="1:5" x14ac:dyDescent="0.25">
      <c r="A11" s="71">
        <v>43009</v>
      </c>
      <c r="B11" s="40">
        <v>13104174</v>
      </c>
    </row>
    <row r="12" spans="1:5" x14ac:dyDescent="0.25">
      <c r="A12" s="71">
        <v>43040</v>
      </c>
      <c r="B12" s="40">
        <v>10410288</v>
      </c>
    </row>
    <row r="13" spans="1:5" x14ac:dyDescent="0.25">
      <c r="A13" s="71">
        <v>43070</v>
      </c>
      <c r="B13" s="40">
        <v>14161423</v>
      </c>
    </row>
    <row r="14" spans="1:5" x14ac:dyDescent="0.25">
      <c r="A14" s="71">
        <v>43101</v>
      </c>
      <c r="B14" s="40">
        <v>8666531</v>
      </c>
    </row>
    <row r="15" spans="1:5" x14ac:dyDescent="0.25">
      <c r="A15" s="71">
        <v>43132</v>
      </c>
      <c r="B15" s="40">
        <v>9471679</v>
      </c>
    </row>
    <row r="16" spans="1:5" x14ac:dyDescent="0.25">
      <c r="A16" s="71">
        <v>43160</v>
      </c>
      <c r="B16" s="40">
        <v>11074954</v>
      </c>
    </row>
    <row r="17" spans="1:2" x14ac:dyDescent="0.25">
      <c r="A17" s="71">
        <v>43191</v>
      </c>
      <c r="B17" s="40">
        <v>13081063</v>
      </c>
    </row>
    <row r="18" spans="1:2" x14ac:dyDescent="0.25">
      <c r="A18" s="71">
        <v>43221</v>
      </c>
      <c r="B18" s="40">
        <v>13754112</v>
      </c>
    </row>
    <row r="19" spans="1:2" x14ac:dyDescent="0.25">
      <c r="A19" s="71">
        <v>43252</v>
      </c>
      <c r="B19" s="40">
        <v>12515143</v>
      </c>
    </row>
    <row r="20" spans="1:2" x14ac:dyDescent="0.25">
      <c r="A20" s="71">
        <v>43282</v>
      </c>
      <c r="B20" s="40">
        <v>13934231</v>
      </c>
    </row>
    <row r="21" spans="1:2" x14ac:dyDescent="0.25">
      <c r="A21" s="71">
        <v>43313</v>
      </c>
      <c r="B21" s="40">
        <v>12916943</v>
      </c>
    </row>
    <row r="22" spans="1:2" x14ac:dyDescent="0.25">
      <c r="A22" s="71">
        <v>43344</v>
      </c>
      <c r="B22" s="40">
        <v>15072902</v>
      </c>
    </row>
    <row r="23" spans="1:2" x14ac:dyDescent="0.25">
      <c r="A23" s="71">
        <v>43374</v>
      </c>
      <c r="B23" s="40">
        <v>14590559</v>
      </c>
    </row>
    <row r="24" spans="1:2" x14ac:dyDescent="0.25">
      <c r="A24" s="71">
        <v>43405</v>
      </c>
      <c r="B24" s="40">
        <v>12189742</v>
      </c>
    </row>
    <row r="25" spans="1:2" x14ac:dyDescent="0.25">
      <c r="A25" s="71">
        <v>43435</v>
      </c>
      <c r="B25" s="40">
        <v>12901234</v>
      </c>
    </row>
    <row r="26" spans="1:2" x14ac:dyDescent="0.25">
      <c r="A26" s="71">
        <v>43466</v>
      </c>
      <c r="B26" s="40">
        <v>6550883</v>
      </c>
    </row>
    <row r="27" spans="1:2" x14ac:dyDescent="0.25">
      <c r="A27" s="71">
        <v>43497</v>
      </c>
      <c r="B27" s="40">
        <v>8363283</v>
      </c>
    </row>
    <row r="28" spans="1:2" x14ac:dyDescent="0.25">
      <c r="A28" s="71">
        <v>43525</v>
      </c>
      <c r="B28" s="40">
        <v>7935684</v>
      </c>
    </row>
    <row r="29" spans="1:2" x14ac:dyDescent="0.25">
      <c r="A29" s="71">
        <v>43556</v>
      </c>
      <c r="B29" s="40">
        <v>11031285</v>
      </c>
    </row>
    <row r="30" spans="1:2" x14ac:dyDescent="0.25">
      <c r="A30" s="71">
        <v>43586</v>
      </c>
      <c r="B30" s="40">
        <v>12192533</v>
      </c>
    </row>
    <row r="31" spans="1:2" x14ac:dyDescent="0.25">
      <c r="A31" s="71">
        <v>43617</v>
      </c>
      <c r="B31" s="40">
        <v>10036330</v>
      </c>
    </row>
    <row r="32" spans="1:2" x14ac:dyDescent="0.25">
      <c r="A32" s="71">
        <v>43647</v>
      </c>
      <c r="B32" s="40">
        <v>13989437</v>
      </c>
    </row>
    <row r="33" spans="1:2" x14ac:dyDescent="0.25">
      <c r="A33" s="71">
        <v>43678</v>
      </c>
      <c r="B33" s="40">
        <v>11808377</v>
      </c>
    </row>
    <row r="34" spans="1:2" x14ac:dyDescent="0.25">
      <c r="A34" s="71">
        <v>43709</v>
      </c>
      <c r="B34" s="40">
        <v>13561815</v>
      </c>
    </row>
    <row r="35" spans="1:2" x14ac:dyDescent="0.25">
      <c r="A35" s="71">
        <v>43739</v>
      </c>
      <c r="B35" s="40">
        <v>9864028</v>
      </c>
    </row>
    <row r="36" spans="1:2" x14ac:dyDescent="0.25">
      <c r="A36" s="71">
        <v>43770</v>
      </c>
      <c r="B36" s="40">
        <v>10806325</v>
      </c>
    </row>
    <row r="37" spans="1:2" x14ac:dyDescent="0.25">
      <c r="A37" s="71">
        <v>43800</v>
      </c>
      <c r="B37" s="40">
        <v>11999947</v>
      </c>
    </row>
    <row r="38" spans="1:2" x14ac:dyDescent="0.25">
      <c r="A38" s="71">
        <v>43831</v>
      </c>
      <c r="B38" s="40">
        <v>5978967</v>
      </c>
    </row>
    <row r="39" spans="1:2" x14ac:dyDescent="0.25">
      <c r="A39" s="71">
        <v>43862</v>
      </c>
      <c r="B39" s="40">
        <v>7583876</v>
      </c>
    </row>
    <row r="40" spans="1:2" x14ac:dyDescent="0.25">
      <c r="A40" s="71">
        <v>43891</v>
      </c>
      <c r="B40" s="40">
        <v>12524631</v>
      </c>
    </row>
    <row r="41" spans="1:2" x14ac:dyDescent="0.25">
      <c r="A41" s="71">
        <v>43922</v>
      </c>
      <c r="B41" s="40">
        <v>11577352.359999999</v>
      </c>
    </row>
    <row r="42" spans="1:2" x14ac:dyDescent="0.25">
      <c r="A42" s="71">
        <v>43952</v>
      </c>
      <c r="B42" s="40">
        <v>12947927.33</v>
      </c>
    </row>
    <row r="43" spans="1:2" x14ac:dyDescent="0.25">
      <c r="A43" s="71">
        <v>43983</v>
      </c>
      <c r="B43" s="40">
        <v>11902556</v>
      </c>
    </row>
    <row r="44" spans="1:2" x14ac:dyDescent="0.25">
      <c r="A44" s="71">
        <v>44013</v>
      </c>
      <c r="B44" s="40">
        <v>11413037</v>
      </c>
    </row>
    <row r="45" spans="1:2" x14ac:dyDescent="0.25">
      <c r="A45" s="71">
        <v>44044</v>
      </c>
      <c r="B45" s="40">
        <v>11491012</v>
      </c>
    </row>
    <row r="46" spans="1:2" x14ac:dyDescent="0.25">
      <c r="A46" s="71">
        <v>44075</v>
      </c>
      <c r="B46" s="40">
        <v>10323500</v>
      </c>
    </row>
    <row r="47" spans="1:2" x14ac:dyDescent="0.25">
      <c r="A47" s="71">
        <v>44105</v>
      </c>
      <c r="B47" s="40">
        <v>12795408</v>
      </c>
    </row>
    <row r="48" spans="1:2" x14ac:dyDescent="0.25">
      <c r="A48" s="71">
        <v>44136</v>
      </c>
      <c r="B48" s="40">
        <v>12202888</v>
      </c>
    </row>
    <row r="49" spans="1:2" x14ac:dyDescent="0.25">
      <c r="A49" s="71">
        <v>44166</v>
      </c>
      <c r="B49" s="40">
        <v>12398731</v>
      </c>
    </row>
    <row r="50" spans="1:2" x14ac:dyDescent="0.25">
      <c r="A50" s="71">
        <v>44197</v>
      </c>
      <c r="B50" s="40">
        <v>6667726</v>
      </c>
    </row>
    <row r="51" spans="1:2" x14ac:dyDescent="0.25">
      <c r="A51" s="71">
        <v>44228</v>
      </c>
      <c r="B51" s="40">
        <v>7611996</v>
      </c>
    </row>
    <row r="52" spans="1:2" x14ac:dyDescent="0.25">
      <c r="A52" s="71">
        <v>44256</v>
      </c>
      <c r="B52" s="40">
        <v>12074039</v>
      </c>
    </row>
    <row r="53" spans="1:2" x14ac:dyDescent="0.25">
      <c r="A53" s="71">
        <v>44287</v>
      </c>
      <c r="B53" s="40">
        <v>13512832</v>
      </c>
    </row>
    <row r="54" spans="1:2" x14ac:dyDescent="0.25">
      <c r="A54" s="71">
        <v>44317</v>
      </c>
      <c r="B54" s="40">
        <v>11412354.42</v>
      </c>
    </row>
    <row r="55" spans="1:2" x14ac:dyDescent="0.25">
      <c r="A55" s="71">
        <v>44348</v>
      </c>
      <c r="B55" s="40">
        <v>11694165</v>
      </c>
    </row>
    <row r="56" spans="1:2" x14ac:dyDescent="0.25">
      <c r="A56" s="71">
        <v>44378</v>
      </c>
      <c r="B56" s="40">
        <v>10900540</v>
      </c>
    </row>
    <row r="57" spans="1:2" x14ac:dyDescent="0.25">
      <c r="A57" s="71">
        <v>44409</v>
      </c>
      <c r="B57" s="40">
        <v>11301926</v>
      </c>
    </row>
    <row r="58" spans="1:2" x14ac:dyDescent="0.25">
      <c r="A58" s="71">
        <v>44440</v>
      </c>
      <c r="B58" s="40">
        <v>12700295</v>
      </c>
    </row>
    <row r="59" spans="1:2" x14ac:dyDescent="0.25">
      <c r="A59" s="71">
        <v>44470</v>
      </c>
      <c r="B59" s="40">
        <v>11905965</v>
      </c>
    </row>
    <row r="60" spans="1:2" x14ac:dyDescent="0.25">
      <c r="A60" s="71">
        <v>44501</v>
      </c>
      <c r="B60" s="40">
        <v>9747352</v>
      </c>
    </row>
    <row r="61" spans="1:2" x14ac:dyDescent="0.25">
      <c r="A61" s="71">
        <v>44531</v>
      </c>
      <c r="B61" s="40">
        <v>22718925</v>
      </c>
    </row>
    <row r="62" spans="1:2" x14ac:dyDescent="0.25">
      <c r="A62" s="71">
        <v>44562</v>
      </c>
      <c r="B62" s="40">
        <v>6179301.2800000003</v>
      </c>
    </row>
    <row r="63" spans="1:2" x14ac:dyDescent="0.25">
      <c r="A63" s="71">
        <v>44593</v>
      </c>
      <c r="B63" s="40">
        <v>8244750.7699999996</v>
      </c>
    </row>
    <row r="64" spans="1:2" x14ac:dyDescent="0.25">
      <c r="A64" s="71">
        <v>44621</v>
      </c>
      <c r="B64" s="40">
        <v>17640985.559999999</v>
      </c>
    </row>
    <row r="65" spans="1:5" x14ac:dyDescent="0.25">
      <c r="A65" s="71">
        <v>44652</v>
      </c>
      <c r="B65" s="40">
        <v>16545016.859999999</v>
      </c>
    </row>
    <row r="66" spans="1:5" x14ac:dyDescent="0.25">
      <c r="A66" s="71">
        <v>44682</v>
      </c>
      <c r="B66" s="40">
        <v>14569736.24</v>
      </c>
    </row>
    <row r="67" spans="1:5" x14ac:dyDescent="0.25">
      <c r="A67" s="71">
        <v>44713</v>
      </c>
      <c r="B67" s="40">
        <v>14177801.85</v>
      </c>
    </row>
    <row r="68" spans="1:5" x14ac:dyDescent="0.25">
      <c r="A68" s="71">
        <v>44743</v>
      </c>
      <c r="B68" s="40">
        <v>12722329.810000001</v>
      </c>
    </row>
    <row r="69" spans="1:5" x14ac:dyDescent="0.25">
      <c r="A69" s="71">
        <v>44774</v>
      </c>
      <c r="B69" s="40">
        <v>14065414.59</v>
      </c>
    </row>
    <row r="70" spans="1:5" x14ac:dyDescent="0.25">
      <c r="A70" s="71">
        <v>44805</v>
      </c>
      <c r="B70" s="40">
        <v>13465585.890000001</v>
      </c>
    </row>
    <row r="71" spans="1:5" x14ac:dyDescent="0.25">
      <c r="A71" s="71">
        <v>44835</v>
      </c>
      <c r="B71" s="40">
        <v>16183936.4</v>
      </c>
    </row>
    <row r="72" spans="1:5" x14ac:dyDescent="0.25">
      <c r="A72" s="71">
        <v>44866</v>
      </c>
      <c r="B72" s="40">
        <v>10971669.289999999</v>
      </c>
    </row>
    <row r="73" spans="1:5" x14ac:dyDescent="0.25">
      <c r="A73" s="71">
        <v>44896</v>
      </c>
      <c r="B73" s="40">
        <v>14337958.02</v>
      </c>
      <c r="C73" s="40">
        <v>14337958.02</v>
      </c>
      <c r="D73" s="40">
        <v>14337958.02</v>
      </c>
      <c r="E73" s="40">
        <v>14337958.02</v>
      </c>
    </row>
    <row r="74" spans="1:5" x14ac:dyDescent="0.25">
      <c r="A74" s="71">
        <v>44927</v>
      </c>
      <c r="C74" s="40">
        <f t="shared" ref="C74:C97" si="0">_xlfn.FORECAST.ETS(A74,$B$2:$B$73,$A$2:$A$73,24,1)</f>
        <v>7933285.940049761</v>
      </c>
      <c r="D74" s="40">
        <f t="shared" ref="D74:D97" si="1">C74-_xlfn.FORECAST.ETS.CONFINT(A74,$B$2:$B$73,$A$2:$A$73,0.95,24,1)</f>
        <v>4237284.9261603504</v>
      </c>
      <c r="E74" s="40">
        <f t="shared" ref="E74:E97" si="2">C74+_xlfn.FORECAST.ETS.CONFINT(A74,$B$2:$B$73,$A$2:$A$73,0.95,24,1)</f>
        <v>11629286.953939172</v>
      </c>
    </row>
    <row r="75" spans="1:5" x14ac:dyDescent="0.25">
      <c r="A75" s="71">
        <v>44958</v>
      </c>
      <c r="C75" s="40">
        <f t="shared" si="0"/>
        <v>9333249.931642402</v>
      </c>
      <c r="D75" s="40">
        <f t="shared" si="1"/>
        <v>5521699.7183725871</v>
      </c>
      <c r="E75" s="40">
        <f t="shared" si="2"/>
        <v>13144800.144912217</v>
      </c>
    </row>
    <row r="76" spans="1:5" x14ac:dyDescent="0.25">
      <c r="A76" s="71">
        <v>44986</v>
      </c>
      <c r="C76" s="40">
        <f t="shared" si="0"/>
        <v>10378176.010516902</v>
      </c>
      <c r="D76" s="40">
        <f t="shared" si="1"/>
        <v>6453598.9535911996</v>
      </c>
      <c r="E76" s="40">
        <f t="shared" si="2"/>
        <v>14302753.067442605</v>
      </c>
    </row>
    <row r="77" spans="1:5" x14ac:dyDescent="0.25">
      <c r="A77" s="71">
        <v>45017</v>
      </c>
      <c r="C77" s="40">
        <f t="shared" si="0"/>
        <v>12390200.534453282</v>
      </c>
      <c r="D77" s="40">
        <f t="shared" si="1"/>
        <v>8354903.6484819613</v>
      </c>
      <c r="E77" s="40">
        <f t="shared" si="2"/>
        <v>16425497.420424603</v>
      </c>
    </row>
    <row r="78" spans="1:5" x14ac:dyDescent="0.25">
      <c r="A78" s="71">
        <v>45047</v>
      </c>
      <c r="C78" s="40">
        <f t="shared" si="0"/>
        <v>12888373.417964505</v>
      </c>
      <c r="D78" s="40">
        <f t="shared" si="1"/>
        <v>8744475.4950336255</v>
      </c>
      <c r="E78" s="40">
        <f t="shared" si="2"/>
        <v>17032271.340895385</v>
      </c>
    </row>
    <row r="79" spans="1:5" x14ac:dyDescent="0.25">
      <c r="A79" s="71">
        <v>45078</v>
      </c>
      <c r="C79" s="40">
        <f t="shared" si="0"/>
        <v>11676952.069095947</v>
      </c>
      <c r="D79" s="40">
        <f t="shared" si="1"/>
        <v>7426406.2794569684</v>
      </c>
      <c r="E79" s="40">
        <f t="shared" si="2"/>
        <v>15927497.858734924</v>
      </c>
    </row>
    <row r="80" spans="1:5" x14ac:dyDescent="0.25">
      <c r="A80" s="71">
        <v>45108</v>
      </c>
      <c r="C80" s="40">
        <f t="shared" si="0"/>
        <v>13928165.291068515</v>
      </c>
      <c r="D80" s="40">
        <f t="shared" si="1"/>
        <v>9572778.1875819359</v>
      </c>
      <c r="E80" s="40">
        <f t="shared" si="2"/>
        <v>18283552.394555092</v>
      </c>
    </row>
    <row r="81" spans="1:5" x14ac:dyDescent="0.25">
      <c r="A81" s="71">
        <v>45139</v>
      </c>
      <c r="C81" s="40">
        <f t="shared" si="0"/>
        <v>12817964.446918001</v>
      </c>
      <c r="D81" s="40">
        <f t="shared" si="1"/>
        <v>8359412.0752712879</v>
      </c>
      <c r="E81" s="40">
        <f t="shared" si="2"/>
        <v>17276516.818564713</v>
      </c>
    </row>
    <row r="82" spans="1:5" x14ac:dyDescent="0.25">
      <c r="A82" s="71">
        <v>45170</v>
      </c>
      <c r="C82" s="40">
        <f t="shared" si="0"/>
        <v>14513605.314734869</v>
      </c>
      <c r="D82" s="40">
        <f t="shared" si="1"/>
        <v>9953446.9710846618</v>
      </c>
      <c r="E82" s="40">
        <f t="shared" si="2"/>
        <v>19073763.658385076</v>
      </c>
    </row>
    <row r="83" spans="1:5" x14ac:dyDescent="0.25">
      <c r="A83" s="71">
        <v>45200</v>
      </c>
      <c r="C83" s="40">
        <f t="shared" si="0"/>
        <v>12020696.757342923</v>
      </c>
      <c r="D83" s="40">
        <f t="shared" si="1"/>
        <v>7360386.8162121419</v>
      </c>
      <c r="E83" s="40">
        <f t="shared" si="2"/>
        <v>16681006.698473705</v>
      </c>
    </row>
    <row r="84" spans="1:5" x14ac:dyDescent="0.25">
      <c r="A84" s="71">
        <v>45231</v>
      </c>
      <c r="C84" s="40">
        <f t="shared" si="0"/>
        <v>11523242.988937328</v>
      </c>
      <c r="D84" s="40">
        <f t="shared" si="1"/>
        <v>6764141.1349860057</v>
      </c>
      <c r="E84" s="40">
        <f t="shared" si="2"/>
        <v>16282344.84288865</v>
      </c>
    </row>
    <row r="85" spans="1:5" x14ac:dyDescent="0.25">
      <c r="A85" s="71">
        <v>45261</v>
      </c>
      <c r="C85" s="40">
        <f t="shared" si="0"/>
        <v>16617813.906543173</v>
      </c>
      <c r="D85" s="40">
        <f t="shared" si="1"/>
        <v>11761194.036031261</v>
      </c>
      <c r="E85" s="40">
        <f t="shared" si="2"/>
        <v>21474433.777055085</v>
      </c>
    </row>
    <row r="86" spans="1:5" x14ac:dyDescent="0.25">
      <c r="A86" s="71">
        <v>45292</v>
      </c>
      <c r="C86" s="40">
        <f t="shared" si="0"/>
        <v>7591322.2121710312</v>
      </c>
      <c r="D86" s="40">
        <f t="shared" si="1"/>
        <v>2638380.2178252386</v>
      </c>
      <c r="E86" s="40">
        <f t="shared" si="2"/>
        <v>12544264.206516825</v>
      </c>
    </row>
    <row r="87" spans="1:5" x14ac:dyDescent="0.25">
      <c r="A87" s="71">
        <v>45323</v>
      </c>
      <c r="C87" s="40">
        <f t="shared" si="0"/>
        <v>9301684.8268278241</v>
      </c>
      <c r="D87" s="40">
        <f t="shared" si="1"/>
        <v>4253545.4393664692</v>
      </c>
      <c r="E87" s="40">
        <f t="shared" si="2"/>
        <v>14349824.214289179</v>
      </c>
    </row>
    <row r="88" spans="1:5" x14ac:dyDescent="0.25">
      <c r="A88" s="71">
        <v>45352</v>
      </c>
      <c r="C88" s="40">
        <f t="shared" si="0"/>
        <v>14309005.280940406</v>
      </c>
      <c r="D88" s="40">
        <f t="shared" si="1"/>
        <v>9166728.1087965295</v>
      </c>
      <c r="E88" s="40">
        <f t="shared" si="2"/>
        <v>19451282.453084283</v>
      </c>
    </row>
    <row r="89" spans="1:5" x14ac:dyDescent="0.25">
      <c r="A89" s="71">
        <v>45383</v>
      </c>
      <c r="C89" s="40">
        <f t="shared" si="0"/>
        <v>14040534.825679218</v>
      </c>
      <c r="D89" s="40">
        <f t="shared" si="1"/>
        <v>8805119.709383186</v>
      </c>
      <c r="E89" s="40">
        <f t="shared" si="2"/>
        <v>19275949.941975251</v>
      </c>
    </row>
    <row r="90" spans="1:5" x14ac:dyDescent="0.25">
      <c r="A90" s="71">
        <v>45413</v>
      </c>
      <c r="C90" s="40">
        <f t="shared" si="0"/>
        <v>14231435.033104917</v>
      </c>
      <c r="D90" s="40">
        <f t="shared" si="1"/>
        <v>8903826.8107923344</v>
      </c>
      <c r="E90" s="40">
        <f t="shared" si="2"/>
        <v>19559043.2554175</v>
      </c>
    </row>
    <row r="91" spans="1:5" x14ac:dyDescent="0.25">
      <c r="A91" s="71">
        <v>45444</v>
      </c>
      <c r="C91" s="40">
        <f t="shared" si="0"/>
        <v>13382575.798920872</v>
      </c>
      <c r="D91" s="40">
        <f t="shared" si="1"/>
        <v>7963668.5633673854</v>
      </c>
      <c r="E91" s="40">
        <f t="shared" si="2"/>
        <v>18801483.034474358</v>
      </c>
    </row>
    <row r="92" spans="1:5" x14ac:dyDescent="0.25">
      <c r="A92" s="71">
        <v>45474</v>
      </c>
      <c r="C92" s="40">
        <f t="shared" si="0"/>
        <v>13368724.528987285</v>
      </c>
      <c r="D92" s="40">
        <f t="shared" si="1"/>
        <v>7859365.44357346</v>
      </c>
      <c r="E92" s="40">
        <f t="shared" si="2"/>
        <v>18878083.61440111</v>
      </c>
    </row>
    <row r="93" spans="1:5" x14ac:dyDescent="0.25">
      <c r="A93" s="71">
        <v>45505</v>
      </c>
      <c r="C93" s="40">
        <f t="shared" si="0"/>
        <v>13549508.884738777</v>
      </c>
      <c r="D93" s="40">
        <f t="shared" si="1"/>
        <v>7950501.6151602296</v>
      </c>
      <c r="E93" s="40">
        <f t="shared" si="2"/>
        <v>19148516.154317323</v>
      </c>
    </row>
    <row r="94" spans="1:5" x14ac:dyDescent="0.25">
      <c r="A94" s="71">
        <v>45536</v>
      </c>
      <c r="C94" s="40">
        <f t="shared" si="0"/>
        <v>13699866.26581425</v>
      </c>
      <c r="D94" s="40">
        <f t="shared" si="1"/>
        <v>8011974.0756733725</v>
      </c>
      <c r="E94" s="40">
        <f t="shared" si="2"/>
        <v>19387758.455955129</v>
      </c>
    </row>
    <row r="95" spans="1:5" x14ac:dyDescent="0.25">
      <c r="A95" s="71">
        <v>45566</v>
      </c>
      <c r="C95" s="40">
        <f t="shared" si="0"/>
        <v>15292417.573258199</v>
      </c>
      <c r="D95" s="40">
        <f t="shared" si="1"/>
        <v>9516366.1245178599</v>
      </c>
      <c r="E95" s="40">
        <f t="shared" si="2"/>
        <v>21068469.02199854</v>
      </c>
    </row>
    <row r="96" spans="1:5" x14ac:dyDescent="0.25">
      <c r="A96" s="71">
        <v>45597</v>
      </c>
      <c r="C96" s="40">
        <f t="shared" si="0"/>
        <v>12853619.704384293</v>
      </c>
      <c r="D96" s="40">
        <f t="shared" si="1"/>
        <v>6990099.5977308042</v>
      </c>
      <c r="E96" s="40">
        <f t="shared" si="2"/>
        <v>18717139.811037783</v>
      </c>
    </row>
    <row r="97" spans="1:5" x14ac:dyDescent="0.25">
      <c r="A97" s="71">
        <v>45627</v>
      </c>
      <c r="C97" s="40">
        <f t="shared" si="0"/>
        <v>14384100.154047547</v>
      </c>
      <c r="D97" s="40">
        <f t="shared" si="1"/>
        <v>8433769.239265101</v>
      </c>
      <c r="E97" s="40">
        <f t="shared" si="2"/>
        <v>20334431.068829991</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6FE52-563A-42F9-9C5C-8BBC749220EB}">
  <sheetPr codeName="Sheet6"/>
  <dimension ref="A1:E97"/>
  <sheetViews>
    <sheetView workbookViewId="0">
      <selection activeCell="A2" sqref="A2:A9"/>
    </sheetView>
  </sheetViews>
  <sheetFormatPr defaultRowHeight="15" x14ac:dyDescent="0.25"/>
  <cols>
    <col min="1" max="1" width="9.5703125" customWidth="1"/>
    <col min="2" max="2" width="18" customWidth="1"/>
    <col min="3" max="3" width="26.85546875" customWidth="1"/>
    <col min="4" max="4" width="41.5703125" customWidth="1"/>
    <col min="5" max="5" width="41.7109375" customWidth="1"/>
  </cols>
  <sheetData>
    <row r="1" spans="1:5" x14ac:dyDescent="0.25">
      <c r="A1" t="s">
        <v>24</v>
      </c>
      <c r="B1" t="s">
        <v>11</v>
      </c>
      <c r="C1" t="s">
        <v>57</v>
      </c>
      <c r="D1" t="s">
        <v>58</v>
      </c>
      <c r="E1" t="s">
        <v>59</v>
      </c>
    </row>
    <row r="2" spans="1:5" x14ac:dyDescent="0.25">
      <c r="A2" s="71">
        <v>42736</v>
      </c>
      <c r="B2" s="40">
        <v>584513</v>
      </c>
    </row>
    <row r="3" spans="1:5" x14ac:dyDescent="0.25">
      <c r="A3" s="71">
        <v>42767</v>
      </c>
      <c r="B3" s="40">
        <v>226660</v>
      </c>
    </row>
    <row r="4" spans="1:5" x14ac:dyDescent="0.25">
      <c r="A4" s="71">
        <v>42795</v>
      </c>
      <c r="B4" s="40">
        <v>790968</v>
      </c>
    </row>
    <row r="5" spans="1:5" x14ac:dyDescent="0.25">
      <c r="A5" s="71">
        <v>42826</v>
      </c>
      <c r="B5" s="40">
        <v>-534814</v>
      </c>
    </row>
    <row r="6" spans="1:5" x14ac:dyDescent="0.25">
      <c r="A6" s="71">
        <v>42856</v>
      </c>
      <c r="B6" s="40">
        <v>1845483</v>
      </c>
    </row>
    <row r="7" spans="1:5" x14ac:dyDescent="0.25">
      <c r="A7" s="71">
        <v>42887</v>
      </c>
      <c r="B7" s="40">
        <v>1622107</v>
      </c>
    </row>
    <row r="8" spans="1:5" x14ac:dyDescent="0.25">
      <c r="A8" s="71">
        <v>42917</v>
      </c>
      <c r="B8" s="40">
        <v>2100689</v>
      </c>
    </row>
    <row r="9" spans="1:5" x14ac:dyDescent="0.25">
      <c r="A9" s="71">
        <v>42948</v>
      </c>
      <c r="B9" s="40">
        <v>1205797</v>
      </c>
    </row>
    <row r="10" spans="1:5" x14ac:dyDescent="0.25">
      <c r="A10" s="71">
        <v>42979</v>
      </c>
      <c r="B10" s="40">
        <v>1656975</v>
      </c>
    </row>
    <row r="11" spans="1:5" x14ac:dyDescent="0.25">
      <c r="A11" s="71">
        <v>43009</v>
      </c>
      <c r="B11" s="40">
        <v>-160741</v>
      </c>
    </row>
    <row r="12" spans="1:5" x14ac:dyDescent="0.25">
      <c r="A12" s="71">
        <v>43040</v>
      </c>
      <c r="B12" s="40">
        <v>-73376</v>
      </c>
    </row>
    <row r="13" spans="1:5" x14ac:dyDescent="0.25">
      <c r="A13" s="71">
        <v>43070</v>
      </c>
      <c r="B13" s="40">
        <v>1102754</v>
      </c>
    </row>
    <row r="14" spans="1:5" x14ac:dyDescent="0.25">
      <c r="A14" s="71">
        <v>43101</v>
      </c>
      <c r="B14" s="40">
        <v>-281804</v>
      </c>
    </row>
    <row r="15" spans="1:5" x14ac:dyDescent="0.25">
      <c r="A15" s="71">
        <v>43132</v>
      </c>
      <c r="B15" s="40">
        <v>-434662</v>
      </c>
    </row>
    <row r="16" spans="1:5" x14ac:dyDescent="0.25">
      <c r="A16" s="71">
        <v>43160</v>
      </c>
      <c r="B16" s="40">
        <v>1499031</v>
      </c>
    </row>
    <row r="17" spans="1:2" x14ac:dyDescent="0.25">
      <c r="A17" s="71">
        <v>43191</v>
      </c>
      <c r="B17" s="40">
        <v>1859716</v>
      </c>
    </row>
    <row r="18" spans="1:2" x14ac:dyDescent="0.25">
      <c r="A18" s="71">
        <v>43221</v>
      </c>
      <c r="B18" s="40">
        <v>1253751</v>
      </c>
    </row>
    <row r="19" spans="1:2" x14ac:dyDescent="0.25">
      <c r="A19" s="71">
        <v>43252</v>
      </c>
      <c r="B19" s="40">
        <v>1337050</v>
      </c>
    </row>
    <row r="20" spans="1:2" x14ac:dyDescent="0.25">
      <c r="A20" s="71">
        <v>43282</v>
      </c>
      <c r="B20" s="40">
        <v>1975874</v>
      </c>
    </row>
    <row r="21" spans="1:2" x14ac:dyDescent="0.25">
      <c r="A21" s="71">
        <v>43313</v>
      </c>
      <c r="B21" s="40">
        <v>390946</v>
      </c>
    </row>
    <row r="22" spans="1:2" x14ac:dyDescent="0.25">
      <c r="A22" s="71">
        <v>43344</v>
      </c>
      <c r="B22" s="40">
        <v>1726764</v>
      </c>
    </row>
    <row r="23" spans="1:2" x14ac:dyDescent="0.25">
      <c r="A23" s="71">
        <v>43374</v>
      </c>
      <c r="B23" s="40">
        <v>2259440</v>
      </c>
    </row>
    <row r="24" spans="1:2" x14ac:dyDescent="0.25">
      <c r="A24" s="71">
        <v>43405</v>
      </c>
      <c r="B24" s="40">
        <v>637235</v>
      </c>
    </row>
    <row r="25" spans="1:2" x14ac:dyDescent="0.25">
      <c r="A25" s="71">
        <v>43435</v>
      </c>
      <c r="B25" s="40">
        <v>1199087</v>
      </c>
    </row>
    <row r="26" spans="1:2" x14ac:dyDescent="0.25">
      <c r="A26" s="71">
        <v>43466</v>
      </c>
      <c r="B26" s="40">
        <v>-1218320</v>
      </c>
    </row>
    <row r="27" spans="1:2" x14ac:dyDescent="0.25">
      <c r="A27" s="71">
        <v>43497</v>
      </c>
      <c r="B27" s="40">
        <v>-128852</v>
      </c>
    </row>
    <row r="28" spans="1:2" x14ac:dyDescent="0.25">
      <c r="A28" s="71">
        <v>43525</v>
      </c>
      <c r="B28" s="40">
        <v>-347373.65000000037</v>
      </c>
    </row>
    <row r="29" spans="1:2" x14ac:dyDescent="0.25">
      <c r="A29" s="71">
        <v>43556</v>
      </c>
      <c r="B29" s="40">
        <v>3126704.58</v>
      </c>
    </row>
    <row r="30" spans="1:2" x14ac:dyDescent="0.25">
      <c r="A30" s="71">
        <v>43586</v>
      </c>
      <c r="B30" s="40">
        <v>1922942.7999999998</v>
      </c>
    </row>
    <row r="31" spans="1:2" x14ac:dyDescent="0.25">
      <c r="A31" s="71">
        <v>43617</v>
      </c>
      <c r="B31" s="40">
        <v>245926.33000000007</v>
      </c>
    </row>
    <row r="32" spans="1:2" x14ac:dyDescent="0.25">
      <c r="A32" s="71">
        <v>43647</v>
      </c>
      <c r="B32" s="40">
        <v>2146786.3200000003</v>
      </c>
    </row>
    <row r="33" spans="1:2" x14ac:dyDescent="0.25">
      <c r="A33" s="71">
        <v>43678</v>
      </c>
      <c r="B33" s="40">
        <v>738264.96999999974</v>
      </c>
    </row>
    <row r="34" spans="1:2" x14ac:dyDescent="0.25">
      <c r="A34" s="71">
        <v>43709</v>
      </c>
      <c r="B34" s="40">
        <v>911457</v>
      </c>
    </row>
    <row r="35" spans="1:2" x14ac:dyDescent="0.25">
      <c r="A35" s="71">
        <v>43739</v>
      </c>
      <c r="B35" s="40">
        <v>-736886.75</v>
      </c>
    </row>
    <row r="36" spans="1:2" x14ac:dyDescent="0.25">
      <c r="A36" s="71">
        <v>43770</v>
      </c>
      <c r="B36" s="40">
        <v>99089.730000000447</v>
      </c>
    </row>
    <row r="37" spans="1:2" x14ac:dyDescent="0.25">
      <c r="A37" s="71">
        <v>43800</v>
      </c>
      <c r="B37" s="40">
        <v>-701431</v>
      </c>
    </row>
    <row r="38" spans="1:2" x14ac:dyDescent="0.25">
      <c r="A38" s="71">
        <v>43831</v>
      </c>
      <c r="B38" s="40">
        <v>-1650328.1099999999</v>
      </c>
    </row>
    <row r="39" spans="1:2" x14ac:dyDescent="0.25">
      <c r="A39" s="71">
        <v>43862</v>
      </c>
      <c r="B39" s="40">
        <v>-822213.9299999997</v>
      </c>
    </row>
    <row r="40" spans="1:2" x14ac:dyDescent="0.25">
      <c r="A40" s="71">
        <v>43891</v>
      </c>
      <c r="B40" s="40">
        <v>1719340.04</v>
      </c>
    </row>
    <row r="41" spans="1:2" x14ac:dyDescent="0.25">
      <c r="A41" s="71">
        <v>43922</v>
      </c>
      <c r="B41" s="40">
        <v>2234452.66</v>
      </c>
    </row>
    <row r="42" spans="1:2" x14ac:dyDescent="0.25">
      <c r="A42" s="71">
        <v>43952</v>
      </c>
      <c r="B42" s="40">
        <v>2797861.6900000004</v>
      </c>
    </row>
    <row r="43" spans="1:2" x14ac:dyDescent="0.25">
      <c r="A43" s="71">
        <v>43983</v>
      </c>
      <c r="B43" s="40">
        <v>2186096.6099999994</v>
      </c>
    </row>
    <row r="44" spans="1:2" x14ac:dyDescent="0.25">
      <c r="A44" s="71">
        <v>44013</v>
      </c>
      <c r="B44" s="40">
        <v>1906860.4000000004</v>
      </c>
    </row>
    <row r="45" spans="1:2" x14ac:dyDescent="0.25">
      <c r="A45" s="71">
        <v>44044</v>
      </c>
      <c r="B45" s="40">
        <v>1811411.79</v>
      </c>
    </row>
    <row r="46" spans="1:2" x14ac:dyDescent="0.25">
      <c r="A46" s="71">
        <v>44075</v>
      </c>
      <c r="B46" s="40">
        <v>1425791.6600000001</v>
      </c>
    </row>
    <row r="47" spans="1:2" x14ac:dyDescent="0.25">
      <c r="A47" s="71">
        <v>44105</v>
      </c>
      <c r="B47" s="40">
        <v>2442178.41</v>
      </c>
    </row>
    <row r="48" spans="1:2" x14ac:dyDescent="0.25">
      <c r="A48" s="71">
        <v>44136</v>
      </c>
      <c r="B48" s="40">
        <v>2343681.5999999996</v>
      </c>
    </row>
    <row r="49" spans="1:2" x14ac:dyDescent="0.25">
      <c r="A49" s="71">
        <v>44166</v>
      </c>
      <c r="B49" s="40">
        <v>2210709.8099999996</v>
      </c>
    </row>
    <row r="50" spans="1:2" x14ac:dyDescent="0.25">
      <c r="A50" s="71">
        <v>44197</v>
      </c>
      <c r="B50" s="40">
        <v>-576984.60999999987</v>
      </c>
    </row>
    <row r="51" spans="1:2" x14ac:dyDescent="0.25">
      <c r="A51" s="71">
        <v>44228</v>
      </c>
      <c r="B51" s="40">
        <v>337840.21999999974</v>
      </c>
    </row>
    <row r="52" spans="1:2" x14ac:dyDescent="0.25">
      <c r="A52" s="71">
        <v>44256</v>
      </c>
      <c r="B52" s="40">
        <v>1461862.13</v>
      </c>
    </row>
    <row r="53" spans="1:2" x14ac:dyDescent="0.25">
      <c r="A53" s="71">
        <v>44287</v>
      </c>
      <c r="B53" s="40">
        <v>2161583.7400000002</v>
      </c>
    </row>
    <row r="54" spans="1:2" x14ac:dyDescent="0.25">
      <c r="A54" s="71">
        <v>44317</v>
      </c>
      <c r="B54" s="40">
        <v>980925.99000000022</v>
      </c>
    </row>
    <row r="55" spans="1:2" x14ac:dyDescent="0.25">
      <c r="A55" s="71">
        <v>44348</v>
      </c>
      <c r="B55" s="40">
        <v>460364.19000000041</v>
      </c>
    </row>
    <row r="56" spans="1:2" x14ac:dyDescent="0.25">
      <c r="A56" s="71">
        <v>44378</v>
      </c>
      <c r="B56" s="40">
        <v>350152.37000000011</v>
      </c>
    </row>
    <row r="57" spans="1:2" x14ac:dyDescent="0.25">
      <c r="A57" s="71">
        <v>44409</v>
      </c>
      <c r="B57" s="40">
        <v>857090.05999999959</v>
      </c>
    </row>
    <row r="58" spans="1:2" x14ac:dyDescent="0.25">
      <c r="A58" s="71">
        <v>44440</v>
      </c>
      <c r="B58" s="40">
        <v>884190.21999999974</v>
      </c>
    </row>
    <row r="59" spans="1:2" x14ac:dyDescent="0.25">
      <c r="A59" s="71">
        <v>44470</v>
      </c>
      <c r="B59" s="40">
        <v>556173.29</v>
      </c>
    </row>
    <row r="60" spans="1:2" x14ac:dyDescent="0.25">
      <c r="A60" s="71">
        <v>44501</v>
      </c>
      <c r="B60" s="40">
        <v>-472362.55999999959</v>
      </c>
    </row>
    <row r="61" spans="1:2" x14ac:dyDescent="0.25">
      <c r="A61" s="71">
        <v>44531</v>
      </c>
      <c r="B61" s="40">
        <v>6085063.0899999999</v>
      </c>
    </row>
    <row r="62" spans="1:2" x14ac:dyDescent="0.25">
      <c r="A62" s="71">
        <v>44562</v>
      </c>
      <c r="B62" s="40">
        <v>-1095686.21</v>
      </c>
    </row>
    <row r="63" spans="1:2" x14ac:dyDescent="0.25">
      <c r="A63" s="71">
        <v>44593</v>
      </c>
      <c r="B63" s="40">
        <v>390140.31</v>
      </c>
    </row>
    <row r="64" spans="1:2" x14ac:dyDescent="0.25">
      <c r="A64" s="71">
        <v>44621</v>
      </c>
      <c r="B64" s="40">
        <v>4171072.7099999995</v>
      </c>
    </row>
    <row r="65" spans="1:5" x14ac:dyDescent="0.25">
      <c r="A65" s="71">
        <v>44652</v>
      </c>
      <c r="B65" s="40">
        <v>3143212.4800000004</v>
      </c>
    </row>
    <row r="66" spans="1:5" x14ac:dyDescent="0.25">
      <c r="A66" s="71">
        <v>44682</v>
      </c>
      <c r="B66" s="40">
        <v>2311797.1100000003</v>
      </c>
    </row>
    <row r="67" spans="1:5" x14ac:dyDescent="0.25">
      <c r="A67" s="71">
        <v>44713</v>
      </c>
      <c r="B67" s="40">
        <v>2201789.79</v>
      </c>
    </row>
    <row r="68" spans="1:5" x14ac:dyDescent="0.25">
      <c r="A68" s="71">
        <v>44743</v>
      </c>
      <c r="B68" s="40">
        <v>1217007.9999999998</v>
      </c>
    </row>
    <row r="69" spans="1:5" x14ac:dyDescent="0.25">
      <c r="A69" s="71">
        <v>44774</v>
      </c>
      <c r="B69" s="40">
        <v>1579434.5400000003</v>
      </c>
    </row>
    <row r="70" spans="1:5" x14ac:dyDescent="0.25">
      <c r="A70" s="71">
        <v>44805</v>
      </c>
      <c r="B70" s="40">
        <v>1165574.2599999998</v>
      </c>
    </row>
    <row r="71" spans="1:5" x14ac:dyDescent="0.25">
      <c r="A71" s="71">
        <v>44835</v>
      </c>
      <c r="B71" s="40">
        <v>3408355.5100000007</v>
      </c>
    </row>
    <row r="72" spans="1:5" x14ac:dyDescent="0.25">
      <c r="A72" s="71">
        <v>44866</v>
      </c>
      <c r="B72" s="40">
        <v>463572.81000000017</v>
      </c>
    </row>
    <row r="73" spans="1:5" x14ac:dyDescent="0.25">
      <c r="A73" s="71">
        <v>44896</v>
      </c>
      <c r="B73" s="40">
        <v>2236010.2799999998</v>
      </c>
      <c r="C73" s="40">
        <v>2236010.2799999998</v>
      </c>
      <c r="D73" s="40">
        <v>2236010.2799999998</v>
      </c>
      <c r="E73" s="40">
        <v>2236010.2799999998</v>
      </c>
    </row>
    <row r="74" spans="1:5" x14ac:dyDescent="0.25">
      <c r="A74" s="42">
        <v>44927</v>
      </c>
      <c r="C74" s="40">
        <f t="shared" ref="C74:C97" si="0">_xlfn.FORECAST.ETS(A74,$B$2:$B$73,$A$2:$A$73,12,1)</f>
        <v>-123348.48666308704</v>
      </c>
      <c r="D74" s="40">
        <f t="shared" ref="D74:D97" si="1">C74-_xlfn.FORECAST.ETS.CONFINT(A74,$B$2:$B$73,$A$2:$A$73,0.95,12,1)</f>
        <v>-2564847.7399744475</v>
      </c>
      <c r="E74" s="40">
        <f t="shared" ref="E74:E97" si="2">C74+_xlfn.FORECAST.ETS.CONFINT(A74,$B$2:$B$73,$A$2:$A$73,0.95,12,1)</f>
        <v>2318150.7666482739</v>
      </c>
    </row>
    <row r="75" spans="1:5" x14ac:dyDescent="0.25">
      <c r="A75" s="42">
        <v>44958</v>
      </c>
      <c r="C75" s="40">
        <f t="shared" si="0"/>
        <v>457245.57019459247</v>
      </c>
      <c r="D75" s="40">
        <f t="shared" si="1"/>
        <v>-2003864.3948582809</v>
      </c>
      <c r="E75" s="40">
        <f t="shared" si="2"/>
        <v>2918355.5352474656</v>
      </c>
    </row>
    <row r="76" spans="1:5" x14ac:dyDescent="0.25">
      <c r="A76" s="42">
        <v>44986</v>
      </c>
      <c r="C76" s="40">
        <f t="shared" si="0"/>
        <v>1898996.4168897625</v>
      </c>
      <c r="D76" s="40">
        <f t="shared" si="1"/>
        <v>-581875.59723937837</v>
      </c>
      <c r="E76" s="40">
        <f t="shared" si="2"/>
        <v>4379868.4310189039</v>
      </c>
    </row>
    <row r="77" spans="1:5" x14ac:dyDescent="0.25">
      <c r="A77" s="42">
        <v>45017</v>
      </c>
      <c r="C77" s="40">
        <f t="shared" si="0"/>
        <v>3337193.0487736585</v>
      </c>
      <c r="D77" s="40">
        <f t="shared" si="1"/>
        <v>836408.85237105563</v>
      </c>
      <c r="E77" s="40">
        <f t="shared" si="2"/>
        <v>5837977.2451762613</v>
      </c>
    </row>
    <row r="78" spans="1:5" x14ac:dyDescent="0.25">
      <c r="A78" s="42">
        <v>45047</v>
      </c>
      <c r="C78" s="40">
        <f t="shared" si="0"/>
        <v>2912711.6537098708</v>
      </c>
      <c r="D78" s="40">
        <f t="shared" si="1"/>
        <v>391866.33489650488</v>
      </c>
      <c r="E78" s="40">
        <f t="shared" si="2"/>
        <v>5433556.9725232366</v>
      </c>
    </row>
    <row r="79" spans="1:5" x14ac:dyDescent="0.25">
      <c r="A79" s="42">
        <v>45078</v>
      </c>
      <c r="C79" s="40">
        <f t="shared" si="0"/>
        <v>2025482.9833998182</v>
      </c>
      <c r="D79" s="40">
        <f t="shared" si="1"/>
        <v>-515571.21624747152</v>
      </c>
      <c r="E79" s="40">
        <f t="shared" si="2"/>
        <v>4566537.1830471084</v>
      </c>
    </row>
    <row r="80" spans="1:5" x14ac:dyDescent="0.25">
      <c r="A80" s="42">
        <v>45108</v>
      </c>
      <c r="C80" s="40">
        <f t="shared" si="0"/>
        <v>3068883.0029215058</v>
      </c>
      <c r="D80" s="40">
        <f t="shared" si="1"/>
        <v>507473.33414537879</v>
      </c>
      <c r="E80" s="40">
        <f t="shared" si="2"/>
        <v>5630292.6716976333</v>
      </c>
    </row>
    <row r="81" spans="1:5" x14ac:dyDescent="0.25">
      <c r="A81" s="42">
        <v>45139</v>
      </c>
      <c r="C81" s="40">
        <f t="shared" si="0"/>
        <v>1788589.6596818001</v>
      </c>
      <c r="D81" s="40">
        <f t="shared" si="1"/>
        <v>-793320.90818931977</v>
      </c>
      <c r="E81" s="40">
        <f t="shared" si="2"/>
        <v>4370500.2275529196</v>
      </c>
    </row>
    <row r="82" spans="1:5" x14ac:dyDescent="0.25">
      <c r="A82" s="42">
        <v>45170</v>
      </c>
      <c r="C82" s="40">
        <f t="shared" si="0"/>
        <v>2433636.7652090495</v>
      </c>
      <c r="D82" s="40">
        <f t="shared" si="1"/>
        <v>-168918.98538238741</v>
      </c>
      <c r="E82" s="40">
        <f t="shared" si="2"/>
        <v>5036192.5158004863</v>
      </c>
    </row>
    <row r="83" spans="1:5" x14ac:dyDescent="0.25">
      <c r="A83" s="42">
        <v>45200</v>
      </c>
      <c r="C83" s="40">
        <f t="shared" si="0"/>
        <v>1426329.2886875414</v>
      </c>
      <c r="D83" s="40">
        <f t="shared" si="1"/>
        <v>-1197014.7940612303</v>
      </c>
      <c r="E83" s="40">
        <f t="shared" si="2"/>
        <v>4049673.3714363128</v>
      </c>
    </row>
    <row r="84" spans="1:5" x14ac:dyDescent="0.25">
      <c r="A84" s="42">
        <v>45231</v>
      </c>
      <c r="C84" s="40">
        <f t="shared" si="0"/>
        <v>1186835.4854968491</v>
      </c>
      <c r="D84" s="40">
        <f t="shared" si="1"/>
        <v>-1457438.9569525535</v>
      </c>
      <c r="E84" s="40">
        <f t="shared" si="2"/>
        <v>3831109.9279462518</v>
      </c>
    </row>
    <row r="85" spans="1:5" x14ac:dyDescent="0.25">
      <c r="A85" s="42">
        <v>45261</v>
      </c>
      <c r="C85" s="40">
        <f t="shared" si="0"/>
        <v>1517587.1133435969</v>
      </c>
      <c r="D85" s="40">
        <f t="shared" si="1"/>
        <v>-1147758.6068713386</v>
      </c>
      <c r="E85" s="40">
        <f t="shared" si="2"/>
        <v>4182932.8335585324</v>
      </c>
    </row>
    <row r="86" spans="1:5" x14ac:dyDescent="0.25">
      <c r="A86" s="42">
        <v>45292</v>
      </c>
      <c r="C86" s="40">
        <f t="shared" si="0"/>
        <v>-42700.067341896472</v>
      </c>
      <c r="D86" s="40">
        <f t="shared" si="1"/>
        <v>-2729564.1719468189</v>
      </c>
      <c r="E86" s="40">
        <f t="shared" si="2"/>
        <v>2644164.0372630255</v>
      </c>
    </row>
    <row r="87" spans="1:5" x14ac:dyDescent="0.25">
      <c r="A87" s="42">
        <v>45323</v>
      </c>
      <c r="C87" s="40">
        <f t="shared" si="0"/>
        <v>537893.98951578327</v>
      </c>
      <c r="D87" s="40">
        <f t="shared" si="1"/>
        <v>-2170317.528250277</v>
      </c>
      <c r="E87" s="40">
        <f t="shared" si="2"/>
        <v>3246105.5072818436</v>
      </c>
    </row>
    <row r="88" spans="1:5" x14ac:dyDescent="0.25">
      <c r="A88" s="42">
        <v>45352</v>
      </c>
      <c r="C88" s="40">
        <f t="shared" si="0"/>
        <v>1979644.8362109531</v>
      </c>
      <c r="D88" s="40">
        <f t="shared" si="1"/>
        <v>-750051.78238928597</v>
      </c>
      <c r="E88" s="40">
        <f t="shared" si="2"/>
        <v>4709341.4548111921</v>
      </c>
    </row>
    <row r="89" spans="1:5" x14ac:dyDescent="0.25">
      <c r="A89" s="42">
        <v>45383</v>
      </c>
      <c r="C89" s="40">
        <f t="shared" si="0"/>
        <v>3417841.468094849</v>
      </c>
      <c r="D89" s="40">
        <f t="shared" si="1"/>
        <v>666523.12003657501</v>
      </c>
      <c r="E89" s="40">
        <f t="shared" si="2"/>
        <v>6169159.816153123</v>
      </c>
    </row>
    <row r="90" spans="1:5" x14ac:dyDescent="0.25">
      <c r="A90" s="42">
        <v>45413</v>
      </c>
      <c r="C90" s="40">
        <f t="shared" si="0"/>
        <v>2993360.0730310613</v>
      </c>
      <c r="D90" s="40">
        <f t="shared" si="1"/>
        <v>220284.41321008373</v>
      </c>
      <c r="E90" s="40">
        <f t="shared" si="2"/>
        <v>5766435.7328520389</v>
      </c>
    </row>
    <row r="91" spans="1:5" x14ac:dyDescent="0.25">
      <c r="A91" s="42">
        <v>45444</v>
      </c>
      <c r="C91" s="40">
        <f t="shared" si="0"/>
        <v>2106131.4027210088</v>
      </c>
      <c r="D91" s="40">
        <f t="shared" si="1"/>
        <v>-688836.11759530241</v>
      </c>
      <c r="E91" s="40">
        <f t="shared" si="2"/>
        <v>4901098.9230373204</v>
      </c>
    </row>
    <row r="92" spans="1:5" x14ac:dyDescent="0.25">
      <c r="A92" s="42">
        <v>45474</v>
      </c>
      <c r="C92" s="40">
        <f t="shared" si="0"/>
        <v>3149531.4222426964</v>
      </c>
      <c r="D92" s="40">
        <f t="shared" si="1"/>
        <v>332538.51351999352</v>
      </c>
      <c r="E92" s="40">
        <f t="shared" si="2"/>
        <v>5966524.3309653997</v>
      </c>
    </row>
    <row r="93" spans="1:5" x14ac:dyDescent="0.25">
      <c r="A93" s="42">
        <v>45505</v>
      </c>
      <c r="C93" s="40">
        <f t="shared" si="0"/>
        <v>1869238.0790029906</v>
      </c>
      <c r="D93" s="40">
        <f t="shared" si="1"/>
        <v>-969912.73795644124</v>
      </c>
      <c r="E93" s="40">
        <f t="shared" si="2"/>
        <v>4708388.8959624227</v>
      </c>
    </row>
    <row r="94" spans="1:5" x14ac:dyDescent="0.25">
      <c r="A94" s="42">
        <v>45536</v>
      </c>
      <c r="C94" s="40">
        <f t="shared" si="0"/>
        <v>2514285.1845302405</v>
      </c>
      <c r="D94" s="40">
        <f t="shared" si="1"/>
        <v>-347155.06513470225</v>
      </c>
      <c r="E94" s="40">
        <f t="shared" si="2"/>
        <v>5375725.4341951832</v>
      </c>
    </row>
    <row r="95" spans="1:5" x14ac:dyDescent="0.25">
      <c r="A95" s="42">
        <v>45566</v>
      </c>
      <c r="C95" s="40">
        <f t="shared" si="0"/>
        <v>1506977.7080087319</v>
      </c>
      <c r="D95" s="40">
        <f t="shared" si="1"/>
        <v>-1376882.5161551705</v>
      </c>
      <c r="E95" s="40">
        <f t="shared" si="2"/>
        <v>4390837.9321726346</v>
      </c>
    </row>
    <row r="96" spans="1:5" x14ac:dyDescent="0.25">
      <c r="A96" s="42">
        <v>45597</v>
      </c>
      <c r="C96" s="40">
        <f t="shared" si="0"/>
        <v>1267483.9048180396</v>
      </c>
      <c r="D96" s="40">
        <f t="shared" si="1"/>
        <v>-1638925.865605762</v>
      </c>
      <c r="E96" s="40">
        <f t="shared" si="2"/>
        <v>4173893.675241841</v>
      </c>
    </row>
    <row r="97" spans="1:5" x14ac:dyDescent="0.25">
      <c r="A97" s="42">
        <v>45627</v>
      </c>
      <c r="C97" s="40">
        <f t="shared" si="0"/>
        <v>1598235.5326647877</v>
      </c>
      <c r="D97" s="40">
        <f t="shared" si="1"/>
        <v>-1330852.3983370394</v>
      </c>
      <c r="E97" s="40">
        <f t="shared" si="2"/>
        <v>4527323.4636666151</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1FCA2-C10B-4D4D-8C2B-5D1B62F1D28A}">
  <sheetPr codeName="Sheet7"/>
  <dimension ref="A1:H19"/>
  <sheetViews>
    <sheetView topLeftCell="B1" workbookViewId="0">
      <selection activeCell="A2" sqref="A2:A9"/>
    </sheetView>
  </sheetViews>
  <sheetFormatPr defaultRowHeight="15" x14ac:dyDescent="0.25"/>
  <cols>
    <col min="1" max="1" width="9.5703125" customWidth="1"/>
    <col min="2" max="2" width="15.42578125" bestFit="1" customWidth="1"/>
    <col min="3" max="3" width="19.85546875" customWidth="1"/>
    <col min="4" max="4" width="34.5703125" customWidth="1"/>
    <col min="5" max="5" width="34.7109375" customWidth="1"/>
    <col min="7" max="7" width="10.140625" customWidth="1"/>
    <col min="8" max="8" width="8.28515625" customWidth="1"/>
  </cols>
  <sheetData>
    <row r="1" spans="1:8" x14ac:dyDescent="0.25">
      <c r="A1" t="s">
        <v>24</v>
      </c>
      <c r="B1" t="s">
        <v>12</v>
      </c>
      <c r="C1" t="s">
        <v>54</v>
      </c>
      <c r="D1" t="s">
        <v>55</v>
      </c>
      <c r="E1" t="s">
        <v>56</v>
      </c>
      <c r="G1" t="s">
        <v>61</v>
      </c>
      <c r="H1" t="s">
        <v>62</v>
      </c>
    </row>
    <row r="2" spans="1:8" x14ac:dyDescent="0.25">
      <c r="A2" s="46">
        <v>42736</v>
      </c>
      <c r="B2" s="40">
        <v>140746374</v>
      </c>
      <c r="G2" t="s">
        <v>63</v>
      </c>
      <c r="H2" s="47">
        <f>_xlfn.FORECAST.ETS.STAT($B$2:$B$7,$A$2:$A$7,1,0,1)</f>
        <v>0.1</v>
      </c>
    </row>
    <row r="3" spans="1:8" x14ac:dyDescent="0.25">
      <c r="A3" s="46">
        <v>43101</v>
      </c>
      <c r="B3" s="40">
        <v>150169093</v>
      </c>
      <c r="G3" t="s">
        <v>64</v>
      </c>
      <c r="H3" s="47">
        <f>_xlfn.FORECAST.ETS.STAT($B$2:$B$7,$A$2:$A$7,2,0,1)</f>
        <v>1E-3</v>
      </c>
    </row>
    <row r="4" spans="1:8" x14ac:dyDescent="0.25">
      <c r="A4" s="46">
        <v>43466</v>
      </c>
      <c r="B4" s="40">
        <v>128139927</v>
      </c>
      <c r="G4" t="s">
        <v>65</v>
      </c>
      <c r="H4" s="47">
        <f>_xlfn.FORECAST.ETS.STAT($B$2:$B$7,$A$2:$A$7,3,0,1)</f>
        <v>2.2204460492503131E-16</v>
      </c>
    </row>
    <row r="5" spans="1:8" x14ac:dyDescent="0.25">
      <c r="A5" s="46">
        <v>43831</v>
      </c>
      <c r="B5" s="40">
        <v>133139885.69</v>
      </c>
      <c r="G5" t="s">
        <v>66</v>
      </c>
      <c r="H5" s="47">
        <f>_xlfn.FORECAST.ETS.STAT($B$2:$B$7,$A$2:$A$7,4,0,1)</f>
        <v>0.72262103982844472</v>
      </c>
    </row>
    <row r="6" spans="1:8" x14ac:dyDescent="0.25">
      <c r="A6" s="46">
        <v>44197</v>
      </c>
      <c r="B6" s="40">
        <v>142248115.42000002</v>
      </c>
      <c r="G6" t="s">
        <v>67</v>
      </c>
      <c r="H6" s="47">
        <f>_xlfn.FORECAST.ETS.STAT($B$2:$B$7,$A$2:$A$7,5,0,1)</f>
        <v>6.3204685084010767E-2</v>
      </c>
    </row>
    <row r="7" spans="1:8" x14ac:dyDescent="0.25">
      <c r="A7" s="46">
        <v>44562</v>
      </c>
      <c r="B7" s="40">
        <v>159104486.56000003</v>
      </c>
      <c r="C7" s="40">
        <v>159104486.56000003</v>
      </c>
      <c r="D7" s="40">
        <v>159104486.56000003</v>
      </c>
      <c r="E7" s="40">
        <v>159104486.56000003</v>
      </c>
      <c r="G7" t="s">
        <v>68</v>
      </c>
      <c r="H7" s="47">
        <f>_xlfn.FORECAST.ETS.STAT($B$2:$B$7,$A$2:$A$7,6,0,1)</f>
        <v>9020687.2140683383</v>
      </c>
    </row>
    <row r="8" spans="1:8" x14ac:dyDescent="0.25">
      <c r="A8" s="46">
        <v>44927</v>
      </c>
      <c r="C8" s="40">
        <f>_xlfn.FORECAST.ETS(A8,$B$2:$B$7,$A$2:$A$7,0,1)</f>
        <v>153362563.28145996</v>
      </c>
      <c r="D8" s="40">
        <f>C8-_xlfn.FORECAST.ETS.CONFINT(A8,$B$2:$B$7,$A$2:$A$7,0.95,0,1)</f>
        <v>132291762.63931504</v>
      </c>
      <c r="E8" s="40">
        <f>C8+_xlfn.FORECAST.ETS.CONFINT(A8,$B$2:$B$7,$A$2:$A$7,0.95,0,1)</f>
        <v>174433363.92360488</v>
      </c>
      <c r="G8" t="s">
        <v>69</v>
      </c>
      <c r="H8" s="47">
        <f>_xlfn.FORECAST.ETS.STAT($B$2:$B$7,$A$2:$A$7,7,0,1)</f>
        <v>10750606.035798982</v>
      </c>
    </row>
    <row r="9" spans="1:8" x14ac:dyDescent="0.25">
      <c r="A9" s="46">
        <v>45292</v>
      </c>
      <c r="C9" s="40">
        <f>_xlfn.FORECAST.ETS(A9,$B$2:$B$7,$A$2:$A$7,0,1)</f>
        <v>155823976.70258918</v>
      </c>
      <c r="D9" s="40">
        <f>C9-_xlfn.FORECAST.ETS.CONFINT(A9,$B$2:$B$7,$A$2:$A$7,0.95,0,1)</f>
        <v>134645977.13217166</v>
      </c>
      <c r="E9" s="40">
        <f>C9+_xlfn.FORECAST.ETS.CONFINT(A9,$B$2:$B$7,$A$2:$A$7,0.95,0,1)</f>
        <v>177001976.27300671</v>
      </c>
    </row>
    <row r="12" spans="1:8" x14ac:dyDescent="0.25">
      <c r="A12">
        <v>2017</v>
      </c>
    </row>
    <row r="13" spans="1:8" x14ac:dyDescent="0.25">
      <c r="A13">
        <v>2018</v>
      </c>
    </row>
    <row r="14" spans="1:8" x14ac:dyDescent="0.25">
      <c r="A14">
        <v>2019</v>
      </c>
    </row>
    <row r="15" spans="1:8" x14ac:dyDescent="0.25">
      <c r="A15">
        <v>2020</v>
      </c>
    </row>
    <row r="16" spans="1:8" x14ac:dyDescent="0.25">
      <c r="A16">
        <v>2021</v>
      </c>
    </row>
    <row r="17" spans="1:1" x14ac:dyDescent="0.25">
      <c r="A17">
        <v>2022</v>
      </c>
    </row>
    <row r="18" spans="1:1" x14ac:dyDescent="0.25">
      <c r="A18">
        <v>2023</v>
      </c>
    </row>
    <row r="19" spans="1:1" x14ac:dyDescent="0.25">
      <c r="A19">
        <v>2024</v>
      </c>
    </row>
  </sheetData>
  <pageMargins left="0.7" right="0.7" top="0.75" bottom="0.75" header="0.3" footer="0.3"/>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79C68-2371-4E14-AA74-F90A608590AD}">
  <sheetPr codeName="Sheet8"/>
  <dimension ref="A1:E9"/>
  <sheetViews>
    <sheetView workbookViewId="0">
      <selection activeCell="A2" sqref="A2:A9"/>
    </sheetView>
  </sheetViews>
  <sheetFormatPr defaultRowHeight="15" x14ac:dyDescent="0.25"/>
  <cols>
    <col min="1" max="1" width="9.5703125" customWidth="1"/>
    <col min="2" max="2" width="18" customWidth="1"/>
    <col min="3" max="3" width="26.85546875" customWidth="1"/>
    <col min="4" max="4" width="41.5703125" customWidth="1"/>
    <col min="5" max="5" width="41.7109375" customWidth="1"/>
  </cols>
  <sheetData>
    <row r="1" spans="1:5" x14ac:dyDescent="0.25">
      <c r="A1" t="s">
        <v>24</v>
      </c>
      <c r="B1" t="s">
        <v>11</v>
      </c>
      <c r="C1" t="s">
        <v>57</v>
      </c>
      <c r="D1" t="s">
        <v>58</v>
      </c>
      <c r="E1" t="s">
        <v>59</v>
      </c>
    </row>
    <row r="2" spans="1:5" x14ac:dyDescent="0.25">
      <c r="A2" s="46">
        <v>42736</v>
      </c>
      <c r="B2" s="40">
        <v>10367015</v>
      </c>
    </row>
    <row r="3" spans="1:5" x14ac:dyDescent="0.25">
      <c r="A3" s="46">
        <v>43101</v>
      </c>
      <c r="B3" s="40">
        <v>13422428</v>
      </c>
    </row>
    <row r="4" spans="1:5" x14ac:dyDescent="0.25">
      <c r="A4" s="46">
        <v>43466</v>
      </c>
      <c r="B4" s="40">
        <v>6058308.3300000001</v>
      </c>
    </row>
    <row r="5" spans="1:5" x14ac:dyDescent="0.25">
      <c r="A5" s="46">
        <v>43831</v>
      </c>
      <c r="B5" s="40">
        <v>18605842.630000003</v>
      </c>
    </row>
    <row r="6" spans="1:5" x14ac:dyDescent="0.25">
      <c r="A6" s="46">
        <v>44197</v>
      </c>
      <c r="B6" s="40">
        <v>13085898.130000001</v>
      </c>
    </row>
    <row r="7" spans="1:5" x14ac:dyDescent="0.25">
      <c r="A7" s="46">
        <v>44562</v>
      </c>
      <c r="B7" s="40">
        <v>21192281.590000004</v>
      </c>
      <c r="C7" s="40">
        <v>21192281.590000004</v>
      </c>
      <c r="D7" s="40">
        <v>21192281.590000004</v>
      </c>
      <c r="E7" s="40">
        <v>21192281.590000004</v>
      </c>
    </row>
    <row r="8" spans="1:5" x14ac:dyDescent="0.25">
      <c r="A8" s="46">
        <v>44927</v>
      </c>
      <c r="C8" s="40">
        <f>_xlfn.FORECAST.ETS(A8,$B$2:$B$7,$A$2:$A$7,1,1)</f>
        <v>16857693.0021988</v>
      </c>
      <c r="D8" s="40">
        <f>C8-_xlfn.FORECAST.ETS.CONFINT(A8,$B$2:$B$7,$A$2:$A$7,0.95,1,1)</f>
        <v>10958120.779477315</v>
      </c>
      <c r="E8" s="40">
        <f>C8+_xlfn.FORECAST.ETS.CONFINT(A8,$B$2:$B$7,$A$2:$A$7,0.95,1,1)</f>
        <v>22757265.224920288</v>
      </c>
    </row>
    <row r="9" spans="1:5" x14ac:dyDescent="0.25">
      <c r="A9" s="46">
        <v>45292</v>
      </c>
      <c r="C9" s="40">
        <f>_xlfn.FORECAST.ETS(A9,$B$2:$B$7,$A$2:$A$7,1,1)</f>
        <v>24347868.758019805</v>
      </c>
      <c r="D9" s="40">
        <f>C9-_xlfn.FORECAST.ETS.CONFINT(A9,$B$2:$B$7,$A$2:$A$7,0.95,1,1)</f>
        <v>16966317.957585145</v>
      </c>
      <c r="E9" s="40">
        <f>C9+_xlfn.FORECAST.ETS.CONFINT(A9,$B$2:$B$7,$A$2:$A$7,0.95,1,1)</f>
        <v>31729419.558454465</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8075F-16A9-4D45-8A88-5ACD78A5F0CC}">
  <sheetPr codeName="Sheet9"/>
  <dimension ref="A1:H9"/>
  <sheetViews>
    <sheetView workbookViewId="0">
      <selection activeCell="A2" sqref="A2:A9"/>
    </sheetView>
  </sheetViews>
  <sheetFormatPr defaultRowHeight="15" x14ac:dyDescent="0.25"/>
  <cols>
    <col min="1" max="1" width="9.5703125" customWidth="1"/>
    <col min="2" max="2" width="21" customWidth="1"/>
    <col min="3" max="3" width="29.85546875" customWidth="1"/>
    <col min="4" max="4" width="44.5703125" customWidth="1"/>
    <col min="5" max="5" width="44.7109375" customWidth="1"/>
    <col min="7" max="7" width="10.140625" customWidth="1"/>
    <col min="8" max="8" width="8.28515625" customWidth="1"/>
  </cols>
  <sheetData>
    <row r="1" spans="1:8" x14ac:dyDescent="0.25">
      <c r="A1" t="s">
        <v>24</v>
      </c>
      <c r="B1" t="s">
        <v>1</v>
      </c>
      <c r="C1" t="s">
        <v>70</v>
      </c>
      <c r="D1" t="s">
        <v>71</v>
      </c>
      <c r="E1" t="s">
        <v>72</v>
      </c>
      <c r="G1" t="s">
        <v>61</v>
      </c>
      <c r="H1" t="s">
        <v>62</v>
      </c>
    </row>
    <row r="2" spans="1:8" x14ac:dyDescent="0.25">
      <c r="A2" s="46">
        <v>42736</v>
      </c>
      <c r="B2" s="40">
        <v>57528048</v>
      </c>
      <c r="G2" t="s">
        <v>63</v>
      </c>
      <c r="H2" s="47">
        <f>_xlfn.FORECAST.ETS.STAT($B$2:$B$7,$A$2:$A$7,1,2,1)</f>
        <v>2E-3</v>
      </c>
    </row>
    <row r="3" spans="1:8" x14ac:dyDescent="0.25">
      <c r="A3" s="46">
        <v>43101</v>
      </c>
      <c r="B3" s="40">
        <v>66318441</v>
      </c>
      <c r="G3" t="s">
        <v>64</v>
      </c>
      <c r="H3" s="47">
        <f>_xlfn.FORECAST.ETS.STAT($B$2:$B$7,$A$2:$A$7,2,2,1)</f>
        <v>1E-3</v>
      </c>
    </row>
    <row r="4" spans="1:8" x14ac:dyDescent="0.25">
      <c r="A4" s="46">
        <v>43466</v>
      </c>
      <c r="B4" s="40">
        <v>60988545.950000003</v>
      </c>
      <c r="G4" t="s">
        <v>65</v>
      </c>
      <c r="H4" s="47">
        <f>_xlfn.FORECAST.ETS.STAT($B$2:$B$7,$A$2:$A$7,3,2,1)</f>
        <v>0.125</v>
      </c>
    </row>
    <row r="5" spans="1:8" x14ac:dyDescent="0.25">
      <c r="A5" s="46">
        <v>43831</v>
      </c>
      <c r="B5" s="40">
        <v>54318636.109999999</v>
      </c>
      <c r="G5" t="s">
        <v>66</v>
      </c>
      <c r="H5" s="47">
        <f>_xlfn.FORECAST.ETS.STAT($B$2:$B$7,$A$2:$A$7,4,2,1)</f>
        <v>0.55217789709299214</v>
      </c>
    </row>
    <row r="6" spans="1:8" x14ac:dyDescent="0.25">
      <c r="A6" s="46">
        <v>44197</v>
      </c>
      <c r="B6" s="40">
        <v>60433232.150000006</v>
      </c>
      <c r="G6" t="s">
        <v>67</v>
      </c>
      <c r="H6" s="47">
        <f>_xlfn.FORECAST.ETS.STAT($B$2:$B$7,$A$2:$A$7,5,2,1)</f>
        <v>5.6362212495764313E-2</v>
      </c>
    </row>
    <row r="7" spans="1:8" x14ac:dyDescent="0.25">
      <c r="A7" s="46">
        <v>44562</v>
      </c>
      <c r="B7" s="40">
        <v>64212223</v>
      </c>
      <c r="C7" s="40">
        <v>64212223</v>
      </c>
      <c r="D7" s="40">
        <v>64212223</v>
      </c>
      <c r="E7" s="40">
        <v>64212223</v>
      </c>
      <c r="G7" t="s">
        <v>68</v>
      </c>
      <c r="H7" s="47">
        <f>_xlfn.FORECAST.ETS.STAT($B$2:$B$7,$A$2:$A$7,6,2,1)</f>
        <v>3388581.5509348721</v>
      </c>
    </row>
    <row r="8" spans="1:8" x14ac:dyDescent="0.25">
      <c r="A8" s="46">
        <v>44927</v>
      </c>
      <c r="C8" s="40">
        <f>_xlfn.FORECAST.ETS(A8,$B$2:$B$7,$A$2:$A$7,2,1)</f>
        <v>57716409.842154935</v>
      </c>
      <c r="D8" s="40">
        <f>C8-_xlfn.FORECAST.ETS.CONFINT(A8,$B$2:$B$7,$A$2:$A$7,0.95,2,1)</f>
        <v>48814992.890426673</v>
      </c>
      <c r="E8" s="40">
        <f>C8+_xlfn.FORECAST.ETS.CONFINT(A8,$B$2:$B$7,$A$2:$A$7,0.95,2,1)</f>
        <v>66617826.793883197</v>
      </c>
      <c r="G8" t="s">
        <v>69</v>
      </c>
      <c r="H8" s="47">
        <f>_xlfn.FORECAST.ETS.STAT($B$2:$B$7,$A$2:$A$7,7,2,1)</f>
        <v>4541622.7144689942</v>
      </c>
    </row>
    <row r="9" spans="1:8" x14ac:dyDescent="0.25">
      <c r="A9" s="46">
        <v>45292</v>
      </c>
      <c r="C9" s="40">
        <f>_xlfn.FORECAST.ETS(A9,$B$2:$B$7,$A$2:$A$7,2,1)</f>
        <v>62538473.408679083</v>
      </c>
      <c r="D9" s="40">
        <f>C9-_xlfn.FORECAST.ETS.CONFINT(A9,$B$2:$B$7,$A$2:$A$7,0.95,2,1)</f>
        <v>53637016.400664665</v>
      </c>
      <c r="E9" s="40">
        <f>C9+_xlfn.FORECAST.ETS.CONFINT(A9,$B$2:$B$7,$A$2:$A$7,0.95,2,1)</f>
        <v>71439930.416693509</v>
      </c>
    </row>
  </sheetData>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6E6E-4B8F-4553-B1AD-5AE1E2124CEE}">
  <sheetPr codeName="Sheet10"/>
  <dimension ref="A1:E9"/>
  <sheetViews>
    <sheetView workbookViewId="0">
      <selection activeCell="A2" sqref="A2:A9"/>
    </sheetView>
  </sheetViews>
  <sheetFormatPr defaultRowHeight="15" x14ac:dyDescent="0.25"/>
  <cols>
    <col min="1" max="1" width="9.5703125" customWidth="1"/>
    <col min="2" max="2" width="19.28515625" customWidth="1"/>
    <col min="3" max="3" width="28.140625" customWidth="1"/>
    <col min="4" max="4" width="42.85546875" customWidth="1"/>
    <col min="5" max="5" width="43" customWidth="1"/>
  </cols>
  <sheetData>
    <row r="1" spans="1:5" x14ac:dyDescent="0.25">
      <c r="A1" t="s">
        <v>24</v>
      </c>
      <c r="B1" t="s">
        <v>14</v>
      </c>
      <c r="C1" t="s">
        <v>73</v>
      </c>
      <c r="D1" t="s">
        <v>74</v>
      </c>
      <c r="E1" t="s">
        <v>75</v>
      </c>
    </row>
    <row r="2" spans="1:5" x14ac:dyDescent="0.25">
      <c r="A2" s="46">
        <v>42736</v>
      </c>
      <c r="B2" s="40">
        <v>72988025</v>
      </c>
    </row>
    <row r="3" spans="1:5" x14ac:dyDescent="0.25">
      <c r="A3" s="46">
        <v>43101</v>
      </c>
      <c r="B3" s="40">
        <v>86410258</v>
      </c>
    </row>
    <row r="4" spans="1:5" x14ac:dyDescent="0.25">
      <c r="A4" s="46">
        <v>43466</v>
      </c>
      <c r="B4" s="40">
        <v>74310679.280000001</v>
      </c>
    </row>
    <row r="5" spans="1:5" x14ac:dyDescent="0.25">
      <c r="A5" s="46">
        <v>43831</v>
      </c>
      <c r="B5" s="40">
        <v>76537656.799999997</v>
      </c>
    </row>
    <row r="6" spans="1:5" x14ac:dyDescent="0.25">
      <c r="A6" s="46">
        <v>44197</v>
      </c>
      <c r="B6" s="40">
        <v>79264162.280000001</v>
      </c>
    </row>
    <row r="7" spans="1:5" x14ac:dyDescent="0.25">
      <c r="A7" s="46">
        <v>44562</v>
      </c>
      <c r="B7" s="40">
        <v>91209812.379999995</v>
      </c>
      <c r="C7" s="40">
        <v>91209812.379999995</v>
      </c>
      <c r="D7" s="40">
        <v>91209812.379999995</v>
      </c>
      <c r="E7" s="40">
        <v>91209812.379999995</v>
      </c>
    </row>
    <row r="8" spans="1:5" x14ac:dyDescent="0.25">
      <c r="A8" s="46">
        <v>44927</v>
      </c>
      <c r="C8" s="40">
        <f>_xlfn.FORECAST.ETS(A8,$B$2:$B$7,$A$2:$A$7,2,1)</f>
        <v>81294462.053556174</v>
      </c>
      <c r="D8" s="40">
        <f>C8-_xlfn.FORECAST.ETS.CONFINT(A8,$B$2:$B$7,$A$2:$A$7,0.95,2,1)</f>
        <v>70645102.122010931</v>
      </c>
      <c r="E8" s="40">
        <f>C8+_xlfn.FORECAST.ETS.CONFINT(A8,$B$2:$B$7,$A$2:$A$7,0.95,2,1)</f>
        <v>91943821.985101417</v>
      </c>
    </row>
    <row r="9" spans="1:5" x14ac:dyDescent="0.25">
      <c r="A9" s="46">
        <v>45292</v>
      </c>
      <c r="C9" s="40">
        <f>_xlfn.FORECAST.ETS(A9,$B$2:$B$7,$A$2:$A$7,2,1)</f>
        <v>93673514.135795444</v>
      </c>
      <c r="D9" s="40">
        <f>C9-_xlfn.FORECAST.ETS.CONFINT(A9,$B$2:$B$7,$A$2:$A$7,0.95,2,1)</f>
        <v>83024106.282238334</v>
      </c>
      <c r="E9" s="40">
        <f>C9+_xlfn.FORECAST.ETS.CONFINT(A9,$B$2:$B$7,$A$2:$A$7,0.95,2,1)</f>
        <v>104322921.98935255</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B7AB6-DC98-46F1-AA51-C60DC18C6469}">
  <sheetPr codeName="Sheet16"/>
  <dimension ref="A1:H9"/>
  <sheetViews>
    <sheetView workbookViewId="0">
      <selection activeCell="A2" sqref="A2:A9"/>
    </sheetView>
  </sheetViews>
  <sheetFormatPr defaultRowHeight="15" x14ac:dyDescent="0.25"/>
  <cols>
    <col min="1" max="1" width="11.85546875" bestFit="1" customWidth="1"/>
    <col min="2" max="3" width="14.42578125" bestFit="1" customWidth="1"/>
    <col min="4" max="4" width="25.28515625" customWidth="1"/>
    <col min="5" max="5" width="25.42578125" customWidth="1"/>
    <col min="7" max="7" width="10.140625" customWidth="1"/>
    <col min="8" max="8" width="8.28515625" customWidth="1"/>
  </cols>
  <sheetData>
    <row r="1" spans="1:8" x14ac:dyDescent="0.25">
      <c r="A1" t="s">
        <v>98</v>
      </c>
      <c r="B1" t="s">
        <v>99</v>
      </c>
      <c r="C1" t="s">
        <v>100</v>
      </c>
      <c r="D1" t="s">
        <v>101</v>
      </c>
      <c r="E1" t="s">
        <v>102</v>
      </c>
      <c r="G1" t="s">
        <v>61</v>
      </c>
      <c r="H1" t="s">
        <v>62</v>
      </c>
    </row>
    <row r="2" spans="1:8" x14ac:dyDescent="0.25">
      <c r="A2" s="70">
        <v>42736</v>
      </c>
      <c r="B2" s="40">
        <v>14261441</v>
      </c>
      <c r="G2" t="s">
        <v>63</v>
      </c>
      <c r="H2" s="47">
        <f>_xlfn.FORECAST.ETS.STAT($B$2:$B$7,$A$2:$A$7,1,1,1)</f>
        <v>0.9</v>
      </c>
    </row>
    <row r="3" spans="1:8" x14ac:dyDescent="0.25">
      <c r="A3" s="70">
        <v>43101</v>
      </c>
      <c r="B3" s="40">
        <v>20091817</v>
      </c>
      <c r="G3" t="s">
        <v>64</v>
      </c>
      <c r="H3" s="47">
        <f>_xlfn.FORECAST.ETS.STAT($B$2:$B$7,$A$2:$A$7,2,1,1)</f>
        <v>1E-3</v>
      </c>
    </row>
    <row r="4" spans="1:8" x14ac:dyDescent="0.25">
      <c r="A4" s="70">
        <v>43466</v>
      </c>
      <c r="B4" s="40">
        <v>13322133.329999998</v>
      </c>
      <c r="G4" t="s">
        <v>65</v>
      </c>
      <c r="H4" s="47">
        <f>_xlfn.FORECAST.ETS.STAT($B$2:$B$7,$A$2:$A$7,3,1,1)</f>
        <v>9.9000000000000005E-2</v>
      </c>
    </row>
    <row r="5" spans="1:8" x14ac:dyDescent="0.25">
      <c r="A5" s="70">
        <v>43831</v>
      </c>
      <c r="B5" s="40">
        <v>22219020.690000001</v>
      </c>
      <c r="G5" t="s">
        <v>66</v>
      </c>
      <c r="H5" s="47">
        <f>_xlfn.FORECAST.ETS.STAT($B$2:$B$7,$A$2:$A$7,4,1,1)</f>
        <v>0.17276802466944363</v>
      </c>
    </row>
    <row r="6" spans="1:8" x14ac:dyDescent="0.25">
      <c r="A6" s="70">
        <v>44197</v>
      </c>
      <c r="B6" s="40">
        <v>18830930.129999999</v>
      </c>
      <c r="G6" t="s">
        <v>67</v>
      </c>
      <c r="H6" s="47">
        <f>_xlfn.FORECAST.ETS.STAT($B$2:$B$7,$A$2:$A$7,5,1,1)</f>
        <v>6.3374126273608139E-2</v>
      </c>
    </row>
    <row r="7" spans="1:8" x14ac:dyDescent="0.25">
      <c r="A7" s="70">
        <v>44562</v>
      </c>
      <c r="B7" s="40">
        <v>26997589.379999999</v>
      </c>
      <c r="C7" s="40">
        <v>26997589.379999999</v>
      </c>
      <c r="D7" s="40">
        <v>26997589.379999999</v>
      </c>
      <c r="E7" s="40">
        <v>26997589.379999999</v>
      </c>
      <c r="G7" t="s">
        <v>68</v>
      </c>
      <c r="H7" s="47">
        <f>_xlfn.FORECAST.ETS.STAT($B$2:$B$7,$A$2:$A$7,6,1,1)</f>
        <v>1142055.2750040188</v>
      </c>
    </row>
    <row r="8" spans="1:8" x14ac:dyDescent="0.25">
      <c r="A8" s="70">
        <v>44927</v>
      </c>
      <c r="C8" s="40">
        <f>_xlfn.FORECAST.ETS(A8,$B$2:$B$7,$A$2:$A$7,1,1)</f>
        <v>22130771.788090829</v>
      </c>
      <c r="D8" s="40">
        <f>C8-_xlfn.FORECAST.ETS.CONFINT(A8,$B$2:$B$7,$A$2:$A$7,0.95,1,1)</f>
        <v>19251909.849358924</v>
      </c>
      <c r="E8" s="40">
        <f>C8+_xlfn.FORECAST.ETS.CONFINT(A8,$B$2:$B$7,$A$2:$A$7,0.95,1,1)</f>
        <v>25009633.726822734</v>
      </c>
      <c r="G8" t="s">
        <v>69</v>
      </c>
      <c r="H8" s="47">
        <f>_xlfn.FORECAST.ETS.STAT($B$2:$B$7,$A$2:$A$7,7,1,1)</f>
        <v>1468834.1017692164</v>
      </c>
    </row>
    <row r="9" spans="1:8" x14ac:dyDescent="0.25">
      <c r="A9" s="70">
        <v>45292</v>
      </c>
      <c r="C9" s="40">
        <f>_xlfn.FORECAST.ETS(A9,$B$2:$B$7,$A$2:$A$7,1,1)</f>
        <v>30217872.368340638</v>
      </c>
      <c r="D9" s="40">
        <f>C9-_xlfn.FORECAST.ETS.CONFINT(A9,$B$2:$B$7,$A$2:$A$7,0.95,1,1)</f>
        <v>26342833.299701001</v>
      </c>
      <c r="E9" s="40">
        <f>C9+_xlfn.FORECAST.ETS.CONFINT(A9,$B$2:$B$7,$A$2:$A$7,0.95,1,1)</f>
        <v>34092911.436980277</v>
      </c>
    </row>
  </sheetData>
  <pageMargins left="0.7" right="0.7" top="0.75" bottom="0.75" header="0.3" footer="0.3"/>
  <drawing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DA08C-80B8-4B3B-9542-4B98A4F8CBCA}">
  <sheetPr codeName="Sheet3"/>
  <dimension ref="A1:AD73"/>
  <sheetViews>
    <sheetView topLeftCell="A19" workbookViewId="0">
      <selection activeCell="A2" sqref="A2:A9"/>
    </sheetView>
  </sheetViews>
  <sheetFormatPr defaultRowHeight="15" x14ac:dyDescent="0.25"/>
  <cols>
    <col min="1" max="1" width="17.85546875" customWidth="1"/>
    <col min="2" max="2" width="15.42578125" bestFit="1" customWidth="1"/>
    <col min="3" max="3" width="21" bestFit="1" customWidth="1"/>
    <col min="4" max="4" width="15.140625" bestFit="1" customWidth="1"/>
    <col min="5" max="5" width="21" bestFit="1" customWidth="1"/>
    <col min="6" max="6" width="17.42578125" bestFit="1" customWidth="1"/>
    <col min="7" max="7" width="21" bestFit="1" customWidth="1"/>
    <col min="8" max="8" width="17.28515625" bestFit="1" customWidth="1"/>
    <col min="9" max="9" width="19.140625" bestFit="1" customWidth="1"/>
    <col min="10" max="10" width="21" bestFit="1" customWidth="1"/>
    <col min="11" max="11" width="24.7109375" bestFit="1" customWidth="1"/>
    <col min="12" max="12" width="21" bestFit="1" customWidth="1"/>
    <col min="13" max="13" width="16.140625" bestFit="1" customWidth="1"/>
    <col min="14" max="14" width="21" bestFit="1" customWidth="1"/>
    <col min="15" max="15" width="19" bestFit="1" customWidth="1"/>
    <col min="16" max="16" width="21" bestFit="1" customWidth="1"/>
    <col min="17" max="17" width="34.140625" bestFit="1" customWidth="1"/>
    <col min="18" max="18" width="21" bestFit="1" customWidth="1"/>
    <col min="19" max="19" width="23.140625" bestFit="1" customWidth="1"/>
    <col min="20" max="20" width="21" bestFit="1" customWidth="1"/>
    <col min="21" max="21" width="18.42578125" bestFit="1" customWidth="1"/>
    <col min="22" max="22" width="21" bestFit="1" customWidth="1"/>
    <col min="23" max="23" width="21.5703125" bestFit="1" customWidth="1"/>
    <col min="24" max="24" width="21" bestFit="1" customWidth="1"/>
    <col min="25" max="25" width="14.42578125" bestFit="1" customWidth="1"/>
    <col min="26" max="26" width="21" bestFit="1" customWidth="1"/>
    <col min="27" max="27" width="13.42578125" bestFit="1" customWidth="1"/>
    <col min="28" max="28" width="21" bestFit="1" customWidth="1"/>
    <col min="29" max="29" width="16" bestFit="1" customWidth="1"/>
    <col min="30" max="30" width="21" bestFit="1" customWidth="1"/>
    <col min="31" max="31" width="14.42578125" bestFit="1" customWidth="1"/>
  </cols>
  <sheetData>
    <row r="1" spans="1:30" x14ac:dyDescent="0.25">
      <c r="A1" s="2" t="s">
        <v>24</v>
      </c>
      <c r="B1" s="3" t="s">
        <v>12</v>
      </c>
      <c r="C1" s="15" t="s">
        <v>2</v>
      </c>
      <c r="D1" s="3" t="s">
        <v>13</v>
      </c>
      <c r="E1" s="15" t="s">
        <v>2</v>
      </c>
      <c r="F1" s="3" t="s">
        <v>14</v>
      </c>
      <c r="G1" s="15" t="s">
        <v>2</v>
      </c>
      <c r="H1" s="6" t="s">
        <v>0</v>
      </c>
      <c r="I1" s="1" t="s">
        <v>1</v>
      </c>
      <c r="J1" s="15" t="s">
        <v>2</v>
      </c>
      <c r="K1" s="1" t="s">
        <v>3</v>
      </c>
      <c r="L1" s="15" t="s">
        <v>2</v>
      </c>
      <c r="M1" s="1" t="s">
        <v>15</v>
      </c>
      <c r="N1" s="15" t="s">
        <v>2</v>
      </c>
      <c r="O1" s="1" t="s">
        <v>4</v>
      </c>
      <c r="P1" s="15" t="s">
        <v>2</v>
      </c>
      <c r="Q1" s="1" t="s">
        <v>5</v>
      </c>
      <c r="R1" s="15" t="s">
        <v>2</v>
      </c>
      <c r="S1" s="1" t="s">
        <v>6</v>
      </c>
      <c r="T1" s="15" t="s">
        <v>2</v>
      </c>
      <c r="U1" s="1" t="s">
        <v>7</v>
      </c>
      <c r="V1" s="15" t="s">
        <v>2</v>
      </c>
      <c r="W1" s="1" t="s">
        <v>8</v>
      </c>
      <c r="X1" s="15" t="s">
        <v>2</v>
      </c>
      <c r="Y1" s="1" t="s">
        <v>9</v>
      </c>
      <c r="Z1" s="15" t="s">
        <v>2</v>
      </c>
      <c r="AA1" s="1" t="s">
        <v>10</v>
      </c>
      <c r="AB1" s="15" t="s">
        <v>2</v>
      </c>
      <c r="AC1" s="1" t="s">
        <v>11</v>
      </c>
      <c r="AD1" s="15" t="s">
        <v>2</v>
      </c>
    </row>
    <row r="2" spans="1:30" x14ac:dyDescent="0.25">
      <c r="A2" s="67">
        <v>42736</v>
      </c>
      <c r="B2" s="4">
        <v>8410477</v>
      </c>
      <c r="C2" s="10"/>
      <c r="D2" s="7">
        <f t="shared" ref="D2:D33" si="0">B2-F2</f>
        <v>4771814</v>
      </c>
      <c r="E2" s="10"/>
      <c r="F2" s="4">
        <v>3638663</v>
      </c>
      <c r="G2" s="16"/>
      <c r="H2" s="9">
        <f t="shared" ref="H2:H33" si="1">F2/B2</f>
        <v>0.43263455806371032</v>
      </c>
      <c r="I2" s="21">
        <f t="shared" ref="I2:I33" si="2">K2+M2+O2+Q2+S2+U2+W2</f>
        <v>2440127</v>
      </c>
      <c r="J2" s="16"/>
      <c r="K2" s="18">
        <v>881803</v>
      </c>
      <c r="L2" s="20"/>
      <c r="M2" s="18">
        <v>852043</v>
      </c>
      <c r="N2" s="20"/>
      <c r="O2" s="18">
        <v>357806</v>
      </c>
      <c r="P2" s="20"/>
      <c r="Q2" s="18">
        <v>63745</v>
      </c>
      <c r="R2" s="20"/>
      <c r="S2" s="18">
        <v>169921</v>
      </c>
      <c r="T2" s="20"/>
      <c r="U2" s="18">
        <v>102894</v>
      </c>
      <c r="V2" s="20"/>
      <c r="W2" s="18">
        <v>11915</v>
      </c>
      <c r="X2" s="20"/>
      <c r="Y2" s="19">
        <f t="shared" ref="Y2:Y33" si="3">F2-I2</f>
        <v>1198536</v>
      </c>
      <c r="Z2" s="20"/>
      <c r="AA2" s="18">
        <v>614023</v>
      </c>
      <c r="AB2" s="17"/>
      <c r="AC2" s="21">
        <f t="shared" ref="AC2:AC33" si="4">Y2-AA2</f>
        <v>584513</v>
      </c>
      <c r="AD2" s="16"/>
    </row>
    <row r="3" spans="1:30" x14ac:dyDescent="0.25">
      <c r="A3" s="67">
        <v>42767</v>
      </c>
      <c r="B3" s="4">
        <v>8781008</v>
      </c>
      <c r="C3" s="10"/>
      <c r="D3" s="7">
        <f t="shared" si="0"/>
        <v>5371774</v>
      </c>
      <c r="E3" s="10"/>
      <c r="F3" s="4">
        <v>3409234</v>
      </c>
      <c r="G3" s="16"/>
      <c r="H3" s="9">
        <f>F3/B3</f>
        <v>0.38825087051509349</v>
      </c>
      <c r="I3" s="21">
        <f t="shared" si="2"/>
        <v>3074358</v>
      </c>
      <c r="J3" s="16"/>
      <c r="K3" s="18">
        <v>474357</v>
      </c>
      <c r="L3" s="20"/>
      <c r="M3" s="18">
        <v>1519296</v>
      </c>
      <c r="N3" s="20"/>
      <c r="O3" s="18">
        <v>465090</v>
      </c>
      <c r="P3" s="20"/>
      <c r="Q3" s="18">
        <v>239229</v>
      </c>
      <c r="R3" s="20"/>
      <c r="S3" s="18">
        <v>189004</v>
      </c>
      <c r="T3" s="20"/>
      <c r="U3" s="18">
        <v>112043</v>
      </c>
      <c r="V3" s="20"/>
      <c r="W3" s="18">
        <v>75339</v>
      </c>
      <c r="X3" s="20"/>
      <c r="Y3" s="19">
        <f t="shared" si="3"/>
        <v>334876</v>
      </c>
      <c r="Z3" s="20"/>
      <c r="AA3" s="18">
        <v>108216</v>
      </c>
      <c r="AB3" s="17"/>
      <c r="AC3" s="21">
        <f t="shared" si="4"/>
        <v>226660</v>
      </c>
      <c r="AD3" s="16"/>
    </row>
    <row r="4" spans="1:30" x14ac:dyDescent="0.25">
      <c r="A4" s="67">
        <v>42795</v>
      </c>
      <c r="B4" s="4">
        <v>9994730</v>
      </c>
      <c r="C4" s="10"/>
      <c r="D4" s="7">
        <f t="shared" si="0"/>
        <v>5478590</v>
      </c>
      <c r="E4" s="10"/>
      <c r="F4" s="4">
        <v>4516140</v>
      </c>
      <c r="G4" s="16"/>
      <c r="H4" s="9">
        <f t="shared" si="1"/>
        <v>0.45185212607043912</v>
      </c>
      <c r="I4" s="21">
        <f t="shared" si="2"/>
        <v>3423016</v>
      </c>
      <c r="J4" s="16"/>
      <c r="K4" s="18">
        <v>466134</v>
      </c>
      <c r="L4" s="20"/>
      <c r="M4" s="18">
        <v>1842973</v>
      </c>
      <c r="N4" s="20"/>
      <c r="O4" s="18">
        <v>419491</v>
      </c>
      <c r="P4" s="20"/>
      <c r="Q4" s="18">
        <v>152463</v>
      </c>
      <c r="R4" s="20"/>
      <c r="S4" s="18">
        <v>265392</v>
      </c>
      <c r="T4" s="20"/>
      <c r="U4" s="18">
        <v>255411</v>
      </c>
      <c r="V4" s="20"/>
      <c r="W4" s="18">
        <v>21152</v>
      </c>
      <c r="X4" s="20"/>
      <c r="Y4" s="19">
        <f t="shared" si="3"/>
        <v>1093124</v>
      </c>
      <c r="Z4" s="20"/>
      <c r="AA4" s="18">
        <v>302156</v>
      </c>
      <c r="AB4" s="17"/>
      <c r="AC4" s="21">
        <f t="shared" si="4"/>
        <v>790968</v>
      </c>
      <c r="AD4" s="16"/>
    </row>
    <row r="5" spans="1:30" x14ac:dyDescent="0.25">
      <c r="A5" s="67">
        <v>42826</v>
      </c>
      <c r="B5" s="4">
        <v>10482743</v>
      </c>
      <c r="C5" s="10"/>
      <c r="D5" s="7">
        <f t="shared" si="0"/>
        <v>5528713</v>
      </c>
      <c r="E5" s="10"/>
      <c r="F5" s="4">
        <v>4954030</v>
      </c>
      <c r="G5" s="16"/>
      <c r="H5" s="9">
        <f t="shared" si="1"/>
        <v>0.47258909237782515</v>
      </c>
      <c r="I5" s="21">
        <f t="shared" si="2"/>
        <v>4356975</v>
      </c>
      <c r="J5" s="16"/>
      <c r="K5" s="18">
        <v>468834</v>
      </c>
      <c r="L5" s="20"/>
      <c r="M5" s="18">
        <v>2345767</v>
      </c>
      <c r="N5" s="20"/>
      <c r="O5" s="18">
        <v>485344</v>
      </c>
      <c r="P5" s="20"/>
      <c r="Q5" s="18">
        <v>126285</v>
      </c>
      <c r="R5" s="20"/>
      <c r="S5" s="18">
        <v>480540</v>
      </c>
      <c r="T5" s="20"/>
      <c r="U5" s="18">
        <v>342508</v>
      </c>
      <c r="V5" s="20"/>
      <c r="W5" s="18">
        <v>107697</v>
      </c>
      <c r="X5" s="20"/>
      <c r="Y5" s="19">
        <f t="shared" si="3"/>
        <v>597055</v>
      </c>
      <c r="Z5" s="20"/>
      <c r="AA5" s="18">
        <v>1131869</v>
      </c>
      <c r="AB5" s="17"/>
      <c r="AC5" s="21">
        <f t="shared" si="4"/>
        <v>-534814</v>
      </c>
      <c r="AD5" s="16"/>
    </row>
    <row r="6" spans="1:30" x14ac:dyDescent="0.25">
      <c r="A6" s="67">
        <v>42856</v>
      </c>
      <c r="B6" s="4">
        <v>13324007</v>
      </c>
      <c r="C6" s="10"/>
      <c r="D6" s="7">
        <f t="shared" si="0"/>
        <v>6361003</v>
      </c>
      <c r="E6" s="10"/>
      <c r="F6" s="4">
        <v>6963004</v>
      </c>
      <c r="G6" s="16"/>
      <c r="H6" s="9">
        <f t="shared" si="1"/>
        <v>0.52259083922726846</v>
      </c>
      <c r="I6" s="21">
        <f t="shared" si="2"/>
        <v>4780952</v>
      </c>
      <c r="J6" s="16"/>
      <c r="K6" s="18">
        <v>501208</v>
      </c>
      <c r="L6" s="20"/>
      <c r="M6" s="18">
        <v>2502672</v>
      </c>
      <c r="N6" s="20"/>
      <c r="O6" s="18">
        <v>572366</v>
      </c>
      <c r="P6" s="20"/>
      <c r="Q6" s="18">
        <v>147708</v>
      </c>
      <c r="R6" s="20"/>
      <c r="S6" s="18">
        <v>335269</v>
      </c>
      <c r="T6" s="20"/>
      <c r="U6" s="18">
        <v>233592</v>
      </c>
      <c r="V6" s="20"/>
      <c r="W6" s="18">
        <v>488137</v>
      </c>
      <c r="X6" s="20"/>
      <c r="Y6" s="19">
        <f t="shared" si="3"/>
        <v>2182052</v>
      </c>
      <c r="Z6" s="20"/>
      <c r="AA6" s="18">
        <v>336569</v>
      </c>
      <c r="AB6" s="17"/>
      <c r="AC6" s="21">
        <f t="shared" si="4"/>
        <v>1845483</v>
      </c>
      <c r="AD6" s="16"/>
    </row>
    <row r="7" spans="1:30" x14ac:dyDescent="0.25">
      <c r="A7" s="67">
        <v>42887</v>
      </c>
      <c r="B7" s="4">
        <v>12665976</v>
      </c>
      <c r="C7" s="10"/>
      <c r="D7" s="7">
        <f t="shared" si="0"/>
        <v>5823615</v>
      </c>
      <c r="E7" s="10"/>
      <c r="F7" s="4">
        <v>6842361</v>
      </c>
      <c r="G7" s="16"/>
      <c r="H7" s="9">
        <f t="shared" si="1"/>
        <v>0.5402158507169128</v>
      </c>
      <c r="I7" s="21">
        <f t="shared" si="2"/>
        <v>5154070</v>
      </c>
      <c r="J7" s="16"/>
      <c r="K7" s="18">
        <v>591094</v>
      </c>
      <c r="L7" s="20"/>
      <c r="M7" s="18">
        <v>2726686</v>
      </c>
      <c r="N7" s="20"/>
      <c r="O7" s="18">
        <v>491430</v>
      </c>
      <c r="P7" s="20"/>
      <c r="Q7" s="18">
        <v>133170</v>
      </c>
      <c r="R7" s="20"/>
      <c r="S7" s="18">
        <v>827271</v>
      </c>
      <c r="T7" s="20"/>
      <c r="U7" s="18">
        <v>374131</v>
      </c>
      <c r="V7" s="20"/>
      <c r="W7" s="18">
        <v>10288</v>
      </c>
      <c r="X7" s="20"/>
      <c r="Y7" s="19">
        <f t="shared" si="3"/>
        <v>1688291</v>
      </c>
      <c r="Z7" s="20"/>
      <c r="AA7" s="18">
        <v>66184</v>
      </c>
      <c r="AB7" s="17"/>
      <c r="AC7" s="21">
        <f t="shared" si="4"/>
        <v>1622107</v>
      </c>
      <c r="AD7" s="16"/>
    </row>
    <row r="8" spans="1:30" x14ac:dyDescent="0.25">
      <c r="A8" s="67">
        <v>42917</v>
      </c>
      <c r="B8" s="4">
        <v>13362147</v>
      </c>
      <c r="C8" s="10"/>
      <c r="D8" s="7">
        <f t="shared" si="0"/>
        <v>6061291</v>
      </c>
      <c r="E8" s="10"/>
      <c r="F8" s="4">
        <v>7300856</v>
      </c>
      <c r="G8" s="16"/>
      <c r="H8" s="9">
        <f t="shared" si="1"/>
        <v>0.54638345170128721</v>
      </c>
      <c r="I8" s="21">
        <f t="shared" si="2"/>
        <v>4549423</v>
      </c>
      <c r="J8" s="16"/>
      <c r="K8" s="18">
        <v>675842</v>
      </c>
      <c r="L8" s="20"/>
      <c r="M8" s="18">
        <v>2646065</v>
      </c>
      <c r="N8" s="20"/>
      <c r="O8" s="18">
        <v>473256</v>
      </c>
      <c r="P8" s="20"/>
      <c r="Q8" s="18">
        <v>206381</v>
      </c>
      <c r="R8" s="20"/>
      <c r="S8" s="18">
        <v>329704</v>
      </c>
      <c r="T8" s="20"/>
      <c r="U8" s="18">
        <v>190993</v>
      </c>
      <c r="V8" s="20"/>
      <c r="W8" s="18">
        <v>27182</v>
      </c>
      <c r="X8" s="20"/>
      <c r="Y8" s="19">
        <f t="shared" si="3"/>
        <v>2751433</v>
      </c>
      <c r="Z8" s="20"/>
      <c r="AA8" s="18">
        <v>650744</v>
      </c>
      <c r="AB8" s="17"/>
      <c r="AC8" s="21">
        <f t="shared" si="4"/>
        <v>2100689</v>
      </c>
      <c r="AD8" s="16"/>
    </row>
    <row r="9" spans="1:30" x14ac:dyDescent="0.25">
      <c r="A9" s="67">
        <v>42948</v>
      </c>
      <c r="B9" s="4">
        <v>12258656</v>
      </c>
      <c r="C9" s="10"/>
      <c r="D9" s="7">
        <f t="shared" si="0"/>
        <v>5159166</v>
      </c>
      <c r="E9" s="10"/>
      <c r="F9" s="4">
        <v>7099490</v>
      </c>
      <c r="G9" s="16"/>
      <c r="H9" s="9">
        <f t="shared" si="1"/>
        <v>0.57914097597648551</v>
      </c>
      <c r="I9" s="21">
        <f t="shared" si="2"/>
        <v>5663979</v>
      </c>
      <c r="J9" s="16"/>
      <c r="K9" s="18">
        <v>756303</v>
      </c>
      <c r="L9" s="20"/>
      <c r="M9" s="18">
        <v>3036202</v>
      </c>
      <c r="N9" s="20"/>
      <c r="O9" s="18">
        <v>820593</v>
      </c>
      <c r="P9" s="20"/>
      <c r="Q9" s="18">
        <v>150548</v>
      </c>
      <c r="R9" s="20"/>
      <c r="S9" s="18">
        <v>333010</v>
      </c>
      <c r="T9" s="20"/>
      <c r="U9" s="18">
        <v>536015</v>
      </c>
      <c r="V9" s="20"/>
      <c r="W9" s="18">
        <v>31308</v>
      </c>
      <c r="X9" s="20"/>
      <c r="Y9" s="19">
        <f t="shared" si="3"/>
        <v>1435511</v>
      </c>
      <c r="Z9" s="20"/>
      <c r="AA9" s="18">
        <v>229714</v>
      </c>
      <c r="AB9" s="17"/>
      <c r="AC9" s="21">
        <f t="shared" si="4"/>
        <v>1205797</v>
      </c>
      <c r="AD9" s="16"/>
    </row>
    <row r="10" spans="1:30" x14ac:dyDescent="0.25">
      <c r="A10" s="67">
        <v>42979</v>
      </c>
      <c r="B10" s="4">
        <v>13790745</v>
      </c>
      <c r="C10" s="10"/>
      <c r="D10" s="7">
        <f t="shared" si="0"/>
        <v>6149169</v>
      </c>
      <c r="E10" s="10"/>
      <c r="F10" s="4">
        <v>7641576</v>
      </c>
      <c r="G10" s="16"/>
      <c r="H10" s="9">
        <f t="shared" si="1"/>
        <v>0.55410900571361443</v>
      </c>
      <c r="I10" s="21">
        <f t="shared" si="2"/>
        <v>5837142</v>
      </c>
      <c r="J10" s="16"/>
      <c r="K10" s="18">
        <v>538149</v>
      </c>
      <c r="L10" s="20"/>
      <c r="M10" s="18">
        <v>3032555</v>
      </c>
      <c r="N10" s="20"/>
      <c r="O10" s="18">
        <v>540964</v>
      </c>
      <c r="P10" s="20"/>
      <c r="Q10" s="18">
        <v>280327</v>
      </c>
      <c r="R10" s="20"/>
      <c r="S10" s="18">
        <v>411488</v>
      </c>
      <c r="T10" s="20"/>
      <c r="U10" s="18">
        <v>1001671</v>
      </c>
      <c r="V10" s="20"/>
      <c r="W10" s="18">
        <v>31988</v>
      </c>
      <c r="X10" s="20"/>
      <c r="Y10" s="19">
        <f t="shared" si="3"/>
        <v>1804434</v>
      </c>
      <c r="Z10" s="20"/>
      <c r="AA10" s="18">
        <v>147459</v>
      </c>
      <c r="AB10" s="17"/>
      <c r="AC10" s="21">
        <f t="shared" si="4"/>
        <v>1656975</v>
      </c>
      <c r="AD10" s="16"/>
    </row>
    <row r="11" spans="1:30" x14ac:dyDescent="0.25">
      <c r="A11" s="67">
        <v>43009</v>
      </c>
      <c r="B11" s="4">
        <v>13104174</v>
      </c>
      <c r="C11" s="10"/>
      <c r="D11" s="7">
        <f t="shared" si="0"/>
        <v>5725361</v>
      </c>
      <c r="E11" s="10"/>
      <c r="F11" s="4">
        <v>7378813</v>
      </c>
      <c r="G11" s="16"/>
      <c r="H11" s="9">
        <f t="shared" si="1"/>
        <v>0.5630887532476293</v>
      </c>
      <c r="I11" s="21">
        <f t="shared" si="2"/>
        <v>6752826</v>
      </c>
      <c r="J11" s="16"/>
      <c r="K11" s="18">
        <v>1367080</v>
      </c>
      <c r="L11" s="20"/>
      <c r="M11" s="18">
        <v>3298039</v>
      </c>
      <c r="N11" s="20"/>
      <c r="O11" s="18">
        <v>541922</v>
      </c>
      <c r="P11" s="20"/>
      <c r="Q11" s="18">
        <v>208827</v>
      </c>
      <c r="R11" s="20"/>
      <c r="S11" s="18">
        <v>412576</v>
      </c>
      <c r="T11" s="20"/>
      <c r="U11" s="18">
        <v>902149</v>
      </c>
      <c r="V11" s="20"/>
      <c r="W11" s="18">
        <v>22233</v>
      </c>
      <c r="X11" s="20"/>
      <c r="Y11" s="19">
        <f t="shared" si="3"/>
        <v>625987</v>
      </c>
      <c r="Z11" s="20"/>
      <c r="AA11" s="18">
        <v>786728</v>
      </c>
      <c r="AB11" s="17"/>
      <c r="AC11" s="21">
        <f t="shared" si="4"/>
        <v>-160741</v>
      </c>
      <c r="AD11" s="16"/>
    </row>
    <row r="12" spans="1:30" x14ac:dyDescent="0.25">
      <c r="A12" s="67">
        <v>43040</v>
      </c>
      <c r="B12" s="4">
        <v>10410288</v>
      </c>
      <c r="C12" s="10"/>
      <c r="D12" s="7">
        <f t="shared" si="0"/>
        <v>4716458</v>
      </c>
      <c r="E12" s="10"/>
      <c r="F12" s="4">
        <v>5693830</v>
      </c>
      <c r="G12" s="16"/>
      <c r="H12" s="9">
        <f t="shared" si="1"/>
        <v>0.54694260139584994</v>
      </c>
      <c r="I12" s="21">
        <f t="shared" si="2"/>
        <v>5464864</v>
      </c>
      <c r="J12" s="16"/>
      <c r="K12" s="18">
        <v>912663</v>
      </c>
      <c r="L12" s="20"/>
      <c r="M12" s="18">
        <v>3245718</v>
      </c>
      <c r="N12" s="20"/>
      <c r="O12" s="18">
        <v>473318</v>
      </c>
      <c r="P12" s="20"/>
      <c r="Q12" s="18">
        <v>285914</v>
      </c>
      <c r="R12" s="20"/>
      <c r="S12" s="18">
        <v>323642</v>
      </c>
      <c r="T12" s="20"/>
      <c r="U12" s="18">
        <v>194440</v>
      </c>
      <c r="V12" s="20"/>
      <c r="W12" s="18">
        <v>29169</v>
      </c>
      <c r="X12" s="20"/>
      <c r="Y12" s="19">
        <f t="shared" si="3"/>
        <v>228966</v>
      </c>
      <c r="Z12" s="20"/>
      <c r="AA12" s="18">
        <v>302342</v>
      </c>
      <c r="AB12" s="17"/>
      <c r="AC12" s="21">
        <f t="shared" si="4"/>
        <v>-73376</v>
      </c>
      <c r="AD12" s="16"/>
    </row>
    <row r="13" spans="1:30" x14ac:dyDescent="0.25">
      <c r="A13" s="67">
        <v>43070</v>
      </c>
      <c r="B13" s="4">
        <v>14161423</v>
      </c>
      <c r="C13" s="10"/>
      <c r="D13" s="7">
        <f t="shared" si="0"/>
        <v>6611395</v>
      </c>
      <c r="E13" s="10"/>
      <c r="F13" s="4">
        <v>7550028</v>
      </c>
      <c r="G13" s="16"/>
      <c r="H13" s="9">
        <f t="shared" si="1"/>
        <v>0.53314049018943932</v>
      </c>
      <c r="I13" s="21">
        <f t="shared" si="2"/>
        <v>6030316</v>
      </c>
      <c r="J13" s="16"/>
      <c r="K13" s="18">
        <v>986022</v>
      </c>
      <c r="L13" s="20"/>
      <c r="M13" s="18">
        <v>3514689</v>
      </c>
      <c r="N13" s="20"/>
      <c r="O13" s="18">
        <v>627135</v>
      </c>
      <c r="P13" s="20"/>
      <c r="Q13" s="18">
        <v>313544</v>
      </c>
      <c r="R13" s="20"/>
      <c r="S13" s="18">
        <v>386895</v>
      </c>
      <c r="T13" s="20"/>
      <c r="U13" s="18">
        <v>164638</v>
      </c>
      <c r="V13" s="20"/>
      <c r="W13" s="18">
        <v>37393</v>
      </c>
      <c r="X13" s="20"/>
      <c r="Y13" s="19">
        <f t="shared" si="3"/>
        <v>1519712</v>
      </c>
      <c r="Z13" s="20"/>
      <c r="AA13" s="18">
        <v>416958</v>
      </c>
      <c r="AB13" s="17"/>
      <c r="AC13" s="21">
        <f t="shared" si="4"/>
        <v>1102754</v>
      </c>
      <c r="AD13" s="16"/>
    </row>
    <row r="14" spans="1:30" x14ac:dyDescent="0.25">
      <c r="A14" s="67">
        <v>43101</v>
      </c>
      <c r="B14" s="4">
        <v>8666531</v>
      </c>
      <c r="C14" s="10">
        <f t="shared" ref="C14:C45" si="5">(B14/B2)-1</f>
        <v>3.0444646599711245E-2</v>
      </c>
      <c r="D14" s="7">
        <f t="shared" si="0"/>
        <v>3756576</v>
      </c>
      <c r="E14" s="10">
        <f t="shared" ref="E14:E45" si="6">(D14/D2)-1</f>
        <v>-0.21275724493871717</v>
      </c>
      <c r="F14" s="4">
        <v>4909955</v>
      </c>
      <c r="G14" s="16">
        <f t="shared" ref="G14:G45" si="7">(F14/F2)-1</f>
        <v>0.34938437552474633</v>
      </c>
      <c r="H14" s="9">
        <f t="shared" si="1"/>
        <v>0.5665421377942339</v>
      </c>
      <c r="I14" s="21">
        <f t="shared" si="2"/>
        <v>4706978</v>
      </c>
      <c r="J14" s="16">
        <f t="shared" ref="J14:J45" si="8">(I14/I2)-1</f>
        <v>0.92898894196900406</v>
      </c>
      <c r="K14" s="18">
        <v>880479</v>
      </c>
      <c r="L14" s="20">
        <f t="shared" ref="L14:L45" si="9">(K14/K2)-1</f>
        <v>-1.5014691490049525E-3</v>
      </c>
      <c r="M14" s="18">
        <v>2670474</v>
      </c>
      <c r="N14" s="20">
        <f t="shared" ref="N14:N45" si="10">(M14/M2)-1</f>
        <v>2.1342009734250502</v>
      </c>
      <c r="O14" s="18">
        <v>568343</v>
      </c>
      <c r="P14" s="20">
        <f t="shared" ref="P14:P45" si="11">(O14/O2)-1</f>
        <v>0.58841103838392872</v>
      </c>
      <c r="Q14" s="18">
        <v>223926</v>
      </c>
      <c r="R14" s="20">
        <f t="shared" ref="R14:R45" si="12">(Q14/Q2)-1</f>
        <v>2.5128402227625695</v>
      </c>
      <c r="S14" s="18">
        <v>163062</v>
      </c>
      <c r="T14" s="20">
        <f t="shared" ref="T14:T45" si="13">(S14/S2)-1</f>
        <v>-4.0365817056161379E-2</v>
      </c>
      <c r="U14" s="18">
        <v>106755</v>
      </c>
      <c r="V14" s="20">
        <f t="shared" ref="V14:V45" si="14">(U14/U2)-1</f>
        <v>3.7524053880692687E-2</v>
      </c>
      <c r="W14" s="18">
        <v>93939</v>
      </c>
      <c r="X14" s="20">
        <f t="shared" ref="X14:X45" si="15">(W14/W2)-1</f>
        <v>6.8840956777171636</v>
      </c>
      <c r="Y14" s="19">
        <f t="shared" si="3"/>
        <v>202977</v>
      </c>
      <c r="Z14" s="20">
        <f t="shared" ref="Z14:Z45" si="16">(Y14/Y2)-1</f>
        <v>-0.83064588798333971</v>
      </c>
      <c r="AA14" s="18">
        <v>484781</v>
      </c>
      <c r="AB14" s="17">
        <f t="shared" ref="AB14:AB45" si="17">(AA14/AA2)-1</f>
        <v>-0.21048397209876502</v>
      </c>
      <c r="AC14" s="21">
        <f t="shared" si="4"/>
        <v>-281804</v>
      </c>
      <c r="AD14" s="16">
        <f t="shared" ref="AD14:AD45" si="18">(AC14/AC2)-1</f>
        <v>-1.4821175919098464</v>
      </c>
    </row>
    <row r="15" spans="1:30" x14ac:dyDescent="0.25">
      <c r="A15" s="67">
        <v>43132</v>
      </c>
      <c r="B15" s="4">
        <v>9471679</v>
      </c>
      <c r="C15" s="10">
        <f t="shared" si="5"/>
        <v>7.8655092900496104E-2</v>
      </c>
      <c r="D15" s="7">
        <f t="shared" si="0"/>
        <v>4129429</v>
      </c>
      <c r="E15" s="10">
        <f t="shared" si="6"/>
        <v>-0.23127276017196552</v>
      </c>
      <c r="F15" s="4">
        <v>5342250</v>
      </c>
      <c r="G15" s="16">
        <f t="shared" si="7"/>
        <v>0.56699422802893551</v>
      </c>
      <c r="H15" s="9">
        <f t="shared" si="1"/>
        <v>0.5640235485176387</v>
      </c>
      <c r="I15" s="21">
        <f t="shared" si="2"/>
        <v>5414096</v>
      </c>
      <c r="J15" s="16">
        <f t="shared" si="8"/>
        <v>0.76104929874790117</v>
      </c>
      <c r="K15" s="18">
        <v>1257610</v>
      </c>
      <c r="L15" s="20">
        <f t="shared" si="9"/>
        <v>1.6511888725158479</v>
      </c>
      <c r="M15" s="18">
        <v>2850184</v>
      </c>
      <c r="N15" s="20">
        <f t="shared" si="10"/>
        <v>0.87598993217911447</v>
      </c>
      <c r="O15" s="18">
        <v>527169</v>
      </c>
      <c r="P15" s="20">
        <f t="shared" si="11"/>
        <v>0.13347739147261817</v>
      </c>
      <c r="Q15" s="18">
        <v>335670</v>
      </c>
      <c r="R15" s="20">
        <f t="shared" si="12"/>
        <v>0.40313256335979331</v>
      </c>
      <c r="S15" s="18">
        <v>242857</v>
      </c>
      <c r="T15" s="20">
        <f t="shared" si="13"/>
        <v>0.28493047766184842</v>
      </c>
      <c r="U15" s="18">
        <v>104685</v>
      </c>
      <c r="V15" s="20">
        <f t="shared" si="14"/>
        <v>-6.5671215515471726E-2</v>
      </c>
      <c r="W15" s="18">
        <v>95921</v>
      </c>
      <c r="X15" s="20">
        <f t="shared" si="15"/>
        <v>0.27319183955189219</v>
      </c>
      <c r="Y15" s="19">
        <f t="shared" si="3"/>
        <v>-71846</v>
      </c>
      <c r="Z15" s="20">
        <f t="shared" si="16"/>
        <v>-1.2145450853450233</v>
      </c>
      <c r="AA15" s="18">
        <v>362816</v>
      </c>
      <c r="AB15" s="17">
        <f t="shared" si="17"/>
        <v>2.3527020034006063</v>
      </c>
      <c r="AC15" s="21">
        <f t="shared" si="4"/>
        <v>-434662</v>
      </c>
      <c r="AD15" s="16">
        <f t="shared" si="18"/>
        <v>-2.9176828730256772</v>
      </c>
    </row>
    <row r="16" spans="1:30" x14ac:dyDescent="0.25">
      <c r="A16" s="67">
        <v>43160</v>
      </c>
      <c r="B16" s="4">
        <v>11074954</v>
      </c>
      <c r="C16" s="10">
        <f t="shared" si="5"/>
        <v>0.10807935782157196</v>
      </c>
      <c r="D16" s="7">
        <f t="shared" si="0"/>
        <v>4038973</v>
      </c>
      <c r="E16" s="10">
        <f t="shared" si="6"/>
        <v>-0.26277144301727273</v>
      </c>
      <c r="F16" s="4">
        <v>7035981</v>
      </c>
      <c r="G16" s="16">
        <f t="shared" si="7"/>
        <v>0.55796343780307955</v>
      </c>
      <c r="H16" s="9">
        <f t="shared" si="1"/>
        <v>0.63530566357205642</v>
      </c>
      <c r="I16" s="21">
        <f t="shared" si="2"/>
        <v>5015918</v>
      </c>
      <c r="J16" s="16">
        <f t="shared" si="8"/>
        <v>0.4653504394954624</v>
      </c>
      <c r="K16" s="18">
        <v>973120</v>
      </c>
      <c r="L16" s="20">
        <f t="shared" si="9"/>
        <v>1.087640034839767</v>
      </c>
      <c r="M16" s="18">
        <v>2689146</v>
      </c>
      <c r="N16" s="20">
        <f t="shared" si="10"/>
        <v>0.45913477842594541</v>
      </c>
      <c r="O16" s="18">
        <v>551787</v>
      </c>
      <c r="P16" s="20">
        <f t="shared" si="11"/>
        <v>0.31537267784052569</v>
      </c>
      <c r="Q16" s="18">
        <v>221737</v>
      </c>
      <c r="R16" s="20">
        <f t="shared" si="12"/>
        <v>0.45436597731908734</v>
      </c>
      <c r="S16" s="18">
        <v>315518</v>
      </c>
      <c r="T16" s="20">
        <f t="shared" si="13"/>
        <v>0.18887532404895402</v>
      </c>
      <c r="U16" s="18">
        <v>167495</v>
      </c>
      <c r="V16" s="20">
        <f t="shared" si="14"/>
        <v>-0.34421383573925945</v>
      </c>
      <c r="W16" s="18">
        <v>97115</v>
      </c>
      <c r="X16" s="20">
        <f t="shared" si="15"/>
        <v>3.5912916036308626</v>
      </c>
      <c r="Y16" s="19">
        <f t="shared" si="3"/>
        <v>2020063</v>
      </c>
      <c r="Z16" s="20">
        <f t="shared" si="16"/>
        <v>0.84797241667002088</v>
      </c>
      <c r="AA16" s="18">
        <v>521032</v>
      </c>
      <c r="AB16" s="17">
        <f t="shared" si="17"/>
        <v>0.72438078343637069</v>
      </c>
      <c r="AC16" s="21">
        <f t="shared" si="4"/>
        <v>1499031</v>
      </c>
      <c r="AD16" s="16">
        <f t="shared" si="18"/>
        <v>0.89518539308796319</v>
      </c>
    </row>
    <row r="17" spans="1:30" x14ac:dyDescent="0.25">
      <c r="A17" s="67">
        <v>43191</v>
      </c>
      <c r="B17" s="4">
        <v>13081063</v>
      </c>
      <c r="C17" s="10">
        <f t="shared" si="5"/>
        <v>0.24786642198516162</v>
      </c>
      <c r="D17" s="7">
        <f t="shared" si="0"/>
        <v>5184081</v>
      </c>
      <c r="E17" s="10">
        <f t="shared" si="6"/>
        <v>-6.2334941242202291E-2</v>
      </c>
      <c r="F17" s="4">
        <v>7896982</v>
      </c>
      <c r="G17" s="16">
        <f t="shared" si="7"/>
        <v>0.59405211514665845</v>
      </c>
      <c r="H17" s="9">
        <f t="shared" si="1"/>
        <v>0.60369573940588772</v>
      </c>
      <c r="I17" s="21">
        <f t="shared" si="2"/>
        <v>5200058</v>
      </c>
      <c r="J17" s="16">
        <f t="shared" si="8"/>
        <v>0.1935019135983107</v>
      </c>
      <c r="K17" s="18">
        <v>918441</v>
      </c>
      <c r="L17" s="20">
        <f t="shared" si="9"/>
        <v>0.95898974903697254</v>
      </c>
      <c r="M17" s="18">
        <v>2808901</v>
      </c>
      <c r="N17" s="20">
        <f t="shared" si="10"/>
        <v>0.19743393099144124</v>
      </c>
      <c r="O17" s="18">
        <v>653449</v>
      </c>
      <c r="P17" s="20">
        <f t="shared" si="11"/>
        <v>0.34636257994329789</v>
      </c>
      <c r="Q17" s="18">
        <v>291311</v>
      </c>
      <c r="R17" s="20">
        <f t="shared" si="12"/>
        <v>1.306774359583482</v>
      </c>
      <c r="S17" s="18">
        <v>326028</v>
      </c>
      <c r="T17" s="20">
        <f t="shared" si="13"/>
        <v>-0.32153826944687225</v>
      </c>
      <c r="U17" s="18">
        <v>110783</v>
      </c>
      <c r="V17" s="20">
        <f t="shared" si="14"/>
        <v>-0.67655354035526183</v>
      </c>
      <c r="W17" s="18">
        <v>91145</v>
      </c>
      <c r="X17" s="20">
        <f t="shared" si="15"/>
        <v>-0.15369044634483786</v>
      </c>
      <c r="Y17" s="19">
        <f t="shared" si="3"/>
        <v>2696924</v>
      </c>
      <c r="Z17" s="20">
        <f t="shared" si="16"/>
        <v>3.5170444933883811</v>
      </c>
      <c r="AA17" s="18">
        <v>837208</v>
      </c>
      <c r="AB17" s="17">
        <f t="shared" si="17"/>
        <v>-0.26033136343516783</v>
      </c>
      <c r="AC17" s="21">
        <f t="shared" si="4"/>
        <v>1859716</v>
      </c>
      <c r="AD17" s="16">
        <f t="shared" si="18"/>
        <v>-4.4773136080955247</v>
      </c>
    </row>
    <row r="18" spans="1:30" x14ac:dyDescent="0.25">
      <c r="A18" s="67">
        <v>43221</v>
      </c>
      <c r="B18" s="4">
        <v>13754112</v>
      </c>
      <c r="C18" s="10">
        <f t="shared" si="5"/>
        <v>3.2280454370821055E-2</v>
      </c>
      <c r="D18" s="7">
        <f t="shared" si="0"/>
        <v>6250507</v>
      </c>
      <c r="E18" s="10">
        <f t="shared" si="6"/>
        <v>-1.7370845446857963E-2</v>
      </c>
      <c r="F18" s="4">
        <v>7503605</v>
      </c>
      <c r="G18" s="16">
        <f t="shared" si="7"/>
        <v>7.763904774433561E-2</v>
      </c>
      <c r="H18" s="9">
        <f t="shared" si="1"/>
        <v>0.5455535769957377</v>
      </c>
      <c r="I18" s="21">
        <f t="shared" si="2"/>
        <v>5792034</v>
      </c>
      <c r="J18" s="16">
        <f t="shared" si="8"/>
        <v>0.21148131167181772</v>
      </c>
      <c r="K18" s="18">
        <v>927335</v>
      </c>
      <c r="L18" s="20">
        <f t="shared" si="9"/>
        <v>0.85019991700052677</v>
      </c>
      <c r="M18" s="18">
        <v>3097272</v>
      </c>
      <c r="N18" s="20">
        <f t="shared" si="10"/>
        <v>0.23758606801051041</v>
      </c>
      <c r="O18" s="18">
        <v>726813</v>
      </c>
      <c r="P18" s="20">
        <f t="shared" si="11"/>
        <v>0.26983957817200888</v>
      </c>
      <c r="Q18" s="18">
        <v>244492</v>
      </c>
      <c r="R18" s="20">
        <f t="shared" si="12"/>
        <v>0.65523871421994739</v>
      </c>
      <c r="S18" s="18">
        <v>360452</v>
      </c>
      <c r="T18" s="20">
        <f t="shared" si="13"/>
        <v>7.5112819855101431E-2</v>
      </c>
      <c r="U18" s="18">
        <v>342498</v>
      </c>
      <c r="V18" s="20">
        <f t="shared" si="14"/>
        <v>0.46622315832733996</v>
      </c>
      <c r="W18" s="18">
        <v>93172</v>
      </c>
      <c r="X18" s="20">
        <f t="shared" si="15"/>
        <v>-0.80912735563991256</v>
      </c>
      <c r="Y18" s="19">
        <f t="shared" si="3"/>
        <v>1711571</v>
      </c>
      <c r="Z18" s="20">
        <f t="shared" si="16"/>
        <v>-0.21561401836436533</v>
      </c>
      <c r="AA18" s="18">
        <v>457820</v>
      </c>
      <c r="AB18" s="17">
        <f t="shared" si="17"/>
        <v>0.3602559950559916</v>
      </c>
      <c r="AC18" s="21">
        <f t="shared" si="4"/>
        <v>1253751</v>
      </c>
      <c r="AD18" s="16">
        <f t="shared" si="18"/>
        <v>-0.32063801183755147</v>
      </c>
    </row>
    <row r="19" spans="1:30" x14ac:dyDescent="0.25">
      <c r="A19" s="67">
        <v>43252</v>
      </c>
      <c r="B19" s="4">
        <v>12515143</v>
      </c>
      <c r="C19" s="10">
        <f t="shared" si="5"/>
        <v>-1.1908517748651981E-2</v>
      </c>
      <c r="D19" s="7">
        <f t="shared" si="0"/>
        <v>5528409</v>
      </c>
      <c r="E19" s="10">
        <f t="shared" si="6"/>
        <v>-5.0691194386991545E-2</v>
      </c>
      <c r="F19" s="4">
        <v>6986734</v>
      </c>
      <c r="G19" s="16">
        <f t="shared" si="7"/>
        <v>2.1099880582155839E-2</v>
      </c>
      <c r="H19" s="9">
        <f t="shared" si="1"/>
        <v>0.55826241857564074</v>
      </c>
      <c r="I19" s="21">
        <f t="shared" si="2"/>
        <v>5501146</v>
      </c>
      <c r="J19" s="16">
        <f t="shared" si="8"/>
        <v>6.7340179702642722E-2</v>
      </c>
      <c r="K19" s="18">
        <v>939172</v>
      </c>
      <c r="L19" s="20">
        <f t="shared" si="9"/>
        <v>0.58887080565866001</v>
      </c>
      <c r="M19" s="18">
        <v>3166886</v>
      </c>
      <c r="N19" s="20">
        <f t="shared" si="10"/>
        <v>0.16144139809277647</v>
      </c>
      <c r="O19" s="18">
        <v>598155</v>
      </c>
      <c r="P19" s="20">
        <f t="shared" si="11"/>
        <v>0.21717233380135514</v>
      </c>
      <c r="Q19" s="18">
        <v>209951</v>
      </c>
      <c r="R19" s="20">
        <f t="shared" si="12"/>
        <v>0.57656379064353835</v>
      </c>
      <c r="S19" s="18">
        <v>431534</v>
      </c>
      <c r="T19" s="20">
        <f t="shared" si="13"/>
        <v>-0.47836440537623104</v>
      </c>
      <c r="U19" s="18">
        <v>62111</v>
      </c>
      <c r="V19" s="20">
        <f t="shared" si="14"/>
        <v>-0.83398595679053589</v>
      </c>
      <c r="W19" s="18">
        <v>93337</v>
      </c>
      <c r="X19" s="20">
        <f t="shared" si="15"/>
        <v>8.0724144634525654</v>
      </c>
      <c r="Y19" s="19">
        <f t="shared" si="3"/>
        <v>1485588</v>
      </c>
      <c r="Z19" s="20">
        <f t="shared" si="16"/>
        <v>-0.12006401739984396</v>
      </c>
      <c r="AA19" s="18">
        <v>148538</v>
      </c>
      <c r="AB19" s="17">
        <f t="shared" si="17"/>
        <v>1.244318868608727</v>
      </c>
      <c r="AC19" s="21">
        <f t="shared" si="4"/>
        <v>1337050</v>
      </c>
      <c r="AD19" s="16">
        <f t="shared" si="18"/>
        <v>-0.17573255031881374</v>
      </c>
    </row>
    <row r="20" spans="1:30" x14ac:dyDescent="0.25">
      <c r="A20" s="67">
        <v>43282</v>
      </c>
      <c r="B20" s="4">
        <v>13934231</v>
      </c>
      <c r="C20" s="10">
        <f t="shared" si="5"/>
        <v>4.2813778354631182E-2</v>
      </c>
      <c r="D20" s="7">
        <f t="shared" si="0"/>
        <v>5370909</v>
      </c>
      <c r="E20" s="10">
        <f t="shared" si="6"/>
        <v>-0.11390015757369176</v>
      </c>
      <c r="F20" s="4">
        <v>8563322</v>
      </c>
      <c r="G20" s="16">
        <f t="shared" si="7"/>
        <v>0.17292027126682141</v>
      </c>
      <c r="H20" s="9">
        <f t="shared" si="1"/>
        <v>0.61455289495344234</v>
      </c>
      <c r="I20" s="21">
        <f t="shared" si="2"/>
        <v>5977910</v>
      </c>
      <c r="J20" s="16">
        <f t="shared" si="8"/>
        <v>0.31399300526682183</v>
      </c>
      <c r="K20" s="18">
        <v>900000</v>
      </c>
      <c r="L20" s="20">
        <f t="shared" si="9"/>
        <v>0.33167219557233785</v>
      </c>
      <c r="M20" s="18">
        <v>3200000</v>
      </c>
      <c r="N20" s="20">
        <f t="shared" si="10"/>
        <v>0.20934292997337556</v>
      </c>
      <c r="O20" s="18">
        <v>531615</v>
      </c>
      <c r="P20" s="20">
        <f t="shared" si="11"/>
        <v>0.12331380901668432</v>
      </c>
      <c r="Q20" s="18">
        <v>307585</v>
      </c>
      <c r="R20" s="20">
        <f t="shared" si="12"/>
        <v>0.4903745984368717</v>
      </c>
      <c r="S20" s="18">
        <v>382631</v>
      </c>
      <c r="T20" s="20">
        <f t="shared" si="13"/>
        <v>0.16052883798801343</v>
      </c>
      <c r="U20" s="18">
        <v>403000</v>
      </c>
      <c r="V20" s="20">
        <f t="shared" si="14"/>
        <v>1.1100249747372941</v>
      </c>
      <c r="W20" s="18">
        <v>253079</v>
      </c>
      <c r="X20" s="20">
        <f t="shared" si="15"/>
        <v>8.3105363843720106</v>
      </c>
      <c r="Y20" s="19">
        <f t="shared" si="3"/>
        <v>2585412</v>
      </c>
      <c r="Z20" s="20">
        <f t="shared" si="16"/>
        <v>-6.0339830190304422E-2</v>
      </c>
      <c r="AA20" s="18">
        <v>609538</v>
      </c>
      <c r="AB20" s="17">
        <f t="shared" si="17"/>
        <v>-6.3321367542382268E-2</v>
      </c>
      <c r="AC20" s="21">
        <f t="shared" si="4"/>
        <v>1975874</v>
      </c>
      <c r="AD20" s="16">
        <f t="shared" si="18"/>
        <v>-5.9416220106831563E-2</v>
      </c>
    </row>
    <row r="21" spans="1:30" x14ac:dyDescent="0.25">
      <c r="A21" s="67">
        <v>43313</v>
      </c>
      <c r="B21" s="4">
        <v>12916943</v>
      </c>
      <c r="C21" s="10">
        <f t="shared" si="5"/>
        <v>5.3699769371128525E-2</v>
      </c>
      <c r="D21" s="7">
        <f t="shared" si="0"/>
        <v>6196649</v>
      </c>
      <c r="E21" s="10">
        <f t="shared" si="6"/>
        <v>0.20109509947925686</v>
      </c>
      <c r="F21" s="4">
        <v>6720294</v>
      </c>
      <c r="G21" s="16">
        <f t="shared" si="7"/>
        <v>-5.3411723940733791E-2</v>
      </c>
      <c r="H21" s="9">
        <f t="shared" si="1"/>
        <v>0.52026969539154888</v>
      </c>
      <c r="I21" s="21">
        <f t="shared" si="2"/>
        <v>6015274</v>
      </c>
      <c r="J21" s="16">
        <f t="shared" si="8"/>
        <v>6.2022652273251655E-2</v>
      </c>
      <c r="K21" s="18">
        <v>1081408</v>
      </c>
      <c r="L21" s="20">
        <f t="shared" si="9"/>
        <v>0.4298607833103929</v>
      </c>
      <c r="M21" s="18">
        <v>3257871</v>
      </c>
      <c r="N21" s="20">
        <f t="shared" si="10"/>
        <v>7.3008646987255732E-2</v>
      </c>
      <c r="O21" s="18">
        <v>524043</v>
      </c>
      <c r="P21" s="20">
        <f t="shared" si="11"/>
        <v>-0.36138499840968663</v>
      </c>
      <c r="Q21" s="18">
        <v>250549</v>
      </c>
      <c r="R21" s="20">
        <f t="shared" si="12"/>
        <v>0.664246619018519</v>
      </c>
      <c r="S21" s="18">
        <v>374466</v>
      </c>
      <c r="T21" s="20">
        <f t="shared" si="13"/>
        <v>0.12448875409146876</v>
      </c>
      <c r="U21" s="18">
        <v>343596</v>
      </c>
      <c r="V21" s="20">
        <f t="shared" si="14"/>
        <v>-0.35898062554219567</v>
      </c>
      <c r="W21" s="18">
        <v>183341</v>
      </c>
      <c r="X21" s="20">
        <f t="shared" si="15"/>
        <v>4.8560431838507734</v>
      </c>
      <c r="Y21" s="19">
        <f t="shared" si="3"/>
        <v>705020</v>
      </c>
      <c r="Z21" s="20">
        <f t="shared" si="16"/>
        <v>-0.50887175368213833</v>
      </c>
      <c r="AA21" s="18">
        <v>314074</v>
      </c>
      <c r="AB21" s="17">
        <f t="shared" si="17"/>
        <v>0.36723926273540131</v>
      </c>
      <c r="AC21" s="21">
        <f t="shared" si="4"/>
        <v>390946</v>
      </c>
      <c r="AD21" s="16">
        <f t="shared" si="18"/>
        <v>-0.67577792945246995</v>
      </c>
    </row>
    <row r="22" spans="1:30" x14ac:dyDescent="0.25">
      <c r="A22" s="67">
        <v>43344</v>
      </c>
      <c r="B22" s="4">
        <v>15072902</v>
      </c>
      <c r="C22" s="10">
        <f t="shared" si="5"/>
        <v>9.2972279597657748E-2</v>
      </c>
      <c r="D22" s="7">
        <f t="shared" si="0"/>
        <v>6726661</v>
      </c>
      <c r="E22" s="10">
        <f t="shared" si="6"/>
        <v>9.3913828031072066E-2</v>
      </c>
      <c r="F22" s="4">
        <v>8346241</v>
      </c>
      <c r="G22" s="16">
        <f t="shared" si="7"/>
        <v>9.2214616461316457E-2</v>
      </c>
      <c r="H22" s="9">
        <f t="shared" si="1"/>
        <v>0.55372488987190394</v>
      </c>
      <c r="I22" s="21">
        <f t="shared" si="2"/>
        <v>5797201</v>
      </c>
      <c r="J22" s="16">
        <f t="shared" si="8"/>
        <v>-6.8425609656231901E-3</v>
      </c>
      <c r="K22" s="18">
        <v>1129953</v>
      </c>
      <c r="L22" s="20">
        <f t="shared" si="9"/>
        <v>1.0997028703946303</v>
      </c>
      <c r="M22" s="18">
        <v>3298025</v>
      </c>
      <c r="N22" s="20">
        <f t="shared" si="10"/>
        <v>8.7540044615843637E-2</v>
      </c>
      <c r="O22" s="18">
        <v>521425</v>
      </c>
      <c r="P22" s="20">
        <f t="shared" si="11"/>
        <v>-3.6118854489393004E-2</v>
      </c>
      <c r="Q22" s="18">
        <v>232996</v>
      </c>
      <c r="R22" s="20">
        <f t="shared" si="12"/>
        <v>-0.16884210225914731</v>
      </c>
      <c r="S22" s="18">
        <v>337240</v>
      </c>
      <c r="T22" s="20">
        <f t="shared" si="13"/>
        <v>-0.18043782564740651</v>
      </c>
      <c r="U22" s="18">
        <v>158102</v>
      </c>
      <c r="V22" s="20">
        <f t="shared" si="14"/>
        <v>-0.84216174771956065</v>
      </c>
      <c r="W22" s="18">
        <v>119460</v>
      </c>
      <c r="X22" s="20">
        <f t="shared" si="15"/>
        <v>2.7345254470426408</v>
      </c>
      <c r="Y22" s="19">
        <f t="shared" si="3"/>
        <v>2549040</v>
      </c>
      <c r="Z22" s="20">
        <f t="shared" si="16"/>
        <v>0.41265349688600406</v>
      </c>
      <c r="AA22" s="18">
        <v>822276</v>
      </c>
      <c r="AB22" s="17">
        <f t="shared" si="17"/>
        <v>4.5763025654588736</v>
      </c>
      <c r="AC22" s="21">
        <f t="shared" si="4"/>
        <v>1726764</v>
      </c>
      <c r="AD22" s="16">
        <f t="shared" si="18"/>
        <v>4.2118318019282119E-2</v>
      </c>
    </row>
    <row r="23" spans="1:30" x14ac:dyDescent="0.25">
      <c r="A23" s="67">
        <v>43374</v>
      </c>
      <c r="B23" s="4">
        <v>14590559</v>
      </c>
      <c r="C23" s="10">
        <f t="shared" si="5"/>
        <v>0.11342836259652844</v>
      </c>
      <c r="D23" s="7">
        <f t="shared" si="0"/>
        <v>5737809</v>
      </c>
      <c r="E23" s="10">
        <f t="shared" si="6"/>
        <v>2.174186046958404E-3</v>
      </c>
      <c r="F23" s="4">
        <v>8852750</v>
      </c>
      <c r="G23" s="16">
        <f t="shared" si="7"/>
        <v>0.19975258893266434</v>
      </c>
      <c r="H23" s="9">
        <f t="shared" si="1"/>
        <v>0.60674508769677704</v>
      </c>
      <c r="I23" s="21">
        <f t="shared" si="2"/>
        <v>5848257</v>
      </c>
      <c r="J23" s="16">
        <f t="shared" si="8"/>
        <v>-0.13395414008890505</v>
      </c>
      <c r="K23" s="18">
        <v>945710</v>
      </c>
      <c r="L23" s="20">
        <f t="shared" si="9"/>
        <v>-0.30822629253591594</v>
      </c>
      <c r="M23" s="18">
        <v>3330370</v>
      </c>
      <c r="N23" s="20">
        <f t="shared" si="10"/>
        <v>9.80309814407887E-3</v>
      </c>
      <c r="O23" s="18">
        <v>610999</v>
      </c>
      <c r="P23" s="20">
        <f t="shared" si="11"/>
        <v>0.12746668339724176</v>
      </c>
      <c r="Q23" s="18">
        <v>232634</v>
      </c>
      <c r="R23" s="20">
        <f t="shared" si="12"/>
        <v>0.11400345740732765</v>
      </c>
      <c r="S23" s="18">
        <v>430222</v>
      </c>
      <c r="T23" s="20">
        <f t="shared" si="13"/>
        <v>4.2770301714108339E-2</v>
      </c>
      <c r="U23" s="18">
        <v>203312</v>
      </c>
      <c r="V23" s="20">
        <f t="shared" si="14"/>
        <v>-0.7746358971744135</v>
      </c>
      <c r="W23" s="18">
        <v>95010</v>
      </c>
      <c r="X23" s="20">
        <f t="shared" si="15"/>
        <v>3.2733774119552015</v>
      </c>
      <c r="Y23" s="19">
        <f t="shared" si="3"/>
        <v>3004493</v>
      </c>
      <c r="Z23" s="20">
        <f t="shared" si="16"/>
        <v>3.799609257061249</v>
      </c>
      <c r="AA23" s="18">
        <v>745053</v>
      </c>
      <c r="AB23" s="17">
        <f t="shared" si="17"/>
        <v>-5.2972564850875981E-2</v>
      </c>
      <c r="AC23" s="21">
        <f t="shared" si="4"/>
        <v>2259440</v>
      </c>
      <c r="AD23" s="16">
        <f t="shared" si="18"/>
        <v>-15.056401291518654</v>
      </c>
    </row>
    <row r="24" spans="1:30" x14ac:dyDescent="0.25">
      <c r="A24" s="67">
        <v>43405</v>
      </c>
      <c r="B24" s="4">
        <v>12189742</v>
      </c>
      <c r="C24" s="10">
        <f t="shared" si="5"/>
        <v>0.17093225470803497</v>
      </c>
      <c r="D24" s="7">
        <f t="shared" si="0"/>
        <v>5295347</v>
      </c>
      <c r="E24" s="10">
        <f t="shared" si="6"/>
        <v>0.12273808014404031</v>
      </c>
      <c r="F24" s="4">
        <v>6894395</v>
      </c>
      <c r="G24" s="16">
        <f t="shared" si="7"/>
        <v>0.21085367845545089</v>
      </c>
      <c r="H24" s="9">
        <f t="shared" si="1"/>
        <v>0.56558990337941528</v>
      </c>
      <c r="I24" s="21">
        <f t="shared" si="2"/>
        <v>5491906</v>
      </c>
      <c r="J24" s="16">
        <f t="shared" si="8"/>
        <v>4.9483390620517209E-3</v>
      </c>
      <c r="K24" s="18">
        <v>681267</v>
      </c>
      <c r="L24" s="20">
        <f t="shared" si="9"/>
        <v>-0.25353936776225183</v>
      </c>
      <c r="M24" s="18">
        <v>3318435</v>
      </c>
      <c r="N24" s="20">
        <f t="shared" si="10"/>
        <v>2.2403979643333072E-2</v>
      </c>
      <c r="O24" s="18">
        <v>558966</v>
      </c>
      <c r="P24" s="20">
        <f t="shared" si="11"/>
        <v>0.18095234070962851</v>
      </c>
      <c r="Q24" s="18">
        <v>243056</v>
      </c>
      <c r="R24" s="20">
        <f t="shared" si="12"/>
        <v>-0.14989822114342077</v>
      </c>
      <c r="S24" s="18">
        <v>318363</v>
      </c>
      <c r="T24" s="20">
        <f t="shared" si="13"/>
        <v>-1.6311232781900942E-2</v>
      </c>
      <c r="U24" s="18">
        <v>280273</v>
      </c>
      <c r="V24" s="20">
        <f t="shared" si="14"/>
        <v>0.44143694713022019</v>
      </c>
      <c r="W24" s="18">
        <v>91546</v>
      </c>
      <c r="X24" s="20">
        <f t="shared" si="15"/>
        <v>2.1384689224862012</v>
      </c>
      <c r="Y24" s="19">
        <f t="shared" si="3"/>
        <v>1402489</v>
      </c>
      <c r="Z24" s="20">
        <f t="shared" si="16"/>
        <v>5.1253155490334805</v>
      </c>
      <c r="AA24" s="18">
        <v>765254</v>
      </c>
      <c r="AB24" s="17">
        <f t="shared" si="17"/>
        <v>1.5310873117198405</v>
      </c>
      <c r="AC24" s="21">
        <f t="shared" si="4"/>
        <v>637235</v>
      </c>
      <c r="AD24" s="16">
        <f t="shared" si="18"/>
        <v>-9.6845153728739639</v>
      </c>
    </row>
    <row r="25" spans="1:30" x14ac:dyDescent="0.25">
      <c r="A25" s="67">
        <v>43435</v>
      </c>
      <c r="B25" s="4">
        <v>12901234</v>
      </c>
      <c r="C25" s="10">
        <f t="shared" si="5"/>
        <v>-8.8987455568554141E-2</v>
      </c>
      <c r="D25" s="7">
        <f t="shared" si="0"/>
        <v>5543485</v>
      </c>
      <c r="E25" s="10">
        <f t="shared" si="6"/>
        <v>-0.16152566893976228</v>
      </c>
      <c r="F25" s="4">
        <v>7357749</v>
      </c>
      <c r="G25" s="16">
        <f t="shared" si="7"/>
        <v>-2.5467322770193701E-2</v>
      </c>
      <c r="H25" s="9">
        <f t="shared" si="1"/>
        <v>0.57031358395638743</v>
      </c>
      <c r="I25" s="21">
        <f t="shared" si="2"/>
        <v>5557663</v>
      </c>
      <c r="J25" s="16">
        <f t="shared" si="8"/>
        <v>-7.8379474641129931E-2</v>
      </c>
      <c r="K25" s="18">
        <v>986491</v>
      </c>
      <c r="L25" s="20">
        <f t="shared" si="9"/>
        <v>4.7564861635951416E-4</v>
      </c>
      <c r="M25" s="18">
        <v>3031356</v>
      </c>
      <c r="N25" s="20">
        <f t="shared" si="10"/>
        <v>-0.13751799945884258</v>
      </c>
      <c r="O25" s="18">
        <v>550777</v>
      </c>
      <c r="P25" s="20">
        <f t="shared" si="11"/>
        <v>-0.12175687850303363</v>
      </c>
      <c r="Q25" s="18">
        <v>269519</v>
      </c>
      <c r="R25" s="20">
        <f t="shared" si="12"/>
        <v>-0.14041091521445159</v>
      </c>
      <c r="S25" s="18">
        <v>348005</v>
      </c>
      <c r="T25" s="20">
        <f t="shared" si="13"/>
        <v>-0.10051822845991809</v>
      </c>
      <c r="U25" s="18">
        <v>212643</v>
      </c>
      <c r="V25" s="20">
        <f t="shared" si="14"/>
        <v>0.29157910081512162</v>
      </c>
      <c r="W25" s="18">
        <v>158872</v>
      </c>
      <c r="X25" s="20">
        <f t="shared" si="15"/>
        <v>3.2487096515390581</v>
      </c>
      <c r="Y25" s="19">
        <f t="shared" si="3"/>
        <v>1800086</v>
      </c>
      <c r="Z25" s="20">
        <f t="shared" si="16"/>
        <v>0.18449153523825568</v>
      </c>
      <c r="AA25" s="18">
        <v>600999</v>
      </c>
      <c r="AB25" s="17">
        <f t="shared" si="17"/>
        <v>0.44138978026563835</v>
      </c>
      <c r="AC25" s="21">
        <f t="shared" si="4"/>
        <v>1199087</v>
      </c>
      <c r="AD25" s="16">
        <f t="shared" si="18"/>
        <v>8.735674502200852E-2</v>
      </c>
    </row>
    <row r="26" spans="1:30" x14ac:dyDescent="0.25">
      <c r="A26" s="67">
        <v>43466</v>
      </c>
      <c r="B26" s="4">
        <v>6550883</v>
      </c>
      <c r="C26" s="10">
        <f t="shared" si="5"/>
        <v>-0.24411705214000845</v>
      </c>
      <c r="D26" s="7">
        <f t="shared" si="0"/>
        <v>2707538</v>
      </c>
      <c r="E26" s="10">
        <f t="shared" si="6"/>
        <v>-0.27925376726039886</v>
      </c>
      <c r="F26" s="4">
        <v>3843345</v>
      </c>
      <c r="G26" s="16">
        <f t="shared" si="7"/>
        <v>-0.21723417017060243</v>
      </c>
      <c r="H26" s="9">
        <f t="shared" si="1"/>
        <v>0.58669113766800596</v>
      </c>
      <c r="I26" s="21">
        <f t="shared" si="2"/>
        <v>4333388</v>
      </c>
      <c r="J26" s="16">
        <f t="shared" si="8"/>
        <v>-7.9369395820418132E-2</v>
      </c>
      <c r="K26" s="18">
        <v>491760</v>
      </c>
      <c r="L26" s="20">
        <f t="shared" si="9"/>
        <v>-0.44148582760065824</v>
      </c>
      <c r="M26" s="18">
        <v>2447823</v>
      </c>
      <c r="N26" s="20">
        <f t="shared" si="10"/>
        <v>-8.3375086220648487E-2</v>
      </c>
      <c r="O26" s="18">
        <v>512541</v>
      </c>
      <c r="P26" s="20">
        <f t="shared" si="11"/>
        <v>-9.8183667257272456E-2</v>
      </c>
      <c r="Q26" s="18">
        <v>178892</v>
      </c>
      <c r="R26" s="20">
        <f t="shared" si="12"/>
        <v>-0.20111108133937106</v>
      </c>
      <c r="S26" s="18">
        <v>219073</v>
      </c>
      <c r="T26" s="20">
        <f t="shared" si="13"/>
        <v>0.34349511228857743</v>
      </c>
      <c r="U26" s="18">
        <v>354957</v>
      </c>
      <c r="V26" s="20">
        <f t="shared" si="14"/>
        <v>2.3249683855557115</v>
      </c>
      <c r="W26" s="18">
        <v>128342</v>
      </c>
      <c r="X26" s="20">
        <f t="shared" si="15"/>
        <v>0.36622701966169546</v>
      </c>
      <c r="Y26" s="19">
        <f t="shared" si="3"/>
        <v>-490043</v>
      </c>
      <c r="Z26" s="20">
        <f t="shared" si="16"/>
        <v>-3.4142784650477642</v>
      </c>
      <c r="AA26" s="18">
        <v>728277</v>
      </c>
      <c r="AB26" s="17">
        <f t="shared" si="17"/>
        <v>0.50228041115472766</v>
      </c>
      <c r="AC26" s="21">
        <f t="shared" si="4"/>
        <v>-1218320</v>
      </c>
      <c r="AD26" s="16">
        <f t="shared" si="18"/>
        <v>3.3232885267774765</v>
      </c>
    </row>
    <row r="27" spans="1:30" x14ac:dyDescent="0.25">
      <c r="A27" s="67">
        <v>43497</v>
      </c>
      <c r="B27" s="4">
        <v>8363283</v>
      </c>
      <c r="C27" s="10">
        <f t="shared" si="5"/>
        <v>-0.1170221245884705</v>
      </c>
      <c r="D27" s="7">
        <f t="shared" si="0"/>
        <v>3282247</v>
      </c>
      <c r="E27" s="10">
        <f t="shared" si="6"/>
        <v>-0.20515717790522614</v>
      </c>
      <c r="F27" s="4">
        <v>5081036</v>
      </c>
      <c r="G27" s="16">
        <f t="shared" si="7"/>
        <v>-4.8895877205297422E-2</v>
      </c>
      <c r="H27" s="9">
        <f t="shared" si="1"/>
        <v>0.60754084251363971</v>
      </c>
      <c r="I27" s="21">
        <f t="shared" si="2"/>
        <v>4455002</v>
      </c>
      <c r="J27" s="16">
        <f t="shared" si="8"/>
        <v>-0.17714757920805246</v>
      </c>
      <c r="K27" s="18">
        <v>438014</v>
      </c>
      <c r="L27" s="20">
        <f t="shared" si="9"/>
        <v>-0.65170919442434461</v>
      </c>
      <c r="M27" s="18">
        <v>2771850</v>
      </c>
      <c r="N27" s="20">
        <f t="shared" si="10"/>
        <v>-2.7483839639826813E-2</v>
      </c>
      <c r="O27" s="18">
        <v>509265</v>
      </c>
      <c r="P27" s="20">
        <f t="shared" si="11"/>
        <v>-3.3962543321022332E-2</v>
      </c>
      <c r="Q27" s="18">
        <v>240180</v>
      </c>
      <c r="R27" s="20">
        <f t="shared" si="12"/>
        <v>-0.28447582447046205</v>
      </c>
      <c r="S27" s="18">
        <v>258055</v>
      </c>
      <c r="T27" s="20">
        <f t="shared" si="13"/>
        <v>6.2580036811786366E-2</v>
      </c>
      <c r="U27" s="18">
        <v>100583</v>
      </c>
      <c r="V27" s="20">
        <f t="shared" si="14"/>
        <v>-3.9184219324640557E-2</v>
      </c>
      <c r="W27" s="18">
        <v>137055</v>
      </c>
      <c r="X27" s="20">
        <f t="shared" si="15"/>
        <v>0.42883205971580773</v>
      </c>
      <c r="Y27" s="19">
        <f t="shared" si="3"/>
        <v>626034</v>
      </c>
      <c r="Z27" s="20">
        <f t="shared" si="16"/>
        <v>-9.7135539904796371</v>
      </c>
      <c r="AA27" s="18">
        <v>754886</v>
      </c>
      <c r="AB27" s="17">
        <f t="shared" si="17"/>
        <v>1.0806304021873347</v>
      </c>
      <c r="AC27" s="21">
        <f t="shared" si="4"/>
        <v>-128852</v>
      </c>
      <c r="AD27" s="16">
        <f t="shared" si="18"/>
        <v>-0.70355816703553564</v>
      </c>
    </row>
    <row r="28" spans="1:30" x14ac:dyDescent="0.25">
      <c r="A28" s="67">
        <v>43525</v>
      </c>
      <c r="B28" s="4">
        <v>7935684</v>
      </c>
      <c r="C28" s="10">
        <f t="shared" si="5"/>
        <v>-0.28345670781115662</v>
      </c>
      <c r="D28" s="7">
        <f t="shared" si="0"/>
        <v>3493000.6500000004</v>
      </c>
      <c r="E28" s="10">
        <f t="shared" si="6"/>
        <v>-0.13517603361052422</v>
      </c>
      <c r="F28" s="4">
        <v>4442683.3499999996</v>
      </c>
      <c r="G28" s="16">
        <f t="shared" si="7"/>
        <v>-0.36857655670190137</v>
      </c>
      <c r="H28" s="9">
        <f t="shared" si="1"/>
        <v>0.55983622205722905</v>
      </c>
      <c r="I28" s="21">
        <f t="shared" si="2"/>
        <v>4065839</v>
      </c>
      <c r="J28" s="16">
        <f t="shared" si="8"/>
        <v>-0.18941278545622153</v>
      </c>
      <c r="K28" s="18">
        <v>474578</v>
      </c>
      <c r="L28" s="20">
        <f t="shared" si="9"/>
        <v>-0.51231297270634657</v>
      </c>
      <c r="M28" s="18">
        <v>2228772</v>
      </c>
      <c r="N28" s="20">
        <f t="shared" si="10"/>
        <v>-0.17119710123585707</v>
      </c>
      <c r="O28" s="18">
        <v>507652</v>
      </c>
      <c r="P28" s="20">
        <f t="shared" si="11"/>
        <v>-7.9985574143646043E-2</v>
      </c>
      <c r="Q28" s="18">
        <v>265690</v>
      </c>
      <c r="R28" s="20">
        <f t="shared" si="12"/>
        <v>0.19822131624401873</v>
      </c>
      <c r="S28" s="18">
        <v>233029</v>
      </c>
      <c r="T28" s="20">
        <f t="shared" si="13"/>
        <v>-0.26143991784937781</v>
      </c>
      <c r="U28" s="18">
        <v>248905</v>
      </c>
      <c r="V28" s="20">
        <f t="shared" si="14"/>
        <v>0.48604435953312031</v>
      </c>
      <c r="W28" s="18">
        <v>107213</v>
      </c>
      <c r="X28" s="20">
        <f t="shared" si="15"/>
        <v>0.1039798177418525</v>
      </c>
      <c r="Y28" s="19">
        <f t="shared" si="3"/>
        <v>376844.34999999963</v>
      </c>
      <c r="Z28" s="20">
        <f t="shared" si="16"/>
        <v>-0.81344920925733522</v>
      </c>
      <c r="AA28" s="18">
        <v>724218</v>
      </c>
      <c r="AB28" s="17">
        <f t="shared" si="17"/>
        <v>0.38996837046476984</v>
      </c>
      <c r="AC28" s="21">
        <f t="shared" si="4"/>
        <v>-347373.65000000037</v>
      </c>
      <c r="AD28" s="16">
        <f t="shared" si="18"/>
        <v>-1.2317321322907935</v>
      </c>
    </row>
    <row r="29" spans="1:30" x14ac:dyDescent="0.25">
      <c r="A29" s="67">
        <v>43556</v>
      </c>
      <c r="B29" s="4">
        <v>11031285</v>
      </c>
      <c r="C29" s="10">
        <f t="shared" si="5"/>
        <v>-0.15669812155174234</v>
      </c>
      <c r="D29" s="7">
        <f t="shared" si="0"/>
        <v>4464229.42</v>
      </c>
      <c r="E29" s="10">
        <f t="shared" si="6"/>
        <v>-0.13885808883001638</v>
      </c>
      <c r="F29" s="4">
        <v>6567055.5800000001</v>
      </c>
      <c r="G29" s="16">
        <f t="shared" si="7"/>
        <v>-0.16840945313032241</v>
      </c>
      <c r="H29" s="9">
        <f t="shared" si="1"/>
        <v>0.5953119314748917</v>
      </c>
      <c r="I29" s="21">
        <f t="shared" si="2"/>
        <v>2852762</v>
      </c>
      <c r="J29" s="16">
        <f t="shared" si="8"/>
        <v>-0.45139804209876122</v>
      </c>
      <c r="K29" s="18">
        <v>438293</v>
      </c>
      <c r="L29" s="20">
        <f t="shared" si="9"/>
        <v>-0.52278589479345983</v>
      </c>
      <c r="M29" s="18">
        <v>1126314</v>
      </c>
      <c r="N29" s="20">
        <f t="shared" si="10"/>
        <v>-0.59901968777112469</v>
      </c>
      <c r="O29" s="18">
        <v>531897</v>
      </c>
      <c r="P29" s="20">
        <f t="shared" si="11"/>
        <v>-0.18601604715899789</v>
      </c>
      <c r="Q29" s="18">
        <v>255437</v>
      </c>
      <c r="R29" s="20">
        <f t="shared" si="12"/>
        <v>-0.12314674008190563</v>
      </c>
      <c r="S29" s="18">
        <v>343077</v>
      </c>
      <c r="T29" s="20">
        <f t="shared" si="13"/>
        <v>5.2293054584268805E-2</v>
      </c>
      <c r="U29" s="18">
        <v>94387</v>
      </c>
      <c r="V29" s="20">
        <f t="shared" si="14"/>
        <v>-0.14800104709206285</v>
      </c>
      <c r="W29" s="18">
        <v>63357</v>
      </c>
      <c r="X29" s="20">
        <f t="shared" si="15"/>
        <v>-0.30487684458829334</v>
      </c>
      <c r="Y29" s="19">
        <f t="shared" si="3"/>
        <v>3714293.58</v>
      </c>
      <c r="Z29" s="20">
        <f t="shared" si="16"/>
        <v>0.37723331469481525</v>
      </c>
      <c r="AA29" s="18">
        <v>587589</v>
      </c>
      <c r="AB29" s="17">
        <f t="shared" si="17"/>
        <v>-0.29815649157676472</v>
      </c>
      <c r="AC29" s="21">
        <f t="shared" si="4"/>
        <v>3126704.58</v>
      </c>
      <c r="AD29" s="16">
        <f t="shared" si="18"/>
        <v>0.6812806794155668</v>
      </c>
    </row>
    <row r="30" spans="1:30" x14ac:dyDescent="0.25">
      <c r="A30" s="67">
        <v>43586</v>
      </c>
      <c r="B30" s="4">
        <v>12192533</v>
      </c>
      <c r="C30" s="10">
        <f t="shared" si="5"/>
        <v>-0.1135354285322091</v>
      </c>
      <c r="D30" s="7">
        <f t="shared" si="0"/>
        <v>4655800.57</v>
      </c>
      <c r="E30" s="10">
        <f t="shared" si="6"/>
        <v>-0.2551323324651904</v>
      </c>
      <c r="F30" s="4">
        <v>7536732.4299999997</v>
      </c>
      <c r="G30" s="16">
        <f t="shared" si="7"/>
        <v>4.4148685864993098E-3</v>
      </c>
      <c r="H30" s="9">
        <f t="shared" si="1"/>
        <v>0.61814328737104918</v>
      </c>
      <c r="I30" s="21">
        <f t="shared" si="2"/>
        <v>5026397.63</v>
      </c>
      <c r="J30" s="16">
        <f t="shared" si="8"/>
        <v>-0.13218782382838223</v>
      </c>
      <c r="K30" s="18">
        <v>494429.63</v>
      </c>
      <c r="L30" s="20">
        <f t="shared" si="9"/>
        <v>-0.46682738169054327</v>
      </c>
      <c r="M30" s="18">
        <v>3161900</v>
      </c>
      <c r="N30" s="20">
        <f t="shared" si="10"/>
        <v>2.0866104107098105E-2</v>
      </c>
      <c r="O30" s="18">
        <v>499402</v>
      </c>
      <c r="P30" s="20">
        <f t="shared" si="11"/>
        <v>-0.31288790926964705</v>
      </c>
      <c r="Q30" s="18">
        <v>254745</v>
      </c>
      <c r="R30" s="20">
        <f t="shared" si="12"/>
        <v>4.1935932464047809E-2</v>
      </c>
      <c r="S30" s="18">
        <v>435398</v>
      </c>
      <c r="T30" s="20">
        <f t="shared" si="13"/>
        <v>0.20792227536537466</v>
      </c>
      <c r="U30" s="18">
        <v>120956</v>
      </c>
      <c r="V30" s="20">
        <f t="shared" si="14"/>
        <v>-0.64684173338238471</v>
      </c>
      <c r="W30" s="18">
        <v>59567</v>
      </c>
      <c r="X30" s="20">
        <f t="shared" si="15"/>
        <v>-0.36067702743313446</v>
      </c>
      <c r="Y30" s="19">
        <f t="shared" si="3"/>
        <v>2510334.7999999998</v>
      </c>
      <c r="Z30" s="20">
        <f t="shared" si="16"/>
        <v>0.46668458392903345</v>
      </c>
      <c r="AA30" s="18">
        <v>587392</v>
      </c>
      <c r="AB30" s="17">
        <f t="shared" si="17"/>
        <v>0.28301952732514968</v>
      </c>
      <c r="AC30" s="21">
        <f t="shared" si="4"/>
        <v>1922942.7999999998</v>
      </c>
      <c r="AD30" s="16">
        <f t="shared" si="18"/>
        <v>0.53375175772541739</v>
      </c>
    </row>
    <row r="31" spans="1:30" x14ac:dyDescent="0.25">
      <c r="A31" s="67">
        <v>43617</v>
      </c>
      <c r="B31" s="4">
        <v>10036330</v>
      </c>
      <c r="C31" s="10">
        <f t="shared" si="5"/>
        <v>-0.19806509602007749</v>
      </c>
      <c r="D31" s="7">
        <f t="shared" si="0"/>
        <v>3822094.3499999996</v>
      </c>
      <c r="E31" s="10">
        <f t="shared" si="6"/>
        <v>-0.30864479274236045</v>
      </c>
      <c r="F31" s="4">
        <v>6214235.6500000004</v>
      </c>
      <c r="G31" s="16">
        <f t="shared" si="7"/>
        <v>-0.11056644635390434</v>
      </c>
      <c r="H31" s="9">
        <f t="shared" si="1"/>
        <v>0.61917410547481</v>
      </c>
      <c r="I31" s="21">
        <f t="shared" si="2"/>
        <v>5378859.3200000003</v>
      </c>
      <c r="J31" s="16">
        <f t="shared" si="8"/>
        <v>-2.2229310038308303E-2</v>
      </c>
      <c r="K31" s="18">
        <v>516097.32</v>
      </c>
      <c r="L31" s="20">
        <f t="shared" si="9"/>
        <v>-0.45047624929192953</v>
      </c>
      <c r="M31" s="18">
        <v>3367016</v>
      </c>
      <c r="N31" s="20">
        <f t="shared" si="10"/>
        <v>6.3194570312919307E-2</v>
      </c>
      <c r="O31" s="18">
        <v>516319</v>
      </c>
      <c r="P31" s="20">
        <f t="shared" si="11"/>
        <v>-0.13681403649555712</v>
      </c>
      <c r="Q31" s="18">
        <v>229055</v>
      </c>
      <c r="R31" s="20">
        <f t="shared" si="12"/>
        <v>9.0992660192140029E-2</v>
      </c>
      <c r="S31" s="18">
        <v>547735</v>
      </c>
      <c r="T31" s="20">
        <f t="shared" si="13"/>
        <v>0.26927426344158278</v>
      </c>
      <c r="U31" s="18">
        <v>152369</v>
      </c>
      <c r="V31" s="20">
        <f t="shared" si="14"/>
        <v>1.4531725459258427</v>
      </c>
      <c r="W31" s="18">
        <v>50268</v>
      </c>
      <c r="X31" s="20">
        <f t="shared" si="15"/>
        <v>-0.4614354436075726</v>
      </c>
      <c r="Y31" s="19">
        <f t="shared" si="3"/>
        <v>835376.33000000007</v>
      </c>
      <c r="Z31" s="20">
        <f t="shared" si="16"/>
        <v>-0.4376796729645096</v>
      </c>
      <c r="AA31" s="18">
        <v>589450</v>
      </c>
      <c r="AB31" s="17">
        <f t="shared" si="17"/>
        <v>2.968344800657071</v>
      </c>
      <c r="AC31" s="21">
        <f t="shared" si="4"/>
        <v>245926.33000000007</v>
      </c>
      <c r="AD31" s="16">
        <f t="shared" si="18"/>
        <v>-0.81606796305298968</v>
      </c>
    </row>
    <row r="32" spans="1:30" x14ac:dyDescent="0.25">
      <c r="A32" s="67">
        <v>43647</v>
      </c>
      <c r="B32" s="4">
        <v>13989437</v>
      </c>
      <c r="C32" s="10">
        <f t="shared" si="5"/>
        <v>3.9618978614608391E-3</v>
      </c>
      <c r="D32" s="7">
        <f t="shared" si="0"/>
        <v>5293727.68</v>
      </c>
      <c r="E32" s="10">
        <f t="shared" si="6"/>
        <v>-1.4370252782164084E-2</v>
      </c>
      <c r="F32" s="4">
        <v>8695709.3200000003</v>
      </c>
      <c r="G32" s="16">
        <f t="shared" si="7"/>
        <v>1.5459808705079681E-2</v>
      </c>
      <c r="H32" s="9">
        <f t="shared" si="1"/>
        <v>0.62159108475916514</v>
      </c>
      <c r="I32" s="21">
        <f t="shared" si="2"/>
        <v>5718625</v>
      </c>
      <c r="J32" s="16">
        <f t="shared" si="8"/>
        <v>-4.3373854741874718E-2</v>
      </c>
      <c r="K32" s="18">
        <v>391802</v>
      </c>
      <c r="L32" s="20">
        <f t="shared" si="9"/>
        <v>-0.56466444444444441</v>
      </c>
      <c r="M32" s="18">
        <v>3448755</v>
      </c>
      <c r="N32" s="20">
        <f t="shared" si="10"/>
        <v>7.7735937499999963E-2</v>
      </c>
      <c r="O32" s="18">
        <v>516997</v>
      </c>
      <c r="P32" s="20">
        <f t="shared" si="11"/>
        <v>-2.7497343001984476E-2</v>
      </c>
      <c r="Q32" s="18">
        <v>257687</v>
      </c>
      <c r="R32" s="20">
        <f t="shared" si="12"/>
        <v>-0.16222507599525338</v>
      </c>
      <c r="S32" s="18">
        <v>465758</v>
      </c>
      <c r="T32" s="20">
        <f t="shared" si="13"/>
        <v>0.21725108524923487</v>
      </c>
      <c r="U32" s="18">
        <v>198949</v>
      </c>
      <c r="V32" s="20">
        <f t="shared" si="14"/>
        <v>-0.50633002481389577</v>
      </c>
      <c r="W32" s="18">
        <v>438677</v>
      </c>
      <c r="X32" s="20">
        <f t="shared" si="15"/>
        <v>0.73335993899138208</v>
      </c>
      <c r="Y32" s="19">
        <f t="shared" si="3"/>
        <v>2977084.3200000003</v>
      </c>
      <c r="Z32" s="20">
        <f t="shared" si="16"/>
        <v>0.15149319334790756</v>
      </c>
      <c r="AA32" s="18">
        <v>830298</v>
      </c>
      <c r="AB32" s="17">
        <f t="shared" si="17"/>
        <v>0.36217594309132495</v>
      </c>
      <c r="AC32" s="21">
        <f t="shared" si="4"/>
        <v>2146786.3200000003</v>
      </c>
      <c r="AD32" s="16">
        <f t="shared" si="18"/>
        <v>8.6499604731880897E-2</v>
      </c>
    </row>
    <row r="33" spans="1:30" x14ac:dyDescent="0.25">
      <c r="A33" s="67">
        <v>43678</v>
      </c>
      <c r="B33" s="4">
        <v>11808377</v>
      </c>
      <c r="C33" s="10">
        <f t="shared" si="5"/>
        <v>-8.5822628465574202E-2</v>
      </c>
      <c r="D33" s="7">
        <f t="shared" si="0"/>
        <v>4807554.03</v>
      </c>
      <c r="E33" s="10">
        <f t="shared" si="6"/>
        <v>-0.22416873539230631</v>
      </c>
      <c r="F33" s="4">
        <v>7000822.9699999997</v>
      </c>
      <c r="G33" s="16">
        <f t="shared" si="7"/>
        <v>4.1743556159894224E-2</v>
      </c>
      <c r="H33" s="9">
        <f t="shared" si="1"/>
        <v>0.5928691953178663</v>
      </c>
      <c r="I33" s="21">
        <f t="shared" si="2"/>
        <v>5853930</v>
      </c>
      <c r="J33" s="16">
        <f t="shared" si="8"/>
        <v>-2.6822385813181526E-2</v>
      </c>
      <c r="K33" s="18">
        <v>560171</v>
      </c>
      <c r="L33" s="20">
        <f t="shared" si="9"/>
        <v>-0.48199846866307627</v>
      </c>
      <c r="M33" s="18">
        <v>3745196</v>
      </c>
      <c r="N33" s="20">
        <f t="shared" si="10"/>
        <v>0.14958388469033923</v>
      </c>
      <c r="O33" s="18">
        <v>517816</v>
      </c>
      <c r="P33" s="20">
        <f t="shared" si="11"/>
        <v>-1.1882612686363481E-2</v>
      </c>
      <c r="Q33" s="18">
        <v>305278</v>
      </c>
      <c r="R33" s="20">
        <f t="shared" si="12"/>
        <v>0.21843631385477491</v>
      </c>
      <c r="S33" s="18">
        <v>429922</v>
      </c>
      <c r="T33" s="20">
        <f t="shared" si="13"/>
        <v>0.14809355188455031</v>
      </c>
      <c r="U33" s="18">
        <v>185692</v>
      </c>
      <c r="V33" s="20">
        <f t="shared" si="14"/>
        <v>-0.45956297512194555</v>
      </c>
      <c r="W33" s="18">
        <v>109855</v>
      </c>
      <c r="X33" s="20">
        <f t="shared" si="15"/>
        <v>-0.40081596587779056</v>
      </c>
      <c r="Y33" s="19">
        <f t="shared" si="3"/>
        <v>1146892.9699999997</v>
      </c>
      <c r="Z33" s="20">
        <f t="shared" si="16"/>
        <v>0.62675239000312022</v>
      </c>
      <c r="AA33" s="18">
        <v>408628</v>
      </c>
      <c r="AB33" s="17">
        <f t="shared" si="17"/>
        <v>0.30105643892840539</v>
      </c>
      <c r="AC33" s="21">
        <f t="shared" si="4"/>
        <v>738264.96999999974</v>
      </c>
      <c r="AD33" s="16">
        <f t="shared" si="18"/>
        <v>0.88840650626940731</v>
      </c>
    </row>
    <row r="34" spans="1:30" x14ac:dyDescent="0.25">
      <c r="A34" s="67">
        <v>43709</v>
      </c>
      <c r="B34" s="4">
        <v>13561815</v>
      </c>
      <c r="C34" s="10">
        <f t="shared" si="5"/>
        <v>-0.10025189575305404</v>
      </c>
      <c r="D34" s="7">
        <f t="shared" ref="D34:D65" si="19">B34-F34</f>
        <v>6528658</v>
      </c>
      <c r="E34" s="10">
        <f t="shared" si="6"/>
        <v>-2.943555502499684E-2</v>
      </c>
      <c r="F34" s="4">
        <v>7033157</v>
      </c>
      <c r="G34" s="16">
        <f t="shared" si="7"/>
        <v>-0.15732639400180271</v>
      </c>
      <c r="H34" s="9">
        <f t="shared" ref="H34:H65" si="20">F34/B34</f>
        <v>0.51859998090226123</v>
      </c>
      <c r="I34" s="21">
        <f t="shared" ref="I34:I65" si="21">K34+M34+O34+Q34+S34+U34+W34</f>
        <v>5713072</v>
      </c>
      <c r="J34" s="16">
        <f t="shared" si="8"/>
        <v>-1.4512003292623477E-2</v>
      </c>
      <c r="K34" s="18">
        <v>706233</v>
      </c>
      <c r="L34" s="20">
        <f t="shared" si="9"/>
        <v>-0.3749890482170497</v>
      </c>
      <c r="M34" s="18">
        <v>3593776</v>
      </c>
      <c r="N34" s="20">
        <f t="shared" si="10"/>
        <v>8.9675184390658025E-2</v>
      </c>
      <c r="O34" s="18">
        <v>523843</v>
      </c>
      <c r="P34" s="20">
        <f t="shared" si="11"/>
        <v>4.6372920362467429E-3</v>
      </c>
      <c r="Q34" s="18">
        <v>284070</v>
      </c>
      <c r="R34" s="20">
        <f t="shared" si="12"/>
        <v>0.21920547992240214</v>
      </c>
      <c r="S34" s="18">
        <v>292137</v>
      </c>
      <c r="T34" s="20">
        <f t="shared" si="13"/>
        <v>-0.13374154904519042</v>
      </c>
      <c r="U34" s="18">
        <v>194731</v>
      </c>
      <c r="V34" s="20">
        <f t="shared" si="14"/>
        <v>0.23167954864581097</v>
      </c>
      <c r="W34" s="18">
        <v>118282</v>
      </c>
      <c r="X34" s="20">
        <f t="shared" si="15"/>
        <v>-9.8610413527540075E-3</v>
      </c>
      <c r="Y34" s="19">
        <f t="shared" ref="Y34:Y65" si="22">F34-I34</f>
        <v>1320085</v>
      </c>
      <c r="Z34" s="20">
        <f t="shared" si="16"/>
        <v>-0.48212464300285596</v>
      </c>
      <c r="AA34" s="18">
        <v>408628</v>
      </c>
      <c r="AB34" s="17">
        <f t="shared" si="17"/>
        <v>-0.50305250305250304</v>
      </c>
      <c r="AC34" s="21">
        <f t="shared" ref="AC34:AC65" si="23">Y34-AA34</f>
        <v>911457</v>
      </c>
      <c r="AD34" s="16">
        <f t="shared" si="18"/>
        <v>-0.47215890532811666</v>
      </c>
    </row>
    <row r="35" spans="1:30" x14ac:dyDescent="0.25">
      <c r="A35" s="67">
        <v>43739</v>
      </c>
      <c r="B35" s="4">
        <v>9864028</v>
      </c>
      <c r="C35" s="10">
        <f t="shared" si="5"/>
        <v>-0.32394447669893933</v>
      </c>
      <c r="D35" s="7">
        <f t="shared" si="19"/>
        <v>4192589.75</v>
      </c>
      <c r="E35" s="10">
        <f t="shared" si="6"/>
        <v>-0.26930475552602051</v>
      </c>
      <c r="F35" s="4">
        <v>5671438.25</v>
      </c>
      <c r="G35" s="16">
        <f t="shared" si="7"/>
        <v>-0.35935858913896812</v>
      </c>
      <c r="H35" s="9">
        <f t="shared" si="20"/>
        <v>0.57496169414766463</v>
      </c>
      <c r="I35" s="21">
        <f t="shared" si="21"/>
        <v>5866469</v>
      </c>
      <c r="J35" s="16">
        <f t="shared" si="8"/>
        <v>3.1140902323547603E-3</v>
      </c>
      <c r="K35" s="18">
        <v>643857</v>
      </c>
      <c r="L35" s="20">
        <f t="shared" si="9"/>
        <v>-0.31918135580674833</v>
      </c>
      <c r="M35" s="18">
        <v>3818433</v>
      </c>
      <c r="N35" s="20">
        <f t="shared" si="10"/>
        <v>0.14654918222299629</v>
      </c>
      <c r="O35" s="18">
        <v>510684</v>
      </c>
      <c r="P35" s="20">
        <f t="shared" si="11"/>
        <v>-0.16418193810464499</v>
      </c>
      <c r="Q35" s="18">
        <v>291915</v>
      </c>
      <c r="R35" s="20">
        <f t="shared" si="12"/>
        <v>0.2548251760275797</v>
      </c>
      <c r="S35" s="18">
        <v>394386</v>
      </c>
      <c r="T35" s="20">
        <f t="shared" si="13"/>
        <v>-8.3296530628373278E-2</v>
      </c>
      <c r="U35" s="18">
        <v>58241</v>
      </c>
      <c r="V35" s="20">
        <f t="shared" si="14"/>
        <v>-0.71353879751318172</v>
      </c>
      <c r="W35" s="18">
        <v>148953</v>
      </c>
      <c r="X35" s="20">
        <f t="shared" si="15"/>
        <v>0.5677612882854437</v>
      </c>
      <c r="Y35" s="19">
        <f t="shared" si="22"/>
        <v>-195030.75</v>
      </c>
      <c r="Z35" s="20">
        <f t="shared" si="16"/>
        <v>-1.0649130319158673</v>
      </c>
      <c r="AA35" s="18">
        <v>541856</v>
      </c>
      <c r="AB35" s="17">
        <f t="shared" si="17"/>
        <v>-0.27272824886283253</v>
      </c>
      <c r="AC35" s="21">
        <f t="shared" si="23"/>
        <v>-736886.75</v>
      </c>
      <c r="AD35" s="16">
        <f t="shared" si="18"/>
        <v>-1.3261368967531777</v>
      </c>
    </row>
    <row r="36" spans="1:30" x14ac:dyDescent="0.25">
      <c r="A36" s="67">
        <v>43770</v>
      </c>
      <c r="B36" s="4">
        <v>10806325</v>
      </c>
      <c r="C36" s="10">
        <f t="shared" si="5"/>
        <v>-0.11349026090954184</v>
      </c>
      <c r="D36" s="7">
        <f t="shared" si="19"/>
        <v>4562052.2699999996</v>
      </c>
      <c r="E36" s="10">
        <f t="shared" si="6"/>
        <v>-0.13847907039897489</v>
      </c>
      <c r="F36" s="4">
        <v>6244272.7300000004</v>
      </c>
      <c r="G36" s="16">
        <f t="shared" si="7"/>
        <v>-9.429721824757642E-2</v>
      </c>
      <c r="H36" s="9">
        <f t="shared" si="20"/>
        <v>0.57783499293237994</v>
      </c>
      <c r="I36" s="21">
        <f t="shared" si="21"/>
        <v>5600507</v>
      </c>
      <c r="J36" s="16">
        <f t="shared" si="8"/>
        <v>1.9774737586550017E-2</v>
      </c>
      <c r="K36" s="18">
        <v>655275</v>
      </c>
      <c r="L36" s="20">
        <f t="shared" si="9"/>
        <v>-3.8152442434464029E-2</v>
      </c>
      <c r="M36" s="18">
        <v>3602012</v>
      </c>
      <c r="N36" s="20">
        <f t="shared" si="10"/>
        <v>8.5455041307122226E-2</v>
      </c>
      <c r="O36" s="18">
        <v>499658</v>
      </c>
      <c r="P36" s="20">
        <f t="shared" si="11"/>
        <v>-0.10610305456861424</v>
      </c>
      <c r="Q36" s="18">
        <v>213261</v>
      </c>
      <c r="R36" s="20">
        <f t="shared" si="12"/>
        <v>-0.12258491870186294</v>
      </c>
      <c r="S36" s="18">
        <v>427588</v>
      </c>
      <c r="T36" s="20">
        <f t="shared" si="13"/>
        <v>0.34308321004639364</v>
      </c>
      <c r="U36" s="18">
        <v>103697</v>
      </c>
      <c r="V36" s="20">
        <f t="shared" si="14"/>
        <v>-0.63001430747877962</v>
      </c>
      <c r="W36" s="18">
        <v>99016</v>
      </c>
      <c r="X36" s="20">
        <f t="shared" si="15"/>
        <v>8.1598322154982306E-2</v>
      </c>
      <c r="Y36" s="19">
        <f t="shared" si="22"/>
        <v>643765.73000000045</v>
      </c>
      <c r="Z36" s="20">
        <f t="shared" si="16"/>
        <v>-0.54098340165234782</v>
      </c>
      <c r="AA36" s="18">
        <v>544676</v>
      </c>
      <c r="AB36" s="17">
        <f t="shared" si="17"/>
        <v>-0.28824155117124506</v>
      </c>
      <c r="AC36" s="21">
        <f t="shared" si="23"/>
        <v>99089.730000000447</v>
      </c>
      <c r="AD36" s="16">
        <f t="shared" si="18"/>
        <v>-0.84450049039993025</v>
      </c>
    </row>
    <row r="37" spans="1:30" x14ac:dyDescent="0.25">
      <c r="A37" s="67">
        <v>43800</v>
      </c>
      <c r="B37" s="4">
        <v>11999947</v>
      </c>
      <c r="C37" s="10">
        <f t="shared" si="5"/>
        <v>-6.9860526520176269E-2</v>
      </c>
      <c r="D37" s="7">
        <f t="shared" si="19"/>
        <v>6019756</v>
      </c>
      <c r="E37" s="10">
        <f t="shared" si="6"/>
        <v>8.5915448494944924E-2</v>
      </c>
      <c r="F37" s="4">
        <v>5980191</v>
      </c>
      <c r="G37" s="16">
        <f t="shared" si="7"/>
        <v>-0.18722546800658735</v>
      </c>
      <c r="H37" s="9">
        <f t="shared" si="20"/>
        <v>0.49835145105224216</v>
      </c>
      <c r="I37" s="21">
        <f t="shared" si="21"/>
        <v>6123695</v>
      </c>
      <c r="J37" s="16">
        <f t="shared" si="8"/>
        <v>0.10184712531148432</v>
      </c>
      <c r="K37" s="18">
        <v>684106</v>
      </c>
      <c r="L37" s="20">
        <f t="shared" si="9"/>
        <v>-0.30652585781319852</v>
      </c>
      <c r="M37" s="18">
        <v>3903499</v>
      </c>
      <c r="N37" s="20">
        <f t="shared" si="10"/>
        <v>0.28770721749606443</v>
      </c>
      <c r="O37" s="18">
        <v>510920</v>
      </c>
      <c r="P37" s="20">
        <f t="shared" si="11"/>
        <v>-7.2365040660739233E-2</v>
      </c>
      <c r="Q37" s="18">
        <v>299480</v>
      </c>
      <c r="R37" s="20">
        <f t="shared" si="12"/>
        <v>0.1111647045291797</v>
      </c>
      <c r="S37" s="18">
        <v>399797</v>
      </c>
      <c r="T37" s="20">
        <f t="shared" si="13"/>
        <v>0.14882544791023111</v>
      </c>
      <c r="U37" s="18">
        <v>175170</v>
      </c>
      <c r="V37" s="20">
        <f t="shared" si="14"/>
        <v>-0.17622494039305314</v>
      </c>
      <c r="W37" s="18">
        <v>150723</v>
      </c>
      <c r="X37" s="20">
        <f t="shared" si="15"/>
        <v>-5.129286469610761E-2</v>
      </c>
      <c r="Y37" s="19">
        <f t="shared" si="22"/>
        <v>-143504</v>
      </c>
      <c r="Z37" s="20">
        <f t="shared" si="16"/>
        <v>-1.0797206355696338</v>
      </c>
      <c r="AA37" s="18">
        <v>557927</v>
      </c>
      <c r="AB37" s="17">
        <f t="shared" si="17"/>
        <v>-7.1667340544659841E-2</v>
      </c>
      <c r="AC37" s="21">
        <f t="shared" si="23"/>
        <v>-701431</v>
      </c>
      <c r="AD37" s="16">
        <f t="shared" si="18"/>
        <v>-1.5849708986920881</v>
      </c>
    </row>
    <row r="38" spans="1:30" x14ac:dyDescent="0.25">
      <c r="A38" s="67">
        <v>43831</v>
      </c>
      <c r="B38" s="4">
        <v>5978967</v>
      </c>
      <c r="C38" s="10">
        <f t="shared" si="5"/>
        <v>-8.73036505155107E-2</v>
      </c>
      <c r="D38" s="7">
        <f t="shared" si="19"/>
        <v>2537994.11</v>
      </c>
      <c r="E38" s="10">
        <f t="shared" si="6"/>
        <v>-6.2619209776557216E-2</v>
      </c>
      <c r="F38" s="4">
        <v>3440972.89</v>
      </c>
      <c r="G38" s="16">
        <f t="shared" si="7"/>
        <v>-0.10469320604837706</v>
      </c>
      <c r="H38" s="9">
        <f t="shared" si="20"/>
        <v>0.5755129422858497</v>
      </c>
      <c r="I38" s="21">
        <f t="shared" si="21"/>
        <v>4783739</v>
      </c>
      <c r="J38" s="16">
        <f t="shared" si="8"/>
        <v>0.1039258427816756</v>
      </c>
      <c r="K38" s="18">
        <v>449153</v>
      </c>
      <c r="L38" s="20">
        <f t="shared" si="9"/>
        <v>-8.6641857816821211E-2</v>
      </c>
      <c r="M38" s="18">
        <v>3186171</v>
      </c>
      <c r="N38" s="20">
        <f t="shared" si="10"/>
        <v>0.30163455445920717</v>
      </c>
      <c r="O38" s="18">
        <v>493935</v>
      </c>
      <c r="P38" s="20">
        <f t="shared" si="11"/>
        <v>-3.6301486125012383E-2</v>
      </c>
      <c r="Q38" s="18">
        <v>224351</v>
      </c>
      <c r="R38" s="20">
        <f t="shared" si="12"/>
        <v>0.25411421416273505</v>
      </c>
      <c r="S38" s="18">
        <v>248481</v>
      </c>
      <c r="T38" s="20">
        <f t="shared" si="13"/>
        <v>0.13423835890319658</v>
      </c>
      <c r="U38" s="18">
        <v>37708</v>
      </c>
      <c r="V38" s="20">
        <f t="shared" si="14"/>
        <v>-0.89376741408114224</v>
      </c>
      <c r="W38" s="18">
        <v>143940</v>
      </c>
      <c r="X38" s="20">
        <f t="shared" si="15"/>
        <v>0.12153464960807847</v>
      </c>
      <c r="Y38" s="19">
        <f t="shared" si="22"/>
        <v>-1342766.1099999999</v>
      </c>
      <c r="Z38" s="20">
        <f t="shared" si="16"/>
        <v>1.7400985423728117</v>
      </c>
      <c r="AA38" s="18">
        <v>307562</v>
      </c>
      <c r="AB38" s="17">
        <f t="shared" si="17"/>
        <v>-0.57768541365441994</v>
      </c>
      <c r="AC38" s="21">
        <f t="shared" si="23"/>
        <v>-1650328.1099999999</v>
      </c>
      <c r="AD38" s="16">
        <f t="shared" si="18"/>
        <v>0.35459330061067695</v>
      </c>
    </row>
    <row r="39" spans="1:30" x14ac:dyDescent="0.25">
      <c r="A39" s="67">
        <v>43862</v>
      </c>
      <c r="B39" s="4">
        <v>7583876</v>
      </c>
      <c r="C39" s="10">
        <f t="shared" si="5"/>
        <v>-9.3193904833783536E-2</v>
      </c>
      <c r="D39" s="7">
        <f t="shared" si="19"/>
        <v>3369768.9299999997</v>
      </c>
      <c r="E39" s="10">
        <f t="shared" si="6"/>
        <v>2.6665247923145285E-2</v>
      </c>
      <c r="F39" s="4">
        <v>4214107.07</v>
      </c>
      <c r="G39" s="16">
        <f t="shared" si="7"/>
        <v>-0.17062050534576012</v>
      </c>
      <c r="H39" s="9">
        <f t="shared" si="20"/>
        <v>0.55566666306252899</v>
      </c>
      <c r="I39" s="21">
        <f t="shared" si="21"/>
        <v>4714552</v>
      </c>
      <c r="J39" s="16">
        <f t="shared" si="8"/>
        <v>5.8260355438673139E-2</v>
      </c>
      <c r="K39" s="18">
        <v>532390</v>
      </c>
      <c r="L39" s="20">
        <f t="shared" si="9"/>
        <v>0.21546343267566792</v>
      </c>
      <c r="M39" s="18">
        <v>2910160</v>
      </c>
      <c r="N39" s="20">
        <f t="shared" si="10"/>
        <v>4.989808250807215E-2</v>
      </c>
      <c r="O39" s="18">
        <v>484945</v>
      </c>
      <c r="P39" s="20">
        <f t="shared" si="11"/>
        <v>-4.7755098033440357E-2</v>
      </c>
      <c r="Q39" s="18">
        <v>228241</v>
      </c>
      <c r="R39" s="20">
        <f t="shared" si="12"/>
        <v>-4.9708551919393829E-2</v>
      </c>
      <c r="S39" s="18">
        <v>309666</v>
      </c>
      <c r="T39" s="20">
        <f t="shared" si="13"/>
        <v>0.19999999999999996</v>
      </c>
      <c r="U39" s="18">
        <v>150661</v>
      </c>
      <c r="V39" s="20">
        <f t="shared" si="14"/>
        <v>0.49787737490430795</v>
      </c>
      <c r="W39" s="18">
        <v>98489</v>
      </c>
      <c r="X39" s="20">
        <f t="shared" si="15"/>
        <v>-0.28139068257268984</v>
      </c>
      <c r="Y39" s="19">
        <f t="shared" si="22"/>
        <v>-500444.9299999997</v>
      </c>
      <c r="Z39" s="20">
        <f t="shared" si="16"/>
        <v>-1.7993893782126844</v>
      </c>
      <c r="AA39" s="18">
        <v>321769</v>
      </c>
      <c r="AB39" s="17">
        <f t="shared" si="17"/>
        <v>-0.57375153334410767</v>
      </c>
      <c r="AC39" s="21">
        <f t="shared" si="23"/>
        <v>-822213.9299999997</v>
      </c>
      <c r="AD39" s="16">
        <f t="shared" si="18"/>
        <v>5.3810723155247855</v>
      </c>
    </row>
    <row r="40" spans="1:30" x14ac:dyDescent="0.25">
      <c r="A40" s="67">
        <v>43891</v>
      </c>
      <c r="B40" s="4">
        <v>12524631</v>
      </c>
      <c r="C40" s="10">
        <f t="shared" si="5"/>
        <v>0.5782673554037685</v>
      </c>
      <c r="D40" s="7">
        <f t="shared" si="19"/>
        <v>6179149.96</v>
      </c>
      <c r="E40" s="10">
        <f t="shared" si="6"/>
        <v>0.76900910682624679</v>
      </c>
      <c r="F40" s="4">
        <v>6345481.04</v>
      </c>
      <c r="G40" s="16">
        <f t="shared" si="7"/>
        <v>0.42829919219878687</v>
      </c>
      <c r="H40" s="9">
        <f t="shared" si="20"/>
        <v>0.50664015889969138</v>
      </c>
      <c r="I40" s="21">
        <f t="shared" si="21"/>
        <v>4295637</v>
      </c>
      <c r="J40" s="16">
        <f t="shared" si="8"/>
        <v>5.6519207966670537E-2</v>
      </c>
      <c r="K40" s="18">
        <v>381400</v>
      </c>
      <c r="L40" s="20">
        <f t="shared" si="9"/>
        <v>-0.196338641909233</v>
      </c>
      <c r="M40" s="18">
        <v>2862134</v>
      </c>
      <c r="N40" s="20">
        <f t="shared" si="10"/>
        <v>0.28417532165694825</v>
      </c>
      <c r="O40" s="18">
        <v>396413</v>
      </c>
      <c r="P40" s="20">
        <f t="shared" si="11"/>
        <v>-0.21912451837085245</v>
      </c>
      <c r="Q40" s="18">
        <v>224103</v>
      </c>
      <c r="R40" s="20">
        <f t="shared" si="12"/>
        <v>-0.15652452105837633</v>
      </c>
      <c r="S40" s="18">
        <v>299601</v>
      </c>
      <c r="T40" s="20">
        <f t="shared" si="13"/>
        <v>0.28568118131219711</v>
      </c>
      <c r="U40" s="18">
        <v>31544</v>
      </c>
      <c r="V40" s="20">
        <f t="shared" si="14"/>
        <v>-0.87326891786022776</v>
      </c>
      <c r="W40" s="18">
        <v>100442</v>
      </c>
      <c r="X40" s="20">
        <f t="shared" si="15"/>
        <v>-6.3154654752688555E-2</v>
      </c>
      <c r="Y40" s="19">
        <f t="shared" si="22"/>
        <v>2049844.04</v>
      </c>
      <c r="Z40" s="20">
        <f t="shared" si="16"/>
        <v>4.4394978722647744</v>
      </c>
      <c r="AA40" s="18">
        <v>330504</v>
      </c>
      <c r="AB40" s="17">
        <f t="shared" si="17"/>
        <v>-0.54364017464354664</v>
      </c>
      <c r="AC40" s="21">
        <f t="shared" si="23"/>
        <v>1719340.04</v>
      </c>
      <c r="AD40" s="16">
        <f t="shared" si="18"/>
        <v>-5.9495407610795992</v>
      </c>
    </row>
    <row r="41" spans="1:30" x14ac:dyDescent="0.25">
      <c r="A41" s="67">
        <v>43922</v>
      </c>
      <c r="B41" s="4">
        <v>11577352.359999999</v>
      </c>
      <c r="C41" s="10">
        <f t="shared" si="5"/>
        <v>4.9501699937949173E-2</v>
      </c>
      <c r="D41" s="7">
        <f t="shared" si="19"/>
        <v>4832467.2699999996</v>
      </c>
      <c r="E41" s="10">
        <f t="shared" si="6"/>
        <v>8.2486318545877957E-2</v>
      </c>
      <c r="F41" s="4">
        <v>6744885.0899999999</v>
      </c>
      <c r="G41" s="16">
        <f t="shared" si="7"/>
        <v>2.7079032274613279E-2</v>
      </c>
      <c r="H41" s="9">
        <f t="shared" si="20"/>
        <v>0.58259305584441934</v>
      </c>
      <c r="I41" s="21">
        <f t="shared" si="21"/>
        <v>4179731.69</v>
      </c>
      <c r="J41" s="16">
        <f t="shared" si="8"/>
        <v>0.46515260999690833</v>
      </c>
      <c r="K41" s="18">
        <v>350360</v>
      </c>
      <c r="L41" s="20">
        <f t="shared" si="9"/>
        <v>-0.20062606521208415</v>
      </c>
      <c r="M41" s="18">
        <v>2906284.27</v>
      </c>
      <c r="N41" s="20">
        <f t="shared" si="10"/>
        <v>1.5803499468176727</v>
      </c>
      <c r="O41" s="18">
        <v>169208.04</v>
      </c>
      <c r="P41" s="20">
        <f t="shared" si="11"/>
        <v>-0.68187818318208215</v>
      </c>
      <c r="Q41" s="18">
        <v>265794.71000000002</v>
      </c>
      <c r="R41" s="20">
        <f t="shared" si="12"/>
        <v>4.0548980766294651E-2</v>
      </c>
      <c r="S41" s="18">
        <v>344984.35</v>
      </c>
      <c r="T41" s="20">
        <f t="shared" si="13"/>
        <v>5.559539112210965E-3</v>
      </c>
      <c r="U41" s="18">
        <v>21493</v>
      </c>
      <c r="V41" s="20">
        <f t="shared" si="14"/>
        <v>-0.77228855668683183</v>
      </c>
      <c r="W41" s="18">
        <v>121607.32</v>
      </c>
      <c r="X41" s="20">
        <f t="shared" si="15"/>
        <v>0.91939833009770044</v>
      </c>
      <c r="Y41" s="19">
        <f t="shared" si="22"/>
        <v>2565153.4</v>
      </c>
      <c r="Z41" s="20">
        <f t="shared" si="16"/>
        <v>-0.3093832394368784</v>
      </c>
      <c r="AA41" s="18">
        <v>330700.74</v>
      </c>
      <c r="AB41" s="17">
        <f t="shared" si="17"/>
        <v>-0.43719038307388325</v>
      </c>
      <c r="AC41" s="21">
        <f t="shared" si="23"/>
        <v>2234452.66</v>
      </c>
      <c r="AD41" s="16">
        <f t="shared" si="18"/>
        <v>-0.28536495763216618</v>
      </c>
    </row>
    <row r="42" spans="1:30" x14ac:dyDescent="0.25">
      <c r="A42" s="67">
        <v>43952</v>
      </c>
      <c r="B42" s="4">
        <v>12947927.33</v>
      </c>
      <c r="C42" s="10">
        <f t="shared" si="5"/>
        <v>6.1955487838335266E-2</v>
      </c>
      <c r="D42" s="7">
        <f t="shared" si="19"/>
        <v>5343250.26</v>
      </c>
      <c r="E42" s="10">
        <f t="shared" si="6"/>
        <v>0.14765445376454323</v>
      </c>
      <c r="F42" s="4">
        <v>7604677.0700000003</v>
      </c>
      <c r="G42" s="16">
        <f t="shared" si="7"/>
        <v>9.0151323044913578E-3</v>
      </c>
      <c r="H42" s="9">
        <f t="shared" si="20"/>
        <v>0.58732775340653698</v>
      </c>
      <c r="I42" s="21">
        <f t="shared" si="21"/>
        <v>4511100.72</v>
      </c>
      <c r="J42" s="16">
        <f t="shared" si="8"/>
        <v>-0.10251813484163208</v>
      </c>
      <c r="K42" s="18">
        <v>504597.5</v>
      </c>
      <c r="L42" s="20">
        <f t="shared" si="9"/>
        <v>2.0564847620479387E-2</v>
      </c>
      <c r="M42" s="18">
        <v>3138257</v>
      </c>
      <c r="N42" s="20">
        <f t="shared" si="10"/>
        <v>-7.4774660805212445E-3</v>
      </c>
      <c r="O42" s="18">
        <v>151786.15</v>
      </c>
      <c r="P42" s="20">
        <f t="shared" si="11"/>
        <v>-0.69606419277455833</v>
      </c>
      <c r="Q42" s="18">
        <v>193755.46</v>
      </c>
      <c r="R42" s="20">
        <f t="shared" si="12"/>
        <v>-0.2394140807474141</v>
      </c>
      <c r="S42" s="18">
        <v>387867.54</v>
      </c>
      <c r="T42" s="20">
        <f t="shared" si="13"/>
        <v>-0.10916554508748322</v>
      </c>
      <c r="U42" s="18">
        <v>31692</v>
      </c>
      <c r="V42" s="20">
        <f t="shared" si="14"/>
        <v>-0.73798736730712</v>
      </c>
      <c r="W42" s="18">
        <v>103145.07</v>
      </c>
      <c r="X42" s="20">
        <f t="shared" si="15"/>
        <v>0.73158074101432002</v>
      </c>
      <c r="Y42" s="19">
        <f t="shared" si="22"/>
        <v>3093576.3500000006</v>
      </c>
      <c r="Z42" s="20">
        <f t="shared" si="16"/>
        <v>0.23233616089774189</v>
      </c>
      <c r="AA42" s="18">
        <v>295714.65999999997</v>
      </c>
      <c r="AB42" s="17">
        <f t="shared" si="17"/>
        <v>-0.49656335122030948</v>
      </c>
      <c r="AC42" s="21">
        <f t="shared" si="23"/>
        <v>2797861.6900000004</v>
      </c>
      <c r="AD42" s="16">
        <f t="shared" si="18"/>
        <v>0.45498955559156551</v>
      </c>
    </row>
    <row r="43" spans="1:30" x14ac:dyDescent="0.25">
      <c r="A43" s="67">
        <v>43983</v>
      </c>
      <c r="B43" s="4">
        <v>11902556</v>
      </c>
      <c r="C43" s="10">
        <f t="shared" si="5"/>
        <v>0.18594705435154091</v>
      </c>
      <c r="D43" s="7">
        <f t="shared" si="19"/>
        <v>5123673.03</v>
      </c>
      <c r="E43" s="10">
        <f t="shared" si="6"/>
        <v>0.340540698583226</v>
      </c>
      <c r="F43" s="4">
        <v>6778882.9699999997</v>
      </c>
      <c r="G43" s="16">
        <f t="shared" si="7"/>
        <v>9.0863519152190486E-2</v>
      </c>
      <c r="H43" s="9">
        <f t="shared" si="20"/>
        <v>0.5695317014261474</v>
      </c>
      <c r="I43" s="21">
        <f t="shared" si="21"/>
        <v>4291480.7</v>
      </c>
      <c r="J43" s="16">
        <f t="shared" si="8"/>
        <v>-0.20215784710279427</v>
      </c>
      <c r="K43" s="18">
        <v>443102</v>
      </c>
      <c r="L43" s="20">
        <f t="shared" si="9"/>
        <v>-0.14143712275041465</v>
      </c>
      <c r="M43" s="18">
        <v>3031579</v>
      </c>
      <c r="N43" s="20">
        <f t="shared" si="10"/>
        <v>-9.9624415209194184E-2</v>
      </c>
      <c r="O43" s="18">
        <v>102515.87</v>
      </c>
      <c r="P43" s="20">
        <f t="shared" si="11"/>
        <v>-0.80144858120657969</v>
      </c>
      <c r="Q43" s="18">
        <v>289602.42</v>
      </c>
      <c r="R43" s="20">
        <f t="shared" si="12"/>
        <v>0.2643357272270852</v>
      </c>
      <c r="S43" s="18">
        <v>285324.82</v>
      </c>
      <c r="T43" s="20">
        <f t="shared" si="13"/>
        <v>-0.47908236647283808</v>
      </c>
      <c r="U43" s="18">
        <v>31065</v>
      </c>
      <c r="V43" s="20">
        <f t="shared" si="14"/>
        <v>-0.79611994565823752</v>
      </c>
      <c r="W43" s="18">
        <v>108291.59</v>
      </c>
      <c r="X43" s="20">
        <f t="shared" si="15"/>
        <v>1.1542848332935467</v>
      </c>
      <c r="Y43" s="19">
        <f t="shared" si="22"/>
        <v>2487402.2699999996</v>
      </c>
      <c r="Z43" s="20">
        <f t="shared" si="16"/>
        <v>1.9775828936881648</v>
      </c>
      <c r="AA43" s="18">
        <v>301305.65999999997</v>
      </c>
      <c r="AB43" s="17">
        <f t="shared" si="17"/>
        <v>-0.48883593180083129</v>
      </c>
      <c r="AC43" s="21">
        <f t="shared" si="23"/>
        <v>2186096.6099999994</v>
      </c>
      <c r="AD43" s="16">
        <f t="shared" si="18"/>
        <v>7.8892336579007161</v>
      </c>
    </row>
    <row r="44" spans="1:30" x14ac:dyDescent="0.25">
      <c r="A44" s="67">
        <v>44013</v>
      </c>
      <c r="B44" s="4">
        <v>11413037</v>
      </c>
      <c r="C44" s="10">
        <f t="shared" si="5"/>
        <v>-0.18416752582680773</v>
      </c>
      <c r="D44" s="7">
        <f t="shared" si="19"/>
        <v>4802246.5999999996</v>
      </c>
      <c r="E44" s="10">
        <f t="shared" si="6"/>
        <v>-9.2842153905430935E-2</v>
      </c>
      <c r="F44" s="4">
        <v>6610790.4000000004</v>
      </c>
      <c r="G44" s="16">
        <f t="shared" si="7"/>
        <v>-0.23976410011828686</v>
      </c>
      <c r="H44" s="9">
        <f t="shared" si="20"/>
        <v>0.57923148763996823</v>
      </c>
      <c r="I44" s="21">
        <f t="shared" si="21"/>
        <v>4388811</v>
      </c>
      <c r="J44" s="16">
        <f t="shared" si="8"/>
        <v>-0.23254086428118648</v>
      </c>
      <c r="K44" s="18">
        <v>420860</v>
      </c>
      <c r="L44" s="20">
        <f t="shared" si="9"/>
        <v>7.4165011919285817E-2</v>
      </c>
      <c r="M44" s="18">
        <v>3080248</v>
      </c>
      <c r="N44" s="20">
        <f t="shared" si="10"/>
        <v>-0.10685218288918752</v>
      </c>
      <c r="O44" s="18">
        <v>148229</v>
      </c>
      <c r="P44" s="20">
        <f t="shared" si="11"/>
        <v>-0.71328847169325926</v>
      </c>
      <c r="Q44" s="18">
        <v>238405</v>
      </c>
      <c r="R44" s="20">
        <f t="shared" si="12"/>
        <v>-7.4827212859011172E-2</v>
      </c>
      <c r="S44" s="18">
        <v>361306</v>
      </c>
      <c r="T44" s="20">
        <f t="shared" si="13"/>
        <v>-0.22426238518715724</v>
      </c>
      <c r="U44" s="18">
        <v>21612</v>
      </c>
      <c r="V44" s="20">
        <f t="shared" si="14"/>
        <v>-0.89136914485621943</v>
      </c>
      <c r="W44" s="18">
        <v>118151</v>
      </c>
      <c r="X44" s="20">
        <f t="shared" si="15"/>
        <v>-0.73066515910339502</v>
      </c>
      <c r="Y44" s="19">
        <f t="shared" si="22"/>
        <v>2221979.4000000004</v>
      </c>
      <c r="Z44" s="20">
        <f t="shared" si="16"/>
        <v>-0.25363907731037993</v>
      </c>
      <c r="AA44" s="18">
        <v>315119</v>
      </c>
      <c r="AB44" s="17">
        <f t="shared" si="17"/>
        <v>-0.62047481747517153</v>
      </c>
      <c r="AC44" s="21">
        <f t="shared" si="23"/>
        <v>1906860.4000000004</v>
      </c>
      <c r="AD44" s="16">
        <f t="shared" si="18"/>
        <v>-0.11176050348597333</v>
      </c>
    </row>
    <row r="45" spans="1:30" x14ac:dyDescent="0.25">
      <c r="A45" s="67">
        <v>44044</v>
      </c>
      <c r="B45" s="4">
        <v>11491012</v>
      </c>
      <c r="C45" s="10">
        <f t="shared" si="5"/>
        <v>-2.6876259116727086E-2</v>
      </c>
      <c r="D45" s="7">
        <f t="shared" si="19"/>
        <v>4670223.21</v>
      </c>
      <c r="E45" s="10">
        <f t="shared" si="6"/>
        <v>-2.8565632157856458E-2</v>
      </c>
      <c r="F45" s="4">
        <v>6820788.79</v>
      </c>
      <c r="G45" s="16">
        <f t="shared" si="7"/>
        <v>-2.571614519771237E-2</v>
      </c>
      <c r="H45" s="9">
        <f t="shared" si="20"/>
        <v>0.59357598704100212</v>
      </c>
      <c r="I45" s="21">
        <f t="shared" si="21"/>
        <v>4701126</v>
      </c>
      <c r="J45" s="16">
        <f t="shared" si="8"/>
        <v>-0.19692821745391553</v>
      </c>
      <c r="K45" s="18">
        <v>474053</v>
      </c>
      <c r="L45" s="20">
        <f t="shared" si="9"/>
        <v>-0.1537351987161063</v>
      </c>
      <c r="M45" s="18">
        <v>3193273</v>
      </c>
      <c r="N45" s="20">
        <f t="shared" si="10"/>
        <v>-0.1473682552261617</v>
      </c>
      <c r="O45" s="18">
        <v>169222</v>
      </c>
      <c r="P45" s="20">
        <f t="shared" si="11"/>
        <v>-0.6732005191033108</v>
      </c>
      <c r="Q45" s="18">
        <v>210064</v>
      </c>
      <c r="R45" s="20">
        <f t="shared" si="12"/>
        <v>-0.31189276659307252</v>
      </c>
      <c r="S45" s="18">
        <v>353350</v>
      </c>
      <c r="T45" s="20">
        <f t="shared" si="13"/>
        <v>-0.17810672633640523</v>
      </c>
      <c r="U45" s="18">
        <v>28716</v>
      </c>
      <c r="V45" s="20">
        <f t="shared" si="14"/>
        <v>-0.84535682743467677</v>
      </c>
      <c r="W45" s="18">
        <v>272448</v>
      </c>
      <c r="X45" s="20">
        <f t="shared" si="15"/>
        <v>1.4800691821036822</v>
      </c>
      <c r="Y45" s="19">
        <f t="shared" si="22"/>
        <v>2119662.79</v>
      </c>
      <c r="Z45" s="20">
        <f t="shared" si="16"/>
        <v>0.84817837884209935</v>
      </c>
      <c r="AA45" s="18">
        <v>308251</v>
      </c>
      <c r="AB45" s="17">
        <f t="shared" si="17"/>
        <v>-0.24564395978738607</v>
      </c>
      <c r="AC45" s="21">
        <f t="shared" si="23"/>
        <v>1811411.79</v>
      </c>
      <c r="AD45" s="16">
        <f t="shared" si="18"/>
        <v>1.4536065824713322</v>
      </c>
    </row>
    <row r="46" spans="1:30" x14ac:dyDescent="0.25">
      <c r="A46" s="67">
        <v>44075</v>
      </c>
      <c r="B46" s="4">
        <v>10323500</v>
      </c>
      <c r="C46" s="10">
        <f t="shared" ref="C46:C73" si="24">(B46/B34)-1</f>
        <v>-0.23878182971821982</v>
      </c>
      <c r="D46" s="7">
        <f t="shared" si="19"/>
        <v>4316448.34</v>
      </c>
      <c r="E46" s="10">
        <f t="shared" ref="E46:E73" si="25">(D46/D34)-1</f>
        <v>-0.33884600173573198</v>
      </c>
      <c r="F46" s="4">
        <v>6007051.6600000001</v>
      </c>
      <c r="G46" s="16">
        <f t="shared" ref="G46:G73" si="26">(F46/F34)-1</f>
        <v>-0.14589541225938796</v>
      </c>
      <c r="H46" s="9">
        <f t="shared" si="20"/>
        <v>0.58188130575870589</v>
      </c>
      <c r="I46" s="21">
        <f t="shared" si="21"/>
        <v>4273476</v>
      </c>
      <c r="J46" s="16">
        <f t="shared" ref="J46:J73" si="27">(I46/I34)-1</f>
        <v>-0.25198282115121251</v>
      </c>
      <c r="K46" s="18">
        <v>320636</v>
      </c>
      <c r="L46" s="20">
        <f t="shared" ref="L46:L73" si="28">(K46/K34)-1</f>
        <v>-0.54599119554028208</v>
      </c>
      <c r="M46" s="18">
        <v>3088101</v>
      </c>
      <c r="N46" s="20">
        <f t="shared" ref="N46:N73" si="29">(M46/M34)-1</f>
        <v>-0.14070854722164094</v>
      </c>
      <c r="O46" s="18">
        <v>176127</v>
      </c>
      <c r="P46" s="20">
        <f t="shared" ref="P46:P73" si="30">(O46/O34)-1</f>
        <v>-0.66377903303088903</v>
      </c>
      <c r="Q46" s="18">
        <v>225869</v>
      </c>
      <c r="R46" s="20">
        <f t="shared" ref="R46:R73" si="31">(Q46/Q34)-1</f>
        <v>-0.20488259935931286</v>
      </c>
      <c r="S46" s="18">
        <v>293290</v>
      </c>
      <c r="T46" s="20">
        <f t="shared" ref="T46:T73" si="32">(S46/S34)-1</f>
        <v>3.9467783950679625E-3</v>
      </c>
      <c r="U46" s="18">
        <v>26458</v>
      </c>
      <c r="V46" s="20">
        <f t="shared" ref="V46:V73" si="33">(U46/U34)-1</f>
        <v>-0.86413051851014988</v>
      </c>
      <c r="W46" s="18">
        <v>142995</v>
      </c>
      <c r="X46" s="20">
        <f t="shared" ref="X46:X73" si="34">(W46/W34)-1</f>
        <v>0.2089328891970037</v>
      </c>
      <c r="Y46" s="19">
        <f t="shared" si="22"/>
        <v>1733575.6600000001</v>
      </c>
      <c r="Z46" s="20">
        <f t="shared" ref="Z46:Z73" si="35">(Y46/Y34)-1</f>
        <v>0.31323032986512245</v>
      </c>
      <c r="AA46" s="18">
        <v>307784</v>
      </c>
      <c r="AB46" s="17">
        <f t="shared" ref="AB46:AB73" si="36">(AA46/AA34)-1</f>
        <v>-0.24678680853979662</v>
      </c>
      <c r="AC46" s="21">
        <f t="shared" si="23"/>
        <v>1425791.6600000001</v>
      </c>
      <c r="AD46" s="16">
        <f t="shared" ref="AD46:AD73" si="37">(AC46/AC34)-1</f>
        <v>0.56429942388944321</v>
      </c>
    </row>
    <row r="47" spans="1:30" x14ac:dyDescent="0.25">
      <c r="A47" s="67">
        <v>44105</v>
      </c>
      <c r="B47" s="4">
        <v>12795408</v>
      </c>
      <c r="C47" s="10">
        <f t="shared" si="24"/>
        <v>0.29717879957356153</v>
      </c>
      <c r="D47" s="7">
        <f t="shared" si="19"/>
        <v>5478261.5899999999</v>
      </c>
      <c r="E47" s="10">
        <f t="shared" si="25"/>
        <v>0.30665338529723773</v>
      </c>
      <c r="F47" s="4">
        <v>7317146.4100000001</v>
      </c>
      <c r="G47" s="16">
        <f t="shared" si="26"/>
        <v>0.29017474711992142</v>
      </c>
      <c r="H47" s="9">
        <f t="shared" si="20"/>
        <v>0.57185721705786952</v>
      </c>
      <c r="I47" s="21">
        <f t="shared" si="21"/>
        <v>4615869</v>
      </c>
      <c r="J47" s="16">
        <f t="shared" si="27"/>
        <v>-0.21317763717834359</v>
      </c>
      <c r="K47" s="18">
        <v>537779</v>
      </c>
      <c r="L47" s="20">
        <f t="shared" si="28"/>
        <v>-0.16475397487330257</v>
      </c>
      <c r="M47" s="18">
        <v>3035236</v>
      </c>
      <c r="N47" s="20">
        <f t="shared" si="29"/>
        <v>-0.20510953053255088</v>
      </c>
      <c r="O47" s="18">
        <v>171197</v>
      </c>
      <c r="P47" s="20">
        <f t="shared" si="30"/>
        <v>-0.664769211488905</v>
      </c>
      <c r="Q47" s="18">
        <v>295113</v>
      </c>
      <c r="R47" s="20">
        <f t="shared" si="31"/>
        <v>1.0955243820975236E-2</v>
      </c>
      <c r="S47" s="18">
        <v>368393</v>
      </c>
      <c r="T47" s="20">
        <f t="shared" si="32"/>
        <v>-6.5907511929936713E-2</v>
      </c>
      <c r="U47" s="18">
        <v>25862</v>
      </c>
      <c r="V47" s="20">
        <f t="shared" si="33"/>
        <v>-0.5559485585755739</v>
      </c>
      <c r="W47" s="18">
        <v>182289</v>
      </c>
      <c r="X47" s="20">
        <f t="shared" si="34"/>
        <v>0.22380213892972955</v>
      </c>
      <c r="Y47" s="19">
        <f t="shared" si="22"/>
        <v>2701277.41</v>
      </c>
      <c r="Z47" s="20">
        <f t="shared" si="35"/>
        <v>-14.850520546119011</v>
      </c>
      <c r="AA47" s="18">
        <v>259099</v>
      </c>
      <c r="AB47" s="17">
        <f t="shared" si="36"/>
        <v>-0.52183052323864643</v>
      </c>
      <c r="AC47" s="21">
        <f t="shared" si="23"/>
        <v>2442178.41</v>
      </c>
      <c r="AD47" s="16">
        <f t="shared" si="37"/>
        <v>-4.314184180947751</v>
      </c>
    </row>
    <row r="48" spans="1:30" x14ac:dyDescent="0.25">
      <c r="A48" s="67">
        <v>44136</v>
      </c>
      <c r="B48" s="4">
        <v>12202888</v>
      </c>
      <c r="C48" s="10">
        <f t="shared" si="24"/>
        <v>0.12923570223919789</v>
      </c>
      <c r="D48" s="7">
        <f t="shared" si="19"/>
        <v>4756643.4000000004</v>
      </c>
      <c r="E48" s="10">
        <f t="shared" si="25"/>
        <v>4.2654296462061536E-2</v>
      </c>
      <c r="F48" s="4">
        <v>7446244.5999999996</v>
      </c>
      <c r="G48" s="16">
        <f t="shared" si="26"/>
        <v>0.19249189168583913</v>
      </c>
      <c r="H48" s="9">
        <f t="shared" si="20"/>
        <v>0.61020346986713303</v>
      </c>
      <c r="I48" s="21">
        <f t="shared" si="21"/>
        <v>4838977</v>
      </c>
      <c r="J48" s="16">
        <f t="shared" si="27"/>
        <v>-0.13597518938910347</v>
      </c>
      <c r="K48" s="18">
        <v>637156</v>
      </c>
      <c r="L48" s="20">
        <f t="shared" si="28"/>
        <v>-2.765098622715656E-2</v>
      </c>
      <c r="M48" s="18">
        <v>3251708</v>
      </c>
      <c r="N48" s="20">
        <f t="shared" si="29"/>
        <v>-9.7252313429272319E-2</v>
      </c>
      <c r="O48" s="18">
        <v>204734</v>
      </c>
      <c r="P48" s="20">
        <f t="shared" si="30"/>
        <v>-0.59025173218481441</v>
      </c>
      <c r="Q48" s="18">
        <v>253648</v>
      </c>
      <c r="R48" s="20">
        <f t="shared" si="31"/>
        <v>0.18937827357088266</v>
      </c>
      <c r="S48" s="18">
        <v>316062</v>
      </c>
      <c r="T48" s="20">
        <f t="shared" si="32"/>
        <v>-0.26082584169808321</v>
      </c>
      <c r="U48" s="18">
        <v>20680</v>
      </c>
      <c r="V48" s="20">
        <f t="shared" si="33"/>
        <v>-0.80057282274318453</v>
      </c>
      <c r="W48" s="18">
        <v>154989</v>
      </c>
      <c r="X48" s="20">
        <f t="shared" si="34"/>
        <v>0.56529247798335613</v>
      </c>
      <c r="Y48" s="19">
        <f t="shared" si="22"/>
        <v>2607267.5999999996</v>
      </c>
      <c r="Z48" s="20">
        <f t="shared" si="35"/>
        <v>3.0500254650088285</v>
      </c>
      <c r="AA48" s="18">
        <v>263586</v>
      </c>
      <c r="AB48" s="17">
        <f t="shared" si="36"/>
        <v>-0.51606826810801287</v>
      </c>
      <c r="AC48" s="21">
        <f t="shared" si="23"/>
        <v>2343681.5999999996</v>
      </c>
      <c r="AD48" s="16">
        <f t="shared" si="37"/>
        <v>22.652114099008941</v>
      </c>
    </row>
    <row r="49" spans="1:30" x14ac:dyDescent="0.25">
      <c r="A49" s="67">
        <v>44166</v>
      </c>
      <c r="B49" s="4">
        <v>12398731</v>
      </c>
      <c r="C49" s="10">
        <f t="shared" si="24"/>
        <v>3.3232146775314941E-2</v>
      </c>
      <c r="D49" s="7">
        <f t="shared" si="19"/>
        <v>5192102.1900000004</v>
      </c>
      <c r="E49" s="10">
        <f t="shared" si="25"/>
        <v>-0.13748959426262453</v>
      </c>
      <c r="F49" s="4">
        <v>7206628.8099999996</v>
      </c>
      <c r="G49" s="16">
        <f t="shared" si="26"/>
        <v>0.20508338446046293</v>
      </c>
      <c r="H49" s="9">
        <f t="shared" si="20"/>
        <v>0.58123922601433964</v>
      </c>
      <c r="I49" s="21">
        <f t="shared" si="21"/>
        <v>4724136</v>
      </c>
      <c r="J49" s="16">
        <f t="shared" si="27"/>
        <v>-0.22854812331443675</v>
      </c>
      <c r="K49" s="18">
        <v>642294</v>
      </c>
      <c r="L49" s="20">
        <f t="shared" si="28"/>
        <v>-6.1119183284461753E-2</v>
      </c>
      <c r="M49" s="18">
        <v>3013558</v>
      </c>
      <c r="N49" s="20">
        <f t="shared" si="29"/>
        <v>-0.22798545612538901</v>
      </c>
      <c r="O49" s="18">
        <v>211191</v>
      </c>
      <c r="P49" s="20">
        <f t="shared" si="30"/>
        <v>-0.58664565881155561</v>
      </c>
      <c r="Q49" s="18">
        <v>282853</v>
      </c>
      <c r="R49" s="20">
        <f t="shared" si="31"/>
        <v>-5.5519567249899815E-2</v>
      </c>
      <c r="S49" s="18">
        <v>416417</v>
      </c>
      <c r="T49" s="20">
        <f t="shared" si="32"/>
        <v>4.1571097331895901E-2</v>
      </c>
      <c r="U49" s="18">
        <v>31780</v>
      </c>
      <c r="V49" s="20">
        <f t="shared" si="33"/>
        <v>-0.81857624022378261</v>
      </c>
      <c r="W49" s="18">
        <v>126043</v>
      </c>
      <c r="X49" s="20">
        <f t="shared" si="34"/>
        <v>-0.16374408683478969</v>
      </c>
      <c r="Y49" s="19">
        <f t="shared" si="22"/>
        <v>2482492.8099999996</v>
      </c>
      <c r="Z49" s="20">
        <f t="shared" si="35"/>
        <v>-18.299119257999774</v>
      </c>
      <c r="AA49" s="18">
        <v>271783</v>
      </c>
      <c r="AB49" s="17">
        <f t="shared" si="36"/>
        <v>-0.51286996327476531</v>
      </c>
      <c r="AC49" s="21">
        <f t="shared" si="23"/>
        <v>2210709.8099999996</v>
      </c>
      <c r="AD49" s="16">
        <f t="shared" si="37"/>
        <v>-4.1517138677931253</v>
      </c>
    </row>
    <row r="50" spans="1:30" x14ac:dyDescent="0.25">
      <c r="A50" s="67">
        <v>44197</v>
      </c>
      <c r="B50" s="4">
        <v>6667726</v>
      </c>
      <c r="C50" s="10">
        <f t="shared" si="24"/>
        <v>0.11519698971410941</v>
      </c>
      <c r="D50" s="7">
        <f t="shared" si="19"/>
        <v>2665663.61</v>
      </c>
      <c r="E50" s="10">
        <f t="shared" si="25"/>
        <v>5.0303308229505683E-2</v>
      </c>
      <c r="F50" s="4">
        <v>4002062.39</v>
      </c>
      <c r="G50" s="16">
        <f t="shared" si="26"/>
        <v>0.16306129630681276</v>
      </c>
      <c r="H50" s="9">
        <f t="shared" si="20"/>
        <v>0.60021398449786334</v>
      </c>
      <c r="I50" s="21">
        <f t="shared" si="21"/>
        <v>4268079</v>
      </c>
      <c r="J50" s="16">
        <f t="shared" si="27"/>
        <v>-0.10779434245890085</v>
      </c>
      <c r="K50" s="18">
        <v>417771</v>
      </c>
      <c r="L50" s="20">
        <f t="shared" si="28"/>
        <v>-6.9869287302990246E-2</v>
      </c>
      <c r="M50" s="18">
        <v>3101693</v>
      </c>
      <c r="N50" s="20">
        <f t="shared" si="29"/>
        <v>-2.6513956721092469E-2</v>
      </c>
      <c r="O50" s="18">
        <v>182692</v>
      </c>
      <c r="P50" s="20">
        <f t="shared" si="30"/>
        <v>-0.63012947047688461</v>
      </c>
      <c r="Q50" s="18">
        <v>191758</v>
      </c>
      <c r="R50" s="20">
        <f t="shared" si="31"/>
        <v>-0.14527682069614134</v>
      </c>
      <c r="S50" s="18">
        <v>205543</v>
      </c>
      <c r="T50" s="20">
        <f t="shared" si="32"/>
        <v>-0.1728019446154837</v>
      </c>
      <c r="U50" s="18">
        <v>25460</v>
      </c>
      <c r="V50" s="20">
        <f t="shared" si="33"/>
        <v>-0.32481171104274953</v>
      </c>
      <c r="W50" s="18">
        <v>143162</v>
      </c>
      <c r="X50" s="20">
        <f t="shared" si="34"/>
        <v>-5.4050298735583979E-3</v>
      </c>
      <c r="Y50" s="19">
        <f t="shared" si="22"/>
        <v>-266016.60999999987</v>
      </c>
      <c r="Z50" s="20">
        <f t="shared" si="35"/>
        <v>-0.80188909444549517</v>
      </c>
      <c r="AA50" s="18">
        <v>310968</v>
      </c>
      <c r="AB50" s="17">
        <f t="shared" si="36"/>
        <v>1.1074189919430877E-2</v>
      </c>
      <c r="AC50" s="21">
        <f t="shared" si="23"/>
        <v>-576984.60999999987</v>
      </c>
      <c r="AD50" s="16">
        <f t="shared" si="37"/>
        <v>-0.65038188072794823</v>
      </c>
    </row>
    <row r="51" spans="1:30" x14ac:dyDescent="0.25">
      <c r="A51" s="67">
        <v>44228</v>
      </c>
      <c r="B51" s="4">
        <v>7611996</v>
      </c>
      <c r="C51" s="10">
        <f t="shared" si="24"/>
        <v>3.7078665315730674E-3</v>
      </c>
      <c r="D51" s="7">
        <f t="shared" si="19"/>
        <v>2796197.7800000003</v>
      </c>
      <c r="E51" s="10">
        <f t="shared" si="25"/>
        <v>-0.17021082510841468</v>
      </c>
      <c r="F51" s="4">
        <v>4815798.22</v>
      </c>
      <c r="G51" s="16">
        <f t="shared" si="26"/>
        <v>0.14278022366432164</v>
      </c>
      <c r="H51" s="9">
        <f t="shared" si="20"/>
        <v>0.63265905814979406</v>
      </c>
      <c r="I51" s="21">
        <f t="shared" si="21"/>
        <v>4129333</v>
      </c>
      <c r="J51" s="16">
        <f t="shared" si="27"/>
        <v>-0.12413035215222989</v>
      </c>
      <c r="K51" s="18">
        <v>487920</v>
      </c>
      <c r="L51" s="20">
        <f t="shared" si="28"/>
        <v>-8.3528991904430971E-2</v>
      </c>
      <c r="M51" s="18">
        <v>2791665</v>
      </c>
      <c r="N51" s="20">
        <f t="shared" si="29"/>
        <v>-4.0717692498006941E-2</v>
      </c>
      <c r="O51" s="18">
        <v>188115</v>
      </c>
      <c r="P51" s="20">
        <f t="shared" si="30"/>
        <v>-0.61209003082823821</v>
      </c>
      <c r="Q51" s="18">
        <v>216109</v>
      </c>
      <c r="R51" s="20">
        <f t="shared" si="31"/>
        <v>-5.3154341244561643E-2</v>
      </c>
      <c r="S51" s="18">
        <v>317646</v>
      </c>
      <c r="T51" s="20">
        <f t="shared" si="32"/>
        <v>2.5769700257697092E-2</v>
      </c>
      <c r="U51" s="18">
        <v>21090</v>
      </c>
      <c r="V51" s="20">
        <f t="shared" si="33"/>
        <v>-0.86001685904115865</v>
      </c>
      <c r="W51" s="18">
        <v>106788</v>
      </c>
      <c r="X51" s="20">
        <f t="shared" si="34"/>
        <v>8.4263217212074526E-2</v>
      </c>
      <c r="Y51" s="19">
        <f t="shared" si="22"/>
        <v>686465.21999999974</v>
      </c>
      <c r="Z51" s="20">
        <f t="shared" si="35"/>
        <v>-2.3717098103081993</v>
      </c>
      <c r="AA51" s="18">
        <v>348625</v>
      </c>
      <c r="AB51" s="17">
        <f t="shared" si="36"/>
        <v>8.3463602770931899E-2</v>
      </c>
      <c r="AC51" s="21">
        <f t="shared" si="23"/>
        <v>337840.21999999974</v>
      </c>
      <c r="AD51" s="16">
        <f t="shared" si="37"/>
        <v>-1.4108908979442853</v>
      </c>
    </row>
    <row r="52" spans="1:30" x14ac:dyDescent="0.25">
      <c r="A52" s="67">
        <v>44256</v>
      </c>
      <c r="B52" s="4">
        <v>12074039</v>
      </c>
      <c r="C52" s="10">
        <f t="shared" si="24"/>
        <v>-3.5976469087193097E-2</v>
      </c>
      <c r="D52" s="7">
        <f t="shared" si="19"/>
        <v>5524938.8700000001</v>
      </c>
      <c r="E52" s="10">
        <f t="shared" si="25"/>
        <v>-0.10587396231438928</v>
      </c>
      <c r="F52" s="4">
        <v>6549100.1299999999</v>
      </c>
      <c r="G52" s="16">
        <f t="shared" si="26"/>
        <v>3.2088834355732399E-2</v>
      </c>
      <c r="H52" s="9">
        <f t="shared" si="20"/>
        <v>0.54241170912235748</v>
      </c>
      <c r="I52" s="21">
        <f t="shared" si="21"/>
        <v>4603275</v>
      </c>
      <c r="J52" s="16">
        <f t="shared" si="27"/>
        <v>7.1616386580150904E-2</v>
      </c>
      <c r="K52" s="18">
        <v>565755</v>
      </c>
      <c r="L52" s="20">
        <f t="shared" si="28"/>
        <v>0.4833639223911903</v>
      </c>
      <c r="M52" s="18">
        <v>2737046</v>
      </c>
      <c r="N52" s="20">
        <f t="shared" si="29"/>
        <v>-4.3704452691593065E-2</v>
      </c>
      <c r="O52" s="18">
        <v>192535</v>
      </c>
      <c r="P52" s="20">
        <f t="shared" si="30"/>
        <v>-0.51430704845703845</v>
      </c>
      <c r="Q52" s="18">
        <v>245078</v>
      </c>
      <c r="R52" s="20">
        <f t="shared" si="31"/>
        <v>9.3595355706973971E-2</v>
      </c>
      <c r="S52" s="18">
        <v>454905</v>
      </c>
      <c r="T52" s="20">
        <f t="shared" si="32"/>
        <v>0.51836943134368707</v>
      </c>
      <c r="U52" s="18">
        <v>33017</v>
      </c>
      <c r="V52" s="20">
        <f t="shared" si="33"/>
        <v>4.6696677656606678E-2</v>
      </c>
      <c r="W52" s="18">
        <v>374939</v>
      </c>
      <c r="X52" s="20">
        <f t="shared" si="34"/>
        <v>2.7328906234443759</v>
      </c>
      <c r="Y52" s="19">
        <f t="shared" si="22"/>
        <v>1945825.13</v>
      </c>
      <c r="Z52" s="20">
        <f t="shared" si="35"/>
        <v>-5.0744792272098938E-2</v>
      </c>
      <c r="AA52" s="18">
        <v>483963</v>
      </c>
      <c r="AB52" s="17">
        <f t="shared" si="36"/>
        <v>0.46431813230702201</v>
      </c>
      <c r="AC52" s="21">
        <f t="shared" si="23"/>
        <v>1461862.13</v>
      </c>
      <c r="AD52" s="16">
        <f t="shared" si="37"/>
        <v>-0.14975391953298556</v>
      </c>
    </row>
    <row r="53" spans="1:30" x14ac:dyDescent="0.25">
      <c r="A53" s="67">
        <v>44287</v>
      </c>
      <c r="B53" s="4">
        <v>13512832</v>
      </c>
      <c r="C53" s="10">
        <f t="shared" si="24"/>
        <v>0.16717808872148732</v>
      </c>
      <c r="D53" s="7">
        <f t="shared" si="19"/>
        <v>5642977.1600000001</v>
      </c>
      <c r="E53" s="10">
        <f t="shared" si="25"/>
        <v>0.16772175468867712</v>
      </c>
      <c r="F53" s="4">
        <v>7869854.8399999999</v>
      </c>
      <c r="G53" s="16">
        <f t="shared" si="26"/>
        <v>0.16678857163450944</v>
      </c>
      <c r="H53" s="9">
        <f t="shared" si="20"/>
        <v>0.5823986296876924</v>
      </c>
      <c r="I53" s="21">
        <f t="shared" si="21"/>
        <v>5300007.0999999996</v>
      </c>
      <c r="J53" s="16">
        <f t="shared" si="27"/>
        <v>0.26802567559067403</v>
      </c>
      <c r="K53" s="18">
        <v>600922.1</v>
      </c>
      <c r="L53" s="20">
        <f t="shared" si="28"/>
        <v>0.71515612512843929</v>
      </c>
      <c r="M53" s="18">
        <v>3221481</v>
      </c>
      <c r="N53" s="20">
        <f t="shared" si="29"/>
        <v>0.10845350995207359</v>
      </c>
      <c r="O53" s="18">
        <v>192281</v>
      </c>
      <c r="P53" s="20">
        <f t="shared" si="30"/>
        <v>0.13635853237233886</v>
      </c>
      <c r="Q53" s="18">
        <v>217387</v>
      </c>
      <c r="R53" s="20">
        <f t="shared" si="31"/>
        <v>-0.18212442979019416</v>
      </c>
      <c r="S53" s="18">
        <v>495692</v>
      </c>
      <c r="T53" s="20">
        <f t="shared" si="32"/>
        <v>0.43685358480754277</v>
      </c>
      <c r="U53" s="18">
        <v>56531</v>
      </c>
      <c r="V53" s="20">
        <f t="shared" si="33"/>
        <v>1.6302051830828641</v>
      </c>
      <c r="W53" s="18">
        <v>515713</v>
      </c>
      <c r="X53" s="20">
        <f t="shared" si="34"/>
        <v>3.2408055699278631</v>
      </c>
      <c r="Y53" s="19">
        <f t="shared" si="22"/>
        <v>2569847.7400000002</v>
      </c>
      <c r="Z53" s="20">
        <f t="shared" si="35"/>
        <v>1.8300426009612014E-3</v>
      </c>
      <c r="AA53" s="18">
        <v>408264</v>
      </c>
      <c r="AB53" s="17">
        <f t="shared" si="36"/>
        <v>0.23454214224014147</v>
      </c>
      <c r="AC53" s="21">
        <f t="shared" si="23"/>
        <v>2161583.7400000002</v>
      </c>
      <c r="AD53" s="16">
        <f t="shared" si="37"/>
        <v>-3.2611530020063118E-2</v>
      </c>
    </row>
    <row r="54" spans="1:30" x14ac:dyDescent="0.25">
      <c r="A54" s="67">
        <v>44317</v>
      </c>
      <c r="B54" s="4">
        <v>11412354.42</v>
      </c>
      <c r="C54" s="10">
        <f t="shared" si="24"/>
        <v>-0.11859604018954595</v>
      </c>
      <c r="D54" s="7">
        <f t="shared" si="19"/>
        <v>4805563.43</v>
      </c>
      <c r="E54" s="10">
        <f t="shared" si="25"/>
        <v>-0.10062916835940983</v>
      </c>
      <c r="F54" s="4">
        <v>6606790.9900000002</v>
      </c>
      <c r="G54" s="16">
        <f t="shared" si="26"/>
        <v>-0.13122004666530829</v>
      </c>
      <c r="H54" s="9">
        <f t="shared" si="20"/>
        <v>0.57891568618143219</v>
      </c>
      <c r="I54" s="21">
        <f t="shared" si="21"/>
        <v>5224551</v>
      </c>
      <c r="J54" s="16">
        <f t="shared" si="27"/>
        <v>0.15815436725606968</v>
      </c>
      <c r="K54" s="18">
        <v>500932</v>
      </c>
      <c r="L54" s="20">
        <f t="shared" si="28"/>
        <v>-7.2642056292391288E-3</v>
      </c>
      <c r="M54" s="18">
        <v>3535030</v>
      </c>
      <c r="N54" s="20">
        <f t="shared" si="29"/>
        <v>0.12643100931504336</v>
      </c>
      <c r="O54" s="18">
        <v>187538</v>
      </c>
      <c r="P54" s="20">
        <f t="shared" si="30"/>
        <v>0.23554092385899517</v>
      </c>
      <c r="Q54" s="18">
        <v>228492</v>
      </c>
      <c r="R54" s="20">
        <f t="shared" si="31"/>
        <v>0.17928031550697976</v>
      </c>
      <c r="S54" s="18">
        <v>420345</v>
      </c>
      <c r="T54" s="20">
        <f t="shared" si="32"/>
        <v>8.3733379699677979E-2</v>
      </c>
      <c r="U54" s="18">
        <v>47302</v>
      </c>
      <c r="V54" s="20">
        <f t="shared" si="33"/>
        <v>0.49255332576044419</v>
      </c>
      <c r="W54" s="18">
        <v>304912</v>
      </c>
      <c r="X54" s="20">
        <f t="shared" si="34"/>
        <v>1.9561471042678042</v>
      </c>
      <c r="Y54" s="19">
        <f t="shared" si="22"/>
        <v>1382239.9900000002</v>
      </c>
      <c r="Z54" s="20">
        <f t="shared" si="35"/>
        <v>-0.55319027765388751</v>
      </c>
      <c r="AA54" s="18">
        <v>401314</v>
      </c>
      <c r="AB54" s="17">
        <f t="shared" si="36"/>
        <v>0.35709876541122454</v>
      </c>
      <c r="AC54" s="21">
        <f t="shared" si="23"/>
        <v>980925.99000000022</v>
      </c>
      <c r="AD54" s="16">
        <f t="shared" si="37"/>
        <v>-0.64940154350517587</v>
      </c>
    </row>
    <row r="55" spans="1:30" x14ac:dyDescent="0.25">
      <c r="A55" s="67">
        <v>44348</v>
      </c>
      <c r="B55" s="4">
        <v>11694165</v>
      </c>
      <c r="C55" s="10">
        <f t="shared" si="24"/>
        <v>-1.7508088178707193E-2</v>
      </c>
      <c r="D55" s="7">
        <f t="shared" si="19"/>
        <v>5254086.76</v>
      </c>
      <c r="E55" s="10">
        <f t="shared" si="25"/>
        <v>2.545317182349538E-2</v>
      </c>
      <c r="F55" s="4">
        <v>6440078.2400000002</v>
      </c>
      <c r="G55" s="16">
        <f t="shared" si="26"/>
        <v>-4.9979433410988539E-2</v>
      </c>
      <c r="H55" s="9">
        <f t="shared" si="20"/>
        <v>0.55070868591301736</v>
      </c>
      <c r="I55" s="21">
        <f t="shared" si="21"/>
        <v>5578424.0499999998</v>
      </c>
      <c r="J55" s="16">
        <f t="shared" si="27"/>
        <v>0.29988328969998612</v>
      </c>
      <c r="K55" s="18">
        <v>597393.05000000005</v>
      </c>
      <c r="L55" s="20">
        <f t="shared" si="28"/>
        <v>0.34820662059751495</v>
      </c>
      <c r="M55" s="18">
        <v>3589762</v>
      </c>
      <c r="N55" s="20">
        <f t="shared" si="29"/>
        <v>0.18412286138675582</v>
      </c>
      <c r="O55" s="18">
        <v>184495</v>
      </c>
      <c r="P55" s="20">
        <f t="shared" si="30"/>
        <v>0.79967257752385068</v>
      </c>
      <c r="Q55" s="18">
        <v>336616</v>
      </c>
      <c r="R55" s="20">
        <f t="shared" si="31"/>
        <v>0.16233835338806912</v>
      </c>
      <c r="S55" s="18">
        <v>411521</v>
      </c>
      <c r="T55" s="20">
        <f t="shared" si="32"/>
        <v>0.44228952812447231</v>
      </c>
      <c r="U55" s="18">
        <v>75265</v>
      </c>
      <c r="V55" s="20">
        <f t="shared" si="33"/>
        <v>1.4228231128279414</v>
      </c>
      <c r="W55" s="18">
        <v>383372</v>
      </c>
      <c r="X55" s="20">
        <f t="shared" si="34"/>
        <v>2.5401825755813543</v>
      </c>
      <c r="Y55" s="19">
        <f t="shared" si="22"/>
        <v>861654.19000000041</v>
      </c>
      <c r="Z55" s="20">
        <f t="shared" si="35"/>
        <v>-0.65359274597751305</v>
      </c>
      <c r="AA55" s="18">
        <v>401290</v>
      </c>
      <c r="AB55" s="17">
        <f t="shared" si="36"/>
        <v>0.33183691272178573</v>
      </c>
      <c r="AC55" s="21">
        <f t="shared" si="23"/>
        <v>460364.19000000041</v>
      </c>
      <c r="AD55" s="16">
        <f t="shared" si="37"/>
        <v>-0.7894126966328352</v>
      </c>
    </row>
    <row r="56" spans="1:30" x14ac:dyDescent="0.25">
      <c r="A56" s="67">
        <v>44378</v>
      </c>
      <c r="B56" s="4">
        <v>10900540</v>
      </c>
      <c r="C56" s="10">
        <f t="shared" si="24"/>
        <v>-4.4904524536282464E-2</v>
      </c>
      <c r="D56" s="7">
        <f t="shared" si="19"/>
        <v>4983518.63</v>
      </c>
      <c r="E56" s="10">
        <f t="shared" si="25"/>
        <v>3.7747338922578422E-2</v>
      </c>
      <c r="F56" s="4">
        <v>5917021.3700000001</v>
      </c>
      <c r="G56" s="16">
        <f t="shared" si="26"/>
        <v>-0.1049449442535646</v>
      </c>
      <c r="H56" s="9">
        <f t="shared" si="20"/>
        <v>0.54281910529203137</v>
      </c>
      <c r="I56" s="21">
        <f t="shared" si="21"/>
        <v>5125862</v>
      </c>
      <c r="J56" s="16">
        <f t="shared" si="27"/>
        <v>0.16793865126568441</v>
      </c>
      <c r="K56" s="18">
        <v>639384</v>
      </c>
      <c r="L56" s="20">
        <f t="shared" si="28"/>
        <v>0.51923204866226302</v>
      </c>
      <c r="M56" s="18">
        <v>3235480</v>
      </c>
      <c r="N56" s="20">
        <f t="shared" si="29"/>
        <v>5.0395942144918271E-2</v>
      </c>
      <c r="O56" s="18">
        <v>176660</v>
      </c>
      <c r="P56" s="20">
        <f t="shared" si="30"/>
        <v>0.19180457265447393</v>
      </c>
      <c r="Q56" s="18">
        <v>318651</v>
      </c>
      <c r="R56" s="20">
        <f t="shared" si="31"/>
        <v>0.33659528952832374</v>
      </c>
      <c r="S56" s="18">
        <v>406042</v>
      </c>
      <c r="T56" s="20">
        <f t="shared" si="32"/>
        <v>0.12381748434844697</v>
      </c>
      <c r="U56" s="18">
        <v>115215</v>
      </c>
      <c r="V56" s="20">
        <f t="shared" si="33"/>
        <v>4.3310660744031093</v>
      </c>
      <c r="W56" s="18">
        <v>234430</v>
      </c>
      <c r="X56" s="20">
        <f t="shared" si="34"/>
        <v>0.9841558683379743</v>
      </c>
      <c r="Y56" s="19">
        <f t="shared" si="22"/>
        <v>791159.37000000011</v>
      </c>
      <c r="Z56" s="20">
        <f t="shared" si="35"/>
        <v>-0.64393937675569812</v>
      </c>
      <c r="AA56" s="18">
        <v>441007</v>
      </c>
      <c r="AB56" s="17">
        <f t="shared" si="36"/>
        <v>0.39949352466845856</v>
      </c>
      <c r="AC56" s="21">
        <f t="shared" si="23"/>
        <v>350152.37000000011</v>
      </c>
      <c r="AD56" s="16">
        <f t="shared" si="37"/>
        <v>-0.8163723102121162</v>
      </c>
    </row>
    <row r="57" spans="1:30" x14ac:dyDescent="0.25">
      <c r="A57" s="67">
        <v>44409</v>
      </c>
      <c r="B57" s="4">
        <v>11301926</v>
      </c>
      <c r="C57" s="10">
        <f t="shared" si="24"/>
        <v>-1.6455121620271518E-2</v>
      </c>
      <c r="D57" s="7">
        <f t="shared" si="19"/>
        <v>4879147.9400000004</v>
      </c>
      <c r="E57" s="10">
        <f t="shared" si="25"/>
        <v>4.4735491347104306E-2</v>
      </c>
      <c r="F57" s="4">
        <v>6422778.0599999996</v>
      </c>
      <c r="G57" s="16">
        <f t="shared" si="26"/>
        <v>-5.8352595609400204E-2</v>
      </c>
      <c r="H57" s="9">
        <f t="shared" si="20"/>
        <v>0.56829057808377081</v>
      </c>
      <c r="I57" s="21">
        <f t="shared" si="21"/>
        <v>5058719</v>
      </c>
      <c r="J57" s="16">
        <f t="shared" si="27"/>
        <v>7.6065393695042394E-2</v>
      </c>
      <c r="K57" s="18">
        <v>766357</v>
      </c>
      <c r="L57" s="20">
        <f t="shared" si="28"/>
        <v>0.61660616007070934</v>
      </c>
      <c r="M57" s="18">
        <v>3210411</v>
      </c>
      <c r="N57" s="20">
        <f t="shared" si="29"/>
        <v>5.3669072453248479E-3</v>
      </c>
      <c r="O57" s="18">
        <v>177029</v>
      </c>
      <c r="P57" s="20">
        <f t="shared" si="30"/>
        <v>4.6134663341645954E-2</v>
      </c>
      <c r="Q57" s="18">
        <v>269478</v>
      </c>
      <c r="R57" s="20">
        <f t="shared" si="31"/>
        <v>0.28283761139462249</v>
      </c>
      <c r="S57" s="18">
        <v>355821</v>
      </c>
      <c r="T57" s="20">
        <f t="shared" si="32"/>
        <v>6.9930663647941316E-3</v>
      </c>
      <c r="U57" s="18">
        <v>59221</v>
      </c>
      <c r="V57" s="20">
        <f t="shared" si="33"/>
        <v>1.062299763198217</v>
      </c>
      <c r="W57" s="18">
        <v>220402</v>
      </c>
      <c r="X57" s="20">
        <f t="shared" si="34"/>
        <v>-0.19103094902513507</v>
      </c>
      <c r="Y57" s="19">
        <f t="shared" si="22"/>
        <v>1364059.0599999996</v>
      </c>
      <c r="Z57" s="20">
        <f t="shared" si="35"/>
        <v>-0.35647355492804611</v>
      </c>
      <c r="AA57" s="18">
        <v>506969</v>
      </c>
      <c r="AB57" s="17">
        <f t="shared" si="36"/>
        <v>0.64466295324264955</v>
      </c>
      <c r="AC57" s="21">
        <f t="shared" si="23"/>
        <v>857090.05999999959</v>
      </c>
      <c r="AD57" s="16">
        <f t="shared" si="37"/>
        <v>-0.52683864335452979</v>
      </c>
    </row>
    <row r="58" spans="1:30" x14ac:dyDescent="0.25">
      <c r="A58" s="67">
        <v>44440</v>
      </c>
      <c r="B58" s="4">
        <v>12700295</v>
      </c>
      <c r="C58" s="10">
        <f t="shared" si="24"/>
        <v>0.23023151063108438</v>
      </c>
      <c r="D58" s="7">
        <f t="shared" si="19"/>
        <v>5821550.7800000003</v>
      </c>
      <c r="E58" s="10">
        <f t="shared" si="25"/>
        <v>0.34869001582907866</v>
      </c>
      <c r="F58" s="4">
        <v>6878744.2199999997</v>
      </c>
      <c r="G58" s="16">
        <f t="shared" si="26"/>
        <v>0.14511154711794161</v>
      </c>
      <c r="H58" s="9">
        <f t="shared" si="20"/>
        <v>0.54162082219350016</v>
      </c>
      <c r="I58" s="21">
        <f t="shared" si="21"/>
        <v>5426905</v>
      </c>
      <c r="J58" s="16">
        <f t="shared" si="27"/>
        <v>0.26990417168599978</v>
      </c>
      <c r="K58" s="18">
        <v>927470</v>
      </c>
      <c r="L58" s="20">
        <f t="shared" si="28"/>
        <v>1.8925947179979792</v>
      </c>
      <c r="M58" s="18">
        <v>3313251</v>
      </c>
      <c r="N58" s="20">
        <f t="shared" si="29"/>
        <v>7.2908884780646721E-2</v>
      </c>
      <c r="O58" s="18">
        <v>179776</v>
      </c>
      <c r="P58" s="20">
        <f t="shared" si="30"/>
        <v>2.0718004621665065E-2</v>
      </c>
      <c r="Q58" s="18">
        <v>289792</v>
      </c>
      <c r="R58" s="20">
        <f t="shared" si="31"/>
        <v>0.28300917788629687</v>
      </c>
      <c r="S58" s="18">
        <v>468359</v>
      </c>
      <c r="T58" s="20">
        <f t="shared" si="32"/>
        <v>0.59691431688772201</v>
      </c>
      <c r="U58" s="18">
        <v>74342</v>
      </c>
      <c r="V58" s="20">
        <f t="shared" si="33"/>
        <v>1.8098117771562476</v>
      </c>
      <c r="W58" s="18">
        <v>173915</v>
      </c>
      <c r="X58" s="20">
        <f t="shared" si="34"/>
        <v>0.21623133676002659</v>
      </c>
      <c r="Y58" s="19">
        <f t="shared" si="22"/>
        <v>1451839.2199999997</v>
      </c>
      <c r="Z58" s="20">
        <f t="shared" si="35"/>
        <v>-0.16251753326993545</v>
      </c>
      <c r="AA58" s="18">
        <v>567649</v>
      </c>
      <c r="AB58" s="17">
        <f t="shared" si="36"/>
        <v>0.84430964572557388</v>
      </c>
      <c r="AC58" s="21">
        <f t="shared" si="23"/>
        <v>884190.21999999974</v>
      </c>
      <c r="AD58" s="16">
        <f t="shared" si="37"/>
        <v>-0.37986015432296771</v>
      </c>
    </row>
    <row r="59" spans="1:30" x14ac:dyDescent="0.25">
      <c r="A59" s="67">
        <v>44470</v>
      </c>
      <c r="B59" s="4">
        <v>11905965</v>
      </c>
      <c r="C59" s="10">
        <f t="shared" si="24"/>
        <v>-6.9512672046096569E-2</v>
      </c>
      <c r="D59" s="7">
        <f t="shared" si="19"/>
        <v>5198650.71</v>
      </c>
      <c r="E59" s="10">
        <f t="shared" si="25"/>
        <v>-5.1040074557666348E-2</v>
      </c>
      <c r="F59" s="4">
        <v>6707314.29</v>
      </c>
      <c r="G59" s="16">
        <f t="shared" si="26"/>
        <v>-8.3342888857133035E-2</v>
      </c>
      <c r="H59" s="9">
        <f t="shared" si="20"/>
        <v>0.56335746745433912</v>
      </c>
      <c r="I59" s="21">
        <f t="shared" si="21"/>
        <v>5585503</v>
      </c>
      <c r="J59" s="16">
        <f t="shared" si="27"/>
        <v>0.2100653203113001</v>
      </c>
      <c r="K59" s="18">
        <v>745236</v>
      </c>
      <c r="L59" s="20">
        <f t="shared" si="28"/>
        <v>0.38576627201880331</v>
      </c>
      <c r="M59" s="18">
        <v>3631911</v>
      </c>
      <c r="N59" s="20">
        <f t="shared" si="29"/>
        <v>0.19658273689426453</v>
      </c>
      <c r="O59" s="18">
        <v>188378</v>
      </c>
      <c r="P59" s="20">
        <f t="shared" si="30"/>
        <v>0.1003580670222024</v>
      </c>
      <c r="Q59" s="18">
        <v>243083</v>
      </c>
      <c r="R59" s="20">
        <f t="shared" si="31"/>
        <v>-0.17630534744318282</v>
      </c>
      <c r="S59" s="18">
        <v>353469</v>
      </c>
      <c r="T59" s="20">
        <f t="shared" si="32"/>
        <v>-4.0511084629729632E-2</v>
      </c>
      <c r="U59" s="18">
        <v>150298</v>
      </c>
      <c r="V59" s="20">
        <f t="shared" si="33"/>
        <v>4.8115381641017709</v>
      </c>
      <c r="W59" s="18">
        <v>273128</v>
      </c>
      <c r="X59" s="20">
        <f t="shared" si="34"/>
        <v>0.49832408976954179</v>
      </c>
      <c r="Y59" s="19">
        <f t="shared" si="22"/>
        <v>1121811.29</v>
      </c>
      <c r="Z59" s="20">
        <f t="shared" si="35"/>
        <v>-0.58471081650218215</v>
      </c>
      <c r="AA59" s="18">
        <v>565638</v>
      </c>
      <c r="AB59" s="17">
        <f t="shared" si="36"/>
        <v>1.1830960366500833</v>
      </c>
      <c r="AC59" s="21">
        <f t="shared" si="23"/>
        <v>556173.29</v>
      </c>
      <c r="AD59" s="16">
        <f t="shared" si="37"/>
        <v>-0.77226344818927461</v>
      </c>
    </row>
    <row r="60" spans="1:30" x14ac:dyDescent="0.25">
      <c r="A60" s="67">
        <v>44501</v>
      </c>
      <c r="B60" s="4">
        <v>9747352</v>
      </c>
      <c r="C60" s="10">
        <f t="shared" si="24"/>
        <v>-0.20122580818573443</v>
      </c>
      <c r="D60" s="7">
        <f t="shared" si="19"/>
        <v>4260231.5599999996</v>
      </c>
      <c r="E60" s="10">
        <f t="shared" si="25"/>
        <v>-0.10436179428544101</v>
      </c>
      <c r="F60" s="4">
        <v>5487120.4400000004</v>
      </c>
      <c r="G60" s="16">
        <f t="shared" si="26"/>
        <v>-0.26310231066006073</v>
      </c>
      <c r="H60" s="9">
        <f t="shared" si="20"/>
        <v>0.56293447081833103</v>
      </c>
      <c r="I60" s="21">
        <f t="shared" si="21"/>
        <v>5310032</v>
      </c>
      <c r="J60" s="16">
        <f t="shared" si="27"/>
        <v>9.7345988625281654E-2</v>
      </c>
      <c r="K60" s="18">
        <v>591429</v>
      </c>
      <c r="L60" s="20">
        <f t="shared" si="28"/>
        <v>-7.1767353677906209E-2</v>
      </c>
      <c r="M60" s="18">
        <v>3545585</v>
      </c>
      <c r="N60" s="20">
        <f t="shared" si="29"/>
        <v>9.0376196140612874E-2</v>
      </c>
      <c r="O60" s="18">
        <v>200122</v>
      </c>
      <c r="P60" s="20">
        <f t="shared" si="30"/>
        <v>-2.2526790860335821E-2</v>
      </c>
      <c r="Q60" s="18">
        <v>317288</v>
      </c>
      <c r="R60" s="20">
        <f t="shared" si="31"/>
        <v>0.25089888349208356</v>
      </c>
      <c r="S60" s="18">
        <v>366354</v>
      </c>
      <c r="T60" s="20">
        <f t="shared" si="32"/>
        <v>0.15912067885414882</v>
      </c>
      <c r="U60" s="18">
        <v>48005</v>
      </c>
      <c r="V60" s="20">
        <f t="shared" si="33"/>
        <v>1.3213249516441006</v>
      </c>
      <c r="W60" s="18">
        <v>241249</v>
      </c>
      <c r="X60" s="20">
        <f t="shared" si="34"/>
        <v>0.55655562652833424</v>
      </c>
      <c r="Y60" s="19">
        <f t="shared" si="22"/>
        <v>177088.44000000041</v>
      </c>
      <c r="Z60" s="20">
        <f t="shared" si="35"/>
        <v>-0.93207891664054721</v>
      </c>
      <c r="AA60" s="18">
        <v>649451</v>
      </c>
      <c r="AB60" s="17">
        <f t="shared" si="36"/>
        <v>1.4639055185025001</v>
      </c>
      <c r="AC60" s="21">
        <f t="shared" si="23"/>
        <v>-472362.55999999959</v>
      </c>
      <c r="AD60" s="16">
        <f t="shared" si="37"/>
        <v>-1.2015472408880112</v>
      </c>
    </row>
    <row r="61" spans="1:30" x14ac:dyDescent="0.25">
      <c r="A61" s="67">
        <v>44531</v>
      </c>
      <c r="B61" s="4">
        <v>22718925</v>
      </c>
      <c r="C61" s="10">
        <f t="shared" si="24"/>
        <v>0.83235889221243697</v>
      </c>
      <c r="D61" s="7">
        <f t="shared" si="19"/>
        <v>11151425.91</v>
      </c>
      <c r="E61" s="10">
        <f t="shared" si="25"/>
        <v>1.1477670319119815</v>
      </c>
      <c r="F61" s="4">
        <v>11567499.09</v>
      </c>
      <c r="G61" s="16">
        <f t="shared" si="26"/>
        <v>0.60511931375580308</v>
      </c>
      <c r="H61" s="9">
        <f t="shared" si="20"/>
        <v>0.50915697331629906</v>
      </c>
      <c r="I61" s="21">
        <f t="shared" si="21"/>
        <v>4822542</v>
      </c>
      <c r="J61" s="16">
        <f t="shared" si="27"/>
        <v>2.0830475667931614E-2</v>
      </c>
      <c r="K61" s="18">
        <v>480614</v>
      </c>
      <c r="L61" s="20">
        <f t="shared" si="28"/>
        <v>-0.25172273133487155</v>
      </c>
      <c r="M61" s="18">
        <v>3046229</v>
      </c>
      <c r="N61" s="20">
        <f t="shared" si="29"/>
        <v>1.0841337714422528E-2</v>
      </c>
      <c r="O61" s="18">
        <v>210370</v>
      </c>
      <c r="P61" s="20">
        <f t="shared" si="30"/>
        <v>-3.8874762655605188E-3</v>
      </c>
      <c r="Q61" s="18">
        <v>345950</v>
      </c>
      <c r="R61" s="20">
        <f t="shared" si="31"/>
        <v>0.22307346925788307</v>
      </c>
      <c r="S61" s="18">
        <v>433726</v>
      </c>
      <c r="T61" s="20">
        <f t="shared" si="32"/>
        <v>4.1566506650785096E-2</v>
      </c>
      <c r="U61" s="18">
        <v>25448</v>
      </c>
      <c r="V61" s="20">
        <f t="shared" si="33"/>
        <v>-0.1992448080553807</v>
      </c>
      <c r="W61" s="18">
        <v>280205</v>
      </c>
      <c r="X61" s="20">
        <f t="shared" si="34"/>
        <v>1.2230905325960189</v>
      </c>
      <c r="Y61" s="19">
        <f t="shared" si="22"/>
        <v>6744957.0899999999</v>
      </c>
      <c r="Z61" s="20">
        <f t="shared" si="35"/>
        <v>1.7170097181469788</v>
      </c>
      <c r="AA61" s="18">
        <v>659894</v>
      </c>
      <c r="AB61" s="17">
        <f t="shared" si="36"/>
        <v>1.42801794078364</v>
      </c>
      <c r="AC61" s="21">
        <f t="shared" si="23"/>
        <v>6085063.0899999999</v>
      </c>
      <c r="AD61" s="16">
        <f t="shared" si="37"/>
        <v>1.7525381497266714</v>
      </c>
    </row>
    <row r="62" spans="1:30" x14ac:dyDescent="0.25">
      <c r="A62" s="67">
        <v>44562</v>
      </c>
      <c r="B62" s="4">
        <v>6179301.2800000003</v>
      </c>
      <c r="C62" s="10">
        <f t="shared" si="24"/>
        <v>-7.3252068246355662E-2</v>
      </c>
      <c r="D62" s="7">
        <f t="shared" si="19"/>
        <v>2606104.4900000002</v>
      </c>
      <c r="E62" s="10">
        <f t="shared" si="25"/>
        <v>-2.2343074263597607E-2</v>
      </c>
      <c r="F62" s="4">
        <v>3573196.79</v>
      </c>
      <c r="G62" s="16">
        <f t="shared" si="26"/>
        <v>-0.10716114798000442</v>
      </c>
      <c r="H62" s="9">
        <f t="shared" si="20"/>
        <v>0.57825256094326571</v>
      </c>
      <c r="I62" s="21">
        <f t="shared" si="21"/>
        <v>4426734</v>
      </c>
      <c r="J62" s="16">
        <f t="shared" si="27"/>
        <v>3.7172460959602693E-2</v>
      </c>
      <c r="K62" s="18">
        <v>242045</v>
      </c>
      <c r="L62" s="20">
        <f t="shared" si="28"/>
        <v>-0.42062756869193885</v>
      </c>
      <c r="M62" s="18">
        <v>3294762</v>
      </c>
      <c r="N62" s="20">
        <f t="shared" si="29"/>
        <v>6.2246328053743527E-2</v>
      </c>
      <c r="O62" s="18">
        <v>223469</v>
      </c>
      <c r="P62" s="20">
        <f t="shared" si="30"/>
        <v>0.22320079696976336</v>
      </c>
      <c r="Q62" s="18">
        <v>262379</v>
      </c>
      <c r="R62" s="20">
        <f t="shared" si="31"/>
        <v>0.36828189697431135</v>
      </c>
      <c r="S62" s="18">
        <v>176710</v>
      </c>
      <c r="T62" s="20">
        <f t="shared" si="32"/>
        <v>-0.14027721693270989</v>
      </c>
      <c r="U62" s="18">
        <v>34149</v>
      </c>
      <c r="V62" s="20">
        <f t="shared" si="33"/>
        <v>0.34128043990573453</v>
      </c>
      <c r="W62" s="18">
        <v>193220</v>
      </c>
      <c r="X62" s="20">
        <f t="shared" si="34"/>
        <v>0.34965982593146228</v>
      </c>
      <c r="Y62" s="19">
        <f t="shared" si="22"/>
        <v>-853537.21</v>
      </c>
      <c r="Z62" s="20">
        <f t="shared" si="35"/>
        <v>2.2085861480604554</v>
      </c>
      <c r="AA62" s="18">
        <v>242149</v>
      </c>
      <c r="AB62" s="17">
        <f t="shared" si="36"/>
        <v>-0.22130572920686375</v>
      </c>
      <c r="AC62" s="21">
        <f t="shared" si="23"/>
        <v>-1095686.21</v>
      </c>
      <c r="AD62" s="16">
        <f t="shared" si="37"/>
        <v>0.89898688978896724</v>
      </c>
    </row>
    <row r="63" spans="1:30" x14ac:dyDescent="0.25">
      <c r="A63" s="67">
        <v>44593</v>
      </c>
      <c r="B63" s="4">
        <v>8244750.7699999996</v>
      </c>
      <c r="C63" s="10">
        <f t="shared" si="24"/>
        <v>8.3125998752495267E-2</v>
      </c>
      <c r="D63" s="7">
        <f t="shared" si="19"/>
        <v>3452192.7699999996</v>
      </c>
      <c r="E63" s="10">
        <f t="shared" si="25"/>
        <v>0.23460250011356476</v>
      </c>
      <c r="F63" s="4">
        <v>4792558</v>
      </c>
      <c r="G63" s="16">
        <f t="shared" si="26"/>
        <v>-4.8258292682370474E-3</v>
      </c>
      <c r="H63" s="9">
        <f t="shared" si="20"/>
        <v>0.58128597621635569</v>
      </c>
      <c r="I63" s="21">
        <f t="shared" si="21"/>
        <v>3998447</v>
      </c>
      <c r="J63" s="16">
        <f t="shared" si="27"/>
        <v>-3.1696644470184387E-2</v>
      </c>
      <c r="K63" s="18">
        <v>291579</v>
      </c>
      <c r="L63" s="20">
        <f t="shared" si="28"/>
        <v>-0.40240408263649774</v>
      </c>
      <c r="M63" s="18">
        <v>2794117</v>
      </c>
      <c r="N63" s="20">
        <f t="shared" si="29"/>
        <v>8.7832888258443376E-4</v>
      </c>
      <c r="O63" s="18">
        <v>228739</v>
      </c>
      <c r="P63" s="20">
        <f t="shared" si="30"/>
        <v>0.21595300746883561</v>
      </c>
      <c r="Q63" s="18">
        <v>225941</v>
      </c>
      <c r="R63" s="20">
        <f t="shared" si="31"/>
        <v>4.549556011086997E-2</v>
      </c>
      <c r="S63" s="18">
        <v>261943</v>
      </c>
      <c r="T63" s="20">
        <f t="shared" si="32"/>
        <v>-0.1753618808358991</v>
      </c>
      <c r="U63" s="18">
        <v>36972</v>
      </c>
      <c r="V63" s="20">
        <f t="shared" si="33"/>
        <v>0.75305832147937402</v>
      </c>
      <c r="W63" s="18">
        <v>159156</v>
      </c>
      <c r="X63" s="20">
        <f t="shared" si="34"/>
        <v>0.49039217889650533</v>
      </c>
      <c r="Y63" s="19">
        <f t="shared" si="22"/>
        <v>794111</v>
      </c>
      <c r="Z63" s="20">
        <f t="shared" si="35"/>
        <v>0.15681170271088218</v>
      </c>
      <c r="AA63" s="18">
        <v>403970.69</v>
      </c>
      <c r="AB63" s="17">
        <f t="shared" si="36"/>
        <v>0.1587542201505916</v>
      </c>
      <c r="AC63" s="21">
        <f t="shared" si="23"/>
        <v>390140.31</v>
      </c>
      <c r="AD63" s="16">
        <f t="shared" si="37"/>
        <v>0.1548071748236497</v>
      </c>
    </row>
    <row r="64" spans="1:30" x14ac:dyDescent="0.25">
      <c r="A64" s="67">
        <v>44621</v>
      </c>
      <c r="B64" s="4">
        <v>17640985.559999999</v>
      </c>
      <c r="C64" s="10">
        <f t="shared" si="24"/>
        <v>0.46106746549352695</v>
      </c>
      <c r="D64" s="7">
        <f t="shared" si="19"/>
        <v>8741360.8699999992</v>
      </c>
      <c r="E64" s="10">
        <f t="shared" si="25"/>
        <v>0.58216426926729037</v>
      </c>
      <c r="F64" s="4">
        <v>8899624.6899999995</v>
      </c>
      <c r="G64" s="16">
        <f t="shared" si="26"/>
        <v>0.35890801993280874</v>
      </c>
      <c r="H64" s="9">
        <f t="shared" si="20"/>
        <v>0.50448568532244753</v>
      </c>
      <c r="I64" s="21">
        <f t="shared" si="21"/>
        <v>4316014</v>
      </c>
      <c r="J64" s="16">
        <f t="shared" si="27"/>
        <v>-6.2403614817711284E-2</v>
      </c>
      <c r="K64" s="18">
        <v>289788</v>
      </c>
      <c r="L64" s="20">
        <f t="shared" si="28"/>
        <v>-0.48778534878171642</v>
      </c>
      <c r="M64" s="18">
        <v>2985328</v>
      </c>
      <c r="N64" s="20">
        <f t="shared" si="29"/>
        <v>9.0711665057876312E-2</v>
      </c>
      <c r="O64" s="18">
        <v>199610</v>
      </c>
      <c r="P64" s="20">
        <f t="shared" si="30"/>
        <v>3.6746565559508726E-2</v>
      </c>
      <c r="Q64" s="18">
        <v>233460</v>
      </c>
      <c r="R64" s="20">
        <f t="shared" si="31"/>
        <v>-4.7405315858624619E-2</v>
      </c>
      <c r="S64" s="18">
        <v>364138</v>
      </c>
      <c r="T64" s="20">
        <f t="shared" si="32"/>
        <v>-0.19952957210846223</v>
      </c>
      <c r="U64" s="18">
        <v>41983</v>
      </c>
      <c r="V64" s="20">
        <f t="shared" si="33"/>
        <v>0.27155707665747952</v>
      </c>
      <c r="W64" s="18">
        <v>201707</v>
      </c>
      <c r="X64" s="20">
        <f t="shared" si="34"/>
        <v>-0.46202715641744385</v>
      </c>
      <c r="Y64" s="19">
        <f t="shared" si="22"/>
        <v>4583610.6899999995</v>
      </c>
      <c r="Z64" s="20">
        <f t="shared" si="35"/>
        <v>1.355612855097621</v>
      </c>
      <c r="AA64" s="18">
        <v>412537.98</v>
      </c>
      <c r="AB64" s="17">
        <f t="shared" si="36"/>
        <v>-0.14758363759213</v>
      </c>
      <c r="AC64" s="21">
        <f t="shared" si="23"/>
        <v>4171072.7099999995</v>
      </c>
      <c r="AD64" s="16">
        <f t="shared" si="37"/>
        <v>1.8532599787642079</v>
      </c>
    </row>
    <row r="65" spans="1:30" x14ac:dyDescent="0.25">
      <c r="A65" s="67">
        <v>44652</v>
      </c>
      <c r="B65" s="4">
        <v>16545016.859999999</v>
      </c>
      <c r="C65" s="10">
        <f t="shared" si="24"/>
        <v>0.22439299622758568</v>
      </c>
      <c r="D65" s="7">
        <f t="shared" si="19"/>
        <v>7306042.8899999987</v>
      </c>
      <c r="E65" s="10">
        <f t="shared" si="25"/>
        <v>0.29471424087777076</v>
      </c>
      <c r="F65" s="4">
        <v>9238973.9700000007</v>
      </c>
      <c r="G65" s="16">
        <f t="shared" si="26"/>
        <v>0.17397006143508498</v>
      </c>
      <c r="H65" s="9">
        <f t="shared" si="20"/>
        <v>0.55841429768116901</v>
      </c>
      <c r="I65" s="21">
        <f t="shared" si="21"/>
        <v>5696313</v>
      </c>
      <c r="J65" s="16">
        <f t="shared" si="27"/>
        <v>7.4774597943463306E-2</v>
      </c>
      <c r="K65" s="18">
        <v>648404</v>
      </c>
      <c r="L65" s="20">
        <f t="shared" si="28"/>
        <v>7.9015067011181772E-2</v>
      </c>
      <c r="M65" s="18">
        <v>3894547</v>
      </c>
      <c r="N65" s="20">
        <f t="shared" si="29"/>
        <v>0.2089306129696249</v>
      </c>
      <c r="O65" s="18">
        <v>210468</v>
      </c>
      <c r="P65" s="20">
        <f t="shared" si="30"/>
        <v>9.4585528471351932E-2</v>
      </c>
      <c r="Q65" s="18">
        <v>258813</v>
      </c>
      <c r="R65" s="20">
        <f t="shared" si="31"/>
        <v>0.19056337315478844</v>
      </c>
      <c r="S65" s="18">
        <v>362901</v>
      </c>
      <c r="T65" s="20">
        <f t="shared" si="32"/>
        <v>-0.26789014145880907</v>
      </c>
      <c r="U65" s="18">
        <v>80672</v>
      </c>
      <c r="V65" s="20">
        <f t="shared" si="33"/>
        <v>0.42704003113336042</v>
      </c>
      <c r="W65" s="18">
        <v>240508</v>
      </c>
      <c r="X65" s="20">
        <f t="shared" si="34"/>
        <v>-0.53363983455914432</v>
      </c>
      <c r="Y65" s="19">
        <f t="shared" si="22"/>
        <v>3542660.9700000007</v>
      </c>
      <c r="Z65" s="20">
        <f t="shared" si="35"/>
        <v>0.37854897582375857</v>
      </c>
      <c r="AA65" s="18">
        <v>399448.49</v>
      </c>
      <c r="AB65" s="17">
        <f t="shared" si="36"/>
        <v>-2.1592670428938199E-2</v>
      </c>
      <c r="AC65" s="21">
        <f t="shared" si="23"/>
        <v>3143212.4800000004</v>
      </c>
      <c r="AD65" s="16">
        <f t="shared" si="37"/>
        <v>0.45412477982462995</v>
      </c>
    </row>
    <row r="66" spans="1:30" x14ac:dyDescent="0.25">
      <c r="A66" s="67">
        <v>44682</v>
      </c>
      <c r="B66" s="4">
        <v>14569736.24</v>
      </c>
      <c r="C66" s="10">
        <f t="shared" si="24"/>
        <v>0.27666349149363345</v>
      </c>
      <c r="D66" s="7">
        <f t="shared" ref="D66:D73" si="38">B66-F66</f>
        <v>6047198.2599999998</v>
      </c>
      <c r="E66" s="10">
        <f t="shared" si="25"/>
        <v>0.25837445454340835</v>
      </c>
      <c r="F66" s="4">
        <v>8522537.9800000004</v>
      </c>
      <c r="G66" s="16">
        <f t="shared" si="26"/>
        <v>0.28996633810569516</v>
      </c>
      <c r="H66" s="9">
        <f t="shared" ref="H66:H73" si="39">F66/B66</f>
        <v>0.58494799354034155</v>
      </c>
      <c r="I66" s="21">
        <f t="shared" ref="I66:I73" si="40">K66+M66+O66+Q66+S66+U66+W66</f>
        <v>5782425</v>
      </c>
      <c r="J66" s="16">
        <f t="shared" si="27"/>
        <v>0.10677931940945729</v>
      </c>
      <c r="K66" s="18">
        <v>423876</v>
      </c>
      <c r="L66" s="20">
        <f t="shared" si="28"/>
        <v>-0.15382526969728427</v>
      </c>
      <c r="M66" s="18">
        <v>4166343</v>
      </c>
      <c r="N66" s="20">
        <f t="shared" si="29"/>
        <v>0.17858773475755507</v>
      </c>
      <c r="O66" s="18">
        <v>191348</v>
      </c>
      <c r="P66" s="20">
        <f t="shared" si="30"/>
        <v>2.031588264778339E-2</v>
      </c>
      <c r="Q66" s="18">
        <v>290330</v>
      </c>
      <c r="R66" s="20">
        <f t="shared" si="31"/>
        <v>0.27063529576527845</v>
      </c>
      <c r="S66" s="18">
        <v>350630</v>
      </c>
      <c r="T66" s="20">
        <f t="shared" si="32"/>
        <v>-0.16585185978184591</v>
      </c>
      <c r="U66" s="18">
        <v>113413</v>
      </c>
      <c r="V66" s="20">
        <f t="shared" si="33"/>
        <v>1.3976364635744787</v>
      </c>
      <c r="W66" s="18">
        <v>246485</v>
      </c>
      <c r="X66" s="20">
        <f t="shared" si="34"/>
        <v>-0.19161922128351783</v>
      </c>
      <c r="Y66" s="19">
        <f t="shared" ref="Y66:Y73" si="41">F66-I66</f>
        <v>2740112.9800000004</v>
      </c>
      <c r="Z66" s="20">
        <f t="shared" si="35"/>
        <v>0.98237136808637704</v>
      </c>
      <c r="AA66" s="18">
        <v>428315.87</v>
      </c>
      <c r="AB66" s="17">
        <f t="shared" si="36"/>
        <v>6.7283648215611613E-2</v>
      </c>
      <c r="AC66" s="21">
        <f t="shared" ref="AC66:AC73" si="42">Y66-AA66</f>
        <v>2311797.1100000003</v>
      </c>
      <c r="AD66" s="16">
        <f t="shared" si="37"/>
        <v>1.3567497788492684</v>
      </c>
    </row>
    <row r="67" spans="1:30" x14ac:dyDescent="0.25">
      <c r="A67" s="67">
        <v>44713</v>
      </c>
      <c r="B67" s="4">
        <v>14177801.85</v>
      </c>
      <c r="C67" s="10">
        <f t="shared" si="24"/>
        <v>0.21238257284722772</v>
      </c>
      <c r="D67" s="7">
        <f t="shared" si="38"/>
        <v>5720184.2699999996</v>
      </c>
      <c r="E67" s="10">
        <f t="shared" si="25"/>
        <v>8.8711422420439723E-2</v>
      </c>
      <c r="F67" s="4">
        <v>8457617.5800000001</v>
      </c>
      <c r="G67" s="16">
        <f t="shared" si="26"/>
        <v>0.31327870016684756</v>
      </c>
      <c r="H67" s="9">
        <f t="shared" si="39"/>
        <v>0.59653941206689953</v>
      </c>
      <c r="I67" s="21">
        <f t="shared" si="40"/>
        <v>5868170</v>
      </c>
      <c r="J67" s="16">
        <f t="shared" si="27"/>
        <v>5.1940466949621733E-2</v>
      </c>
      <c r="K67" s="18">
        <v>462917</v>
      </c>
      <c r="L67" s="20">
        <f t="shared" si="28"/>
        <v>-0.22510481164787577</v>
      </c>
      <c r="M67" s="18">
        <v>4182396</v>
      </c>
      <c r="N67" s="20">
        <f t="shared" si="29"/>
        <v>0.16509005332386928</v>
      </c>
      <c r="O67" s="18">
        <v>191056</v>
      </c>
      <c r="P67" s="20">
        <f t="shared" si="30"/>
        <v>3.5561939347949822E-2</v>
      </c>
      <c r="Q67" s="18">
        <v>420201</v>
      </c>
      <c r="R67" s="20">
        <f t="shared" si="31"/>
        <v>0.24830964660028054</v>
      </c>
      <c r="S67" s="18">
        <v>370913</v>
      </c>
      <c r="T67" s="20">
        <f t="shared" si="32"/>
        <v>-9.8677831750992095E-2</v>
      </c>
      <c r="U67" s="18">
        <v>58970</v>
      </c>
      <c r="V67" s="20">
        <f t="shared" si="33"/>
        <v>-0.21650169401448216</v>
      </c>
      <c r="W67" s="18">
        <v>181717</v>
      </c>
      <c r="X67" s="20">
        <f t="shared" si="34"/>
        <v>-0.52600346399841413</v>
      </c>
      <c r="Y67" s="19">
        <f t="shared" si="41"/>
        <v>2589447.58</v>
      </c>
      <c r="Z67" s="20">
        <f t="shared" si="35"/>
        <v>2.0052051159874229</v>
      </c>
      <c r="AA67" s="18">
        <v>387657.79</v>
      </c>
      <c r="AB67" s="17">
        <f t="shared" si="36"/>
        <v>-3.3970968626180653E-2</v>
      </c>
      <c r="AC67" s="21">
        <f t="shared" si="42"/>
        <v>2201789.79</v>
      </c>
      <c r="AD67" s="16">
        <f t="shared" si="37"/>
        <v>3.7827129864292832</v>
      </c>
    </row>
    <row r="68" spans="1:30" x14ac:dyDescent="0.25">
      <c r="A68" s="67">
        <v>44743</v>
      </c>
      <c r="B68" s="4">
        <v>12722329.810000001</v>
      </c>
      <c r="C68" s="10">
        <f t="shared" si="24"/>
        <v>0.16712840006091456</v>
      </c>
      <c r="D68" s="7">
        <f t="shared" si="38"/>
        <v>5137360.5900000008</v>
      </c>
      <c r="E68" s="10">
        <f t="shared" si="25"/>
        <v>3.0870148467770697E-2</v>
      </c>
      <c r="F68" s="4">
        <v>7584969.2199999997</v>
      </c>
      <c r="G68" s="16">
        <f t="shared" si="26"/>
        <v>0.28188977962065387</v>
      </c>
      <c r="H68" s="9">
        <f t="shared" si="39"/>
        <v>0.59619341215616539</v>
      </c>
      <c r="I68" s="21">
        <f t="shared" si="40"/>
        <v>5754502</v>
      </c>
      <c r="J68" s="16">
        <f t="shared" si="27"/>
        <v>0.12264083582429652</v>
      </c>
      <c r="K68" s="18">
        <v>448405</v>
      </c>
      <c r="L68" s="20">
        <f t="shared" si="28"/>
        <v>-0.29869217872201992</v>
      </c>
      <c r="M68" s="18">
        <v>4156562</v>
      </c>
      <c r="N68" s="20">
        <f t="shared" si="29"/>
        <v>0.2846817164686537</v>
      </c>
      <c r="O68" s="18">
        <v>206430</v>
      </c>
      <c r="P68" s="20">
        <f t="shared" si="30"/>
        <v>0.16851579304879438</v>
      </c>
      <c r="Q68" s="18">
        <v>298979</v>
      </c>
      <c r="R68" s="20">
        <f t="shared" si="31"/>
        <v>-6.1735252674556151E-2</v>
      </c>
      <c r="S68" s="18">
        <v>433228</v>
      </c>
      <c r="T68" s="20">
        <f t="shared" si="32"/>
        <v>6.6953664891809206E-2</v>
      </c>
      <c r="U68" s="18">
        <v>66529</v>
      </c>
      <c r="V68" s="20">
        <f t="shared" si="33"/>
        <v>-0.4225665060972964</v>
      </c>
      <c r="W68" s="18">
        <v>144369</v>
      </c>
      <c r="X68" s="20">
        <f t="shared" si="34"/>
        <v>-0.38417011474640617</v>
      </c>
      <c r="Y68" s="19">
        <f t="shared" si="41"/>
        <v>1830467.2199999997</v>
      </c>
      <c r="Z68" s="20">
        <f t="shared" si="35"/>
        <v>1.3136516982665571</v>
      </c>
      <c r="AA68" s="18">
        <v>613459.22</v>
      </c>
      <c r="AB68" s="17">
        <f t="shared" si="36"/>
        <v>0.39104191089937346</v>
      </c>
      <c r="AC68" s="21">
        <f t="shared" si="42"/>
        <v>1217007.9999999998</v>
      </c>
      <c r="AD68" s="16">
        <f t="shared" si="37"/>
        <v>2.4756526137464081</v>
      </c>
    </row>
    <row r="69" spans="1:30" x14ac:dyDescent="0.25">
      <c r="A69" s="67">
        <v>44774</v>
      </c>
      <c r="B69" s="4">
        <v>14065414.59</v>
      </c>
      <c r="C69" s="10">
        <f t="shared" si="24"/>
        <v>0.24451483667474028</v>
      </c>
      <c r="D69" s="7">
        <f t="shared" si="38"/>
        <v>6105535.5199999996</v>
      </c>
      <c r="E69" s="10">
        <f t="shared" si="25"/>
        <v>0.25135281714782343</v>
      </c>
      <c r="F69" s="4">
        <v>7959879.0700000003</v>
      </c>
      <c r="G69" s="16">
        <f t="shared" si="26"/>
        <v>0.2393202747535077</v>
      </c>
      <c r="H69" s="9">
        <f t="shared" si="39"/>
        <v>0.56591855284942583</v>
      </c>
      <c r="I69" s="21">
        <f t="shared" si="40"/>
        <v>5793847</v>
      </c>
      <c r="J69" s="16">
        <f t="shared" si="27"/>
        <v>0.14531900269613707</v>
      </c>
      <c r="K69" s="18">
        <v>463731</v>
      </c>
      <c r="L69" s="20">
        <f t="shared" si="28"/>
        <v>-0.39488906606190066</v>
      </c>
      <c r="M69" s="18">
        <v>4209870</v>
      </c>
      <c r="N69" s="20">
        <f t="shared" si="29"/>
        <v>0.31131808357247714</v>
      </c>
      <c r="O69" s="18">
        <v>174202</v>
      </c>
      <c r="P69" s="20">
        <f t="shared" si="30"/>
        <v>-1.5969135000480139E-2</v>
      </c>
      <c r="Q69" s="18">
        <v>332911</v>
      </c>
      <c r="R69" s="20">
        <f t="shared" si="31"/>
        <v>0.23539212848544233</v>
      </c>
      <c r="S69" s="18">
        <v>404880</v>
      </c>
      <c r="T69" s="20">
        <f t="shared" si="32"/>
        <v>0.13787550481843391</v>
      </c>
      <c r="U69" s="18">
        <v>63543</v>
      </c>
      <c r="V69" s="20">
        <f t="shared" si="33"/>
        <v>7.2980868273078814E-2</v>
      </c>
      <c r="W69" s="18">
        <v>144710</v>
      </c>
      <c r="X69" s="20">
        <f t="shared" si="34"/>
        <v>-0.34342701064418657</v>
      </c>
      <c r="Y69" s="19">
        <f t="shared" si="41"/>
        <v>2166032.0700000003</v>
      </c>
      <c r="Z69" s="20">
        <f t="shared" si="35"/>
        <v>0.58793129529156962</v>
      </c>
      <c r="AA69" s="18">
        <v>586597.53</v>
      </c>
      <c r="AB69" s="17">
        <f t="shared" si="36"/>
        <v>0.15706784832997678</v>
      </c>
      <c r="AC69" s="21">
        <f t="shared" si="42"/>
        <v>1579434.5400000003</v>
      </c>
      <c r="AD69" s="16">
        <f t="shared" si="37"/>
        <v>0.84278713954517337</v>
      </c>
    </row>
    <row r="70" spans="1:30" x14ac:dyDescent="0.25">
      <c r="A70" s="67">
        <v>44805</v>
      </c>
      <c r="B70" s="4">
        <v>13465585.890000001</v>
      </c>
      <c r="C70" s="10">
        <f t="shared" si="24"/>
        <v>6.0257725509525573E-2</v>
      </c>
      <c r="D70" s="7">
        <f t="shared" si="38"/>
        <v>5783694.9200000009</v>
      </c>
      <c r="E70" s="10">
        <f t="shared" si="25"/>
        <v>-6.5027106059185602E-3</v>
      </c>
      <c r="F70" s="4">
        <v>7681890.9699999997</v>
      </c>
      <c r="G70" s="16">
        <f t="shared" si="26"/>
        <v>0.11675775756639495</v>
      </c>
      <c r="H70" s="9">
        <f t="shared" si="39"/>
        <v>0.57048323279455904</v>
      </c>
      <c r="I70" s="21">
        <f t="shared" si="40"/>
        <v>5941806</v>
      </c>
      <c r="J70" s="16">
        <f t="shared" si="27"/>
        <v>9.4879309661768607E-2</v>
      </c>
      <c r="K70" s="18">
        <v>454389</v>
      </c>
      <c r="L70" s="20">
        <f t="shared" si="28"/>
        <v>-0.51007687580191274</v>
      </c>
      <c r="M70" s="18">
        <v>4227841</v>
      </c>
      <c r="N70" s="20">
        <f t="shared" si="29"/>
        <v>0.27604005854069014</v>
      </c>
      <c r="O70" s="18">
        <v>183254</v>
      </c>
      <c r="P70" s="20">
        <f t="shared" si="30"/>
        <v>1.9346297614809549E-2</v>
      </c>
      <c r="Q70" s="18">
        <v>303809</v>
      </c>
      <c r="R70" s="20">
        <f t="shared" si="31"/>
        <v>4.8369175132508824E-2</v>
      </c>
      <c r="S70" s="18">
        <v>456571</v>
      </c>
      <c r="T70" s="20">
        <f t="shared" si="32"/>
        <v>-2.5168727407821723E-2</v>
      </c>
      <c r="U70" s="18">
        <v>75998</v>
      </c>
      <c r="V70" s="20">
        <f t="shared" si="33"/>
        <v>2.2275429770520105E-2</v>
      </c>
      <c r="W70" s="18">
        <v>239944</v>
      </c>
      <c r="X70" s="20">
        <f t="shared" si="34"/>
        <v>0.37966247879711346</v>
      </c>
      <c r="Y70" s="19">
        <f t="shared" si="41"/>
        <v>1740084.9699999997</v>
      </c>
      <c r="Z70" s="20">
        <f t="shared" si="35"/>
        <v>0.19853834090526923</v>
      </c>
      <c r="AA70" s="18">
        <v>574510.71</v>
      </c>
      <c r="AB70" s="17">
        <f t="shared" si="36"/>
        <v>1.2087945191482596E-2</v>
      </c>
      <c r="AC70" s="21">
        <f t="shared" si="42"/>
        <v>1165574.2599999998</v>
      </c>
      <c r="AD70" s="16">
        <f t="shared" si="37"/>
        <v>0.31823925851611445</v>
      </c>
    </row>
    <row r="71" spans="1:30" x14ac:dyDescent="0.25">
      <c r="A71" s="67">
        <v>44835</v>
      </c>
      <c r="B71" s="4">
        <v>16183936.4</v>
      </c>
      <c r="C71" s="10">
        <f t="shared" si="24"/>
        <v>0.35931328539937768</v>
      </c>
      <c r="D71" s="7">
        <f t="shared" si="38"/>
        <v>6579027.4199999999</v>
      </c>
      <c r="E71" s="10">
        <f t="shared" si="25"/>
        <v>0.26552595798458634</v>
      </c>
      <c r="F71" s="4">
        <v>9604908.9800000004</v>
      </c>
      <c r="G71" s="16">
        <f t="shared" si="26"/>
        <v>0.43200520576768753</v>
      </c>
      <c r="H71" s="9">
        <f t="shared" si="39"/>
        <v>0.59348410316293632</v>
      </c>
      <c r="I71" s="21">
        <f t="shared" si="40"/>
        <v>5617857</v>
      </c>
      <c r="J71" s="16">
        <f t="shared" si="27"/>
        <v>5.7924953222654452E-3</v>
      </c>
      <c r="K71" s="18">
        <v>336427</v>
      </c>
      <c r="L71" s="20">
        <f t="shared" si="28"/>
        <v>-0.54856313973023307</v>
      </c>
      <c r="M71" s="18">
        <v>4068037</v>
      </c>
      <c r="N71" s="20">
        <f t="shared" si="29"/>
        <v>0.12008168702371846</v>
      </c>
      <c r="O71" s="18">
        <v>195519</v>
      </c>
      <c r="P71" s="20">
        <f t="shared" si="30"/>
        <v>3.7907823631209592E-2</v>
      </c>
      <c r="Q71" s="18">
        <v>300535</v>
      </c>
      <c r="R71" s="20">
        <f t="shared" si="31"/>
        <v>0.23634725587556504</v>
      </c>
      <c r="S71" s="18">
        <v>531444</v>
      </c>
      <c r="T71" s="20">
        <f t="shared" si="32"/>
        <v>0.50350950154044627</v>
      </c>
      <c r="U71" s="18">
        <v>61317</v>
      </c>
      <c r="V71" s="20">
        <f t="shared" si="33"/>
        <v>-0.59203049940784314</v>
      </c>
      <c r="W71" s="18">
        <v>124578</v>
      </c>
      <c r="X71" s="20">
        <f t="shared" si="34"/>
        <v>-0.54388418616912215</v>
      </c>
      <c r="Y71" s="19">
        <f t="shared" si="41"/>
        <v>3987051.9800000004</v>
      </c>
      <c r="Z71" s="20">
        <f t="shared" si="35"/>
        <v>2.5541200338605972</v>
      </c>
      <c r="AA71" s="18">
        <v>578696.47</v>
      </c>
      <c r="AB71" s="17">
        <f t="shared" si="36"/>
        <v>2.3086267188555221E-2</v>
      </c>
      <c r="AC71" s="21">
        <f t="shared" si="42"/>
        <v>3408355.5100000007</v>
      </c>
      <c r="AD71" s="16">
        <f t="shared" si="37"/>
        <v>5.1282258089021147</v>
      </c>
    </row>
    <row r="72" spans="1:30" x14ac:dyDescent="0.25">
      <c r="A72" s="67">
        <v>44866</v>
      </c>
      <c r="B72" s="4">
        <v>10971669.289999999</v>
      </c>
      <c r="C72" s="10">
        <f t="shared" si="24"/>
        <v>0.12560511716412814</v>
      </c>
      <c r="D72" s="7">
        <f t="shared" si="38"/>
        <v>4394369.629999999</v>
      </c>
      <c r="E72" s="10">
        <f t="shared" si="25"/>
        <v>3.14860983753662E-2</v>
      </c>
      <c r="F72" s="4">
        <v>6577299.6600000001</v>
      </c>
      <c r="G72" s="16">
        <f t="shared" si="26"/>
        <v>0.19867965938068588</v>
      </c>
      <c r="H72" s="9">
        <f t="shared" si="39"/>
        <v>0.59948030569922517</v>
      </c>
      <c r="I72" s="21">
        <f t="shared" si="40"/>
        <v>5515873</v>
      </c>
      <c r="J72" s="16">
        <f t="shared" si="27"/>
        <v>3.8764549818155469E-2</v>
      </c>
      <c r="K72" s="18">
        <v>365430</v>
      </c>
      <c r="L72" s="20">
        <f t="shared" si="28"/>
        <v>-0.38212363614229261</v>
      </c>
      <c r="M72" s="18">
        <v>4094214</v>
      </c>
      <c r="N72" s="20">
        <f t="shared" si="29"/>
        <v>0.15473581933587832</v>
      </c>
      <c r="O72" s="18">
        <v>203505</v>
      </c>
      <c r="P72" s="20">
        <f t="shared" si="30"/>
        <v>1.6904688140234381E-2</v>
      </c>
      <c r="Q72" s="18">
        <v>290354</v>
      </c>
      <c r="R72" s="20">
        <f t="shared" si="31"/>
        <v>-8.4888177302639867E-2</v>
      </c>
      <c r="S72" s="18">
        <v>388398</v>
      </c>
      <c r="T72" s="20">
        <f t="shared" si="32"/>
        <v>6.0171309716831267E-2</v>
      </c>
      <c r="U72" s="18">
        <v>67722</v>
      </c>
      <c r="V72" s="20">
        <f t="shared" si="33"/>
        <v>0.41072804916154571</v>
      </c>
      <c r="W72" s="18">
        <v>106250</v>
      </c>
      <c r="X72" s="20">
        <f t="shared" si="34"/>
        <v>-0.55958366666804837</v>
      </c>
      <c r="Y72" s="19">
        <f t="shared" si="41"/>
        <v>1061426.6600000001</v>
      </c>
      <c r="Z72" s="20">
        <f t="shared" si="35"/>
        <v>4.9937659397756153</v>
      </c>
      <c r="AA72" s="18">
        <v>597853.85</v>
      </c>
      <c r="AB72" s="17">
        <f t="shared" si="36"/>
        <v>-7.9447333209125892E-2</v>
      </c>
      <c r="AC72" s="21">
        <f t="shared" si="42"/>
        <v>463572.81000000017</v>
      </c>
      <c r="AD72" s="16">
        <f t="shared" si="37"/>
        <v>-1.9813919418168973</v>
      </c>
    </row>
    <row r="73" spans="1:30" x14ac:dyDescent="0.25">
      <c r="A73" s="67">
        <v>44896</v>
      </c>
      <c r="B73" s="4">
        <v>14337958.02</v>
      </c>
      <c r="C73" s="10">
        <f t="shared" si="24"/>
        <v>-0.36889804337133036</v>
      </c>
      <c r="D73" s="7">
        <f t="shared" si="38"/>
        <v>6021602.5499999998</v>
      </c>
      <c r="E73" s="10">
        <f t="shared" si="25"/>
        <v>-0.46001501524570509</v>
      </c>
      <c r="F73" s="4">
        <v>8316355.4699999997</v>
      </c>
      <c r="G73" s="16">
        <f t="shared" si="26"/>
        <v>-0.28105847207808166</v>
      </c>
      <c r="H73" s="9">
        <f t="shared" si="39"/>
        <v>0.58002370061340158</v>
      </c>
      <c r="I73" s="21">
        <f t="shared" si="40"/>
        <v>5500235</v>
      </c>
      <c r="J73" s="16">
        <f t="shared" si="27"/>
        <v>0.14052609598838117</v>
      </c>
      <c r="K73" s="18">
        <v>351089</v>
      </c>
      <c r="L73" s="20">
        <f t="shared" si="28"/>
        <v>-0.26949901584223512</v>
      </c>
      <c r="M73" s="18">
        <v>3908270</v>
      </c>
      <c r="N73" s="20">
        <f t="shared" si="29"/>
        <v>0.28298627581839719</v>
      </c>
      <c r="O73" s="18">
        <v>206944</v>
      </c>
      <c r="P73" s="20">
        <f t="shared" si="30"/>
        <v>-1.6285592052098674E-2</v>
      </c>
      <c r="Q73" s="18">
        <v>349950</v>
      </c>
      <c r="R73" s="20">
        <f t="shared" si="31"/>
        <v>1.1562364503540978E-2</v>
      </c>
      <c r="S73" s="18">
        <v>507845</v>
      </c>
      <c r="T73" s="20">
        <f t="shared" si="32"/>
        <v>0.17088899443427419</v>
      </c>
      <c r="U73" s="18">
        <v>75141</v>
      </c>
      <c r="V73" s="20">
        <f t="shared" si="33"/>
        <v>1.9527271298333857</v>
      </c>
      <c r="W73" s="18">
        <v>100996</v>
      </c>
      <c r="X73" s="20">
        <f t="shared" si="34"/>
        <v>-0.63956389072286357</v>
      </c>
      <c r="Y73" s="19">
        <f t="shared" si="41"/>
        <v>2816120.4699999997</v>
      </c>
      <c r="Z73" s="20">
        <f t="shared" si="35"/>
        <v>-0.58248504291077707</v>
      </c>
      <c r="AA73" s="18">
        <v>580110.18999999994</v>
      </c>
      <c r="AB73" s="17">
        <f t="shared" si="36"/>
        <v>-0.12090397851776202</v>
      </c>
      <c r="AC73" s="21">
        <f t="shared" si="42"/>
        <v>2236010.2799999998</v>
      </c>
      <c r="AD73" s="16">
        <f t="shared" si="37"/>
        <v>-0.63254115085929208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A3234-4360-46AD-A4A5-FE6D9F1101C4}">
  <sheetPr codeName="Sheet18"/>
  <dimension ref="A1:E9"/>
  <sheetViews>
    <sheetView workbookViewId="0">
      <selection activeCell="A2" sqref="A2:A9"/>
    </sheetView>
  </sheetViews>
  <sheetFormatPr defaultRowHeight="15" x14ac:dyDescent="0.25"/>
  <cols>
    <col min="1" max="1" width="11.85546875" bestFit="1" customWidth="1"/>
    <col min="2" max="2" width="19.140625" customWidth="1"/>
    <col min="3" max="3" width="28" customWidth="1"/>
    <col min="4" max="4" width="42.7109375" customWidth="1"/>
    <col min="5" max="5" width="42.85546875" customWidth="1"/>
  </cols>
  <sheetData>
    <row r="1" spans="1:5" x14ac:dyDescent="0.25">
      <c r="A1" t="s">
        <v>24</v>
      </c>
      <c r="B1" t="s">
        <v>0</v>
      </c>
      <c r="C1" t="s">
        <v>139</v>
      </c>
      <c r="D1" t="s">
        <v>140</v>
      </c>
      <c r="E1" t="s">
        <v>141</v>
      </c>
    </row>
    <row r="2" spans="1:5" x14ac:dyDescent="0.25">
      <c r="A2" s="74">
        <v>42736</v>
      </c>
      <c r="B2" s="39">
        <v>0.51091155126629628</v>
      </c>
    </row>
    <row r="3" spans="1:5" x14ac:dyDescent="0.25">
      <c r="A3" s="74">
        <v>43101</v>
      </c>
      <c r="B3" s="39">
        <v>0.57538159500922248</v>
      </c>
    </row>
    <row r="4" spans="1:5" x14ac:dyDescent="0.25">
      <c r="A4" s="74">
        <v>43466</v>
      </c>
      <c r="B4" s="39">
        <v>0.58090882713926717</v>
      </c>
    </row>
    <row r="5" spans="1:5" x14ac:dyDescent="0.25">
      <c r="A5" s="74">
        <v>43831</v>
      </c>
      <c r="B5" s="39">
        <v>0.57460508069201599</v>
      </c>
    </row>
    <row r="6" spans="1:5" x14ac:dyDescent="0.25">
      <c r="A6" s="74">
        <v>44197</v>
      </c>
      <c r="B6" s="39">
        <v>0.56462393089253571</v>
      </c>
    </row>
    <row r="7" spans="1:5" x14ac:dyDescent="0.25">
      <c r="A7" s="74">
        <v>44562</v>
      </c>
      <c r="B7" s="39">
        <v>0.57579243608718267</v>
      </c>
      <c r="C7" s="39">
        <v>0.57579243608718267</v>
      </c>
      <c r="D7" s="39">
        <v>0.57579243608718267</v>
      </c>
      <c r="E7" s="39">
        <v>0.57579243608718267</v>
      </c>
    </row>
    <row r="8" spans="1:5" x14ac:dyDescent="0.25">
      <c r="A8" s="74">
        <v>44927</v>
      </c>
      <c r="C8" s="39">
        <f>_xlfn.FORECAST.ETS(A8,$B$2:$B$7,$A$2:$A$7,1,1)</f>
        <v>0.58004997071736297</v>
      </c>
      <c r="D8" s="39">
        <f>C8-_xlfn.FORECAST.ETS.CONFINT(A8,$B$2:$B$7,$A$2:$A$7,0.95,1,1)</f>
        <v>0.52945239043304926</v>
      </c>
      <c r="E8" s="39">
        <f>C8+_xlfn.FORECAST.ETS.CONFINT(A8,$B$2:$B$7,$A$2:$A$7,0.95,1,1)</f>
        <v>0.63064755100167669</v>
      </c>
    </row>
    <row r="9" spans="1:5" x14ac:dyDescent="0.25">
      <c r="A9" s="74">
        <v>45292</v>
      </c>
      <c r="C9" s="39">
        <f>_xlfn.FORECAST.ETS(A9,$B$2:$B$7,$A$2:$A$7,1,1)</f>
        <v>0.58479281445696574</v>
      </c>
      <c r="D9" s="39">
        <f>C9-_xlfn.FORECAST.ETS.CONFINT(A9,$B$2:$B$7,$A$2:$A$7,0.95,1,1)</f>
        <v>0.51668687379254097</v>
      </c>
      <c r="E9" s="39">
        <f>C9+_xlfn.FORECAST.ETS.CONFINT(A9,$B$2:$B$7,$A$2:$A$7,0.95,1,1)</f>
        <v>0.65289875512139051</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B33BB-C19F-4E42-8E9C-346C9E2B242C}">
  <sheetPr codeName="Sheet19"/>
  <dimension ref="A1:E9"/>
  <sheetViews>
    <sheetView workbookViewId="0">
      <selection activeCell="A2" sqref="A2:A9"/>
    </sheetView>
  </sheetViews>
  <sheetFormatPr defaultRowHeight="15" x14ac:dyDescent="0.25"/>
  <cols>
    <col min="1" max="1" width="11.85546875" bestFit="1" customWidth="1"/>
    <col min="2" max="2" width="17.140625" customWidth="1"/>
    <col min="3" max="3" width="26" customWidth="1"/>
    <col min="4" max="4" width="40.7109375" customWidth="1"/>
    <col min="5" max="5" width="40.85546875" customWidth="1"/>
  </cols>
  <sheetData>
    <row r="1" spans="1:5" x14ac:dyDescent="0.25">
      <c r="A1" t="s">
        <v>24</v>
      </c>
      <c r="B1" t="s">
        <v>13</v>
      </c>
      <c r="C1" t="s">
        <v>142</v>
      </c>
      <c r="D1" t="s">
        <v>143</v>
      </c>
      <c r="E1" t="s">
        <v>144</v>
      </c>
    </row>
    <row r="2" spans="1:5" x14ac:dyDescent="0.25">
      <c r="A2" s="74">
        <v>42736</v>
      </c>
      <c r="B2" s="40">
        <v>67758349</v>
      </c>
    </row>
    <row r="3" spans="1:5" x14ac:dyDescent="0.25">
      <c r="A3" s="74">
        <v>43101</v>
      </c>
      <c r="B3" s="40">
        <v>63758835</v>
      </c>
    </row>
    <row r="4" spans="1:5" x14ac:dyDescent="0.25">
      <c r="A4" s="74">
        <v>43466</v>
      </c>
      <c r="B4" s="40">
        <v>53829247.719999999</v>
      </c>
    </row>
    <row r="5" spans="1:5" x14ac:dyDescent="0.25">
      <c r="A5" s="74">
        <v>43831</v>
      </c>
      <c r="B5" s="40">
        <v>56602228.890000008</v>
      </c>
    </row>
    <row r="6" spans="1:5" x14ac:dyDescent="0.25">
      <c r="A6" s="74">
        <v>44197</v>
      </c>
      <c r="B6" s="40">
        <v>62983953.140000001</v>
      </c>
    </row>
    <row r="7" spans="1:5" x14ac:dyDescent="0.25">
      <c r="A7" s="74">
        <v>44562</v>
      </c>
      <c r="B7" s="40">
        <v>67894674.179999992</v>
      </c>
      <c r="C7" s="40">
        <v>67894674.179999992</v>
      </c>
      <c r="D7" s="40">
        <v>67894674.179999992</v>
      </c>
      <c r="E7" s="40">
        <v>67894674.179999992</v>
      </c>
    </row>
    <row r="8" spans="1:5" x14ac:dyDescent="0.25">
      <c r="A8" s="74">
        <v>44927</v>
      </c>
      <c r="C8" s="40">
        <f>_xlfn.FORECAST.ETS(A8,$B$2:$B$7,$A$2:$A$7,2,1)</f>
        <v>65484278.716918424</v>
      </c>
      <c r="D8" s="40">
        <f>C8-_xlfn.FORECAST.ETS.CONFINT(A8,$B$2:$B$7,$A$2:$A$7,0.95,2,1)</f>
        <v>53474854.405093953</v>
      </c>
      <c r="E8" s="40">
        <f>C8+_xlfn.FORECAST.ETS.CONFINT(A8,$B$2:$B$7,$A$2:$A$7,0.95,2,1)</f>
        <v>77493703.028742895</v>
      </c>
    </row>
    <row r="9" spans="1:5" x14ac:dyDescent="0.25">
      <c r="A9" s="74">
        <v>45292</v>
      </c>
      <c r="C9" s="40">
        <f>_xlfn.FORECAST.ETS(A9,$B$2:$B$7,$A$2:$A$7,2,1)</f>
        <v>69022202.97669512</v>
      </c>
      <c r="D9" s="40">
        <f>C9-_xlfn.FORECAST.ETS.CONFINT(A9,$B$2:$B$7,$A$2:$A$7,0.95,2,1)</f>
        <v>52857138.659408212</v>
      </c>
      <c r="E9" s="40">
        <f>C9+_xlfn.FORECAST.ETS.CONFINT(A9,$B$2:$B$7,$A$2:$A$7,0.95,2,1)</f>
        <v>85187267.293982029</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9E78F-14C7-4EA9-B2DE-5EEAB85E1DC8}">
  <sheetPr codeName="Sheet4"/>
  <dimension ref="A1:AE79"/>
  <sheetViews>
    <sheetView topLeftCell="U1" workbookViewId="0">
      <selection activeCell="U46" sqref="U46"/>
    </sheetView>
  </sheetViews>
  <sheetFormatPr defaultRowHeight="15" x14ac:dyDescent="0.25"/>
  <cols>
    <col min="1" max="1" width="11.85546875" style="65" bestFit="1" customWidth="1"/>
    <col min="2" max="2" width="15.42578125" bestFit="1" customWidth="1"/>
    <col min="3" max="3" width="15.5703125" bestFit="1" customWidth="1"/>
    <col min="4" max="4" width="15.140625" bestFit="1" customWidth="1"/>
    <col min="5" max="5" width="21" bestFit="1" customWidth="1"/>
    <col min="6" max="6" width="17.42578125" bestFit="1" customWidth="1"/>
    <col min="7" max="7" width="21" bestFit="1" customWidth="1"/>
    <col min="8" max="8" width="17.28515625" bestFit="1" customWidth="1"/>
    <col min="9" max="9" width="19.140625" bestFit="1" customWidth="1"/>
    <col min="10" max="10" width="21" bestFit="1" customWidth="1"/>
    <col min="11" max="11" width="24.7109375" bestFit="1" customWidth="1"/>
    <col min="12" max="12" width="21" bestFit="1" customWidth="1"/>
    <col min="13" max="13" width="16.140625" bestFit="1" customWidth="1"/>
    <col min="14" max="14" width="21" bestFit="1" customWidth="1"/>
    <col min="15" max="15" width="19" bestFit="1" customWidth="1"/>
    <col min="16" max="16" width="21" bestFit="1" customWidth="1"/>
    <col min="17" max="17" width="34.140625" bestFit="1" customWidth="1"/>
    <col min="18" max="18" width="21" bestFit="1" customWidth="1"/>
    <col min="19" max="19" width="23.140625" bestFit="1" customWidth="1"/>
    <col min="20" max="20" width="21" bestFit="1" customWidth="1"/>
    <col min="21" max="21" width="18.42578125" bestFit="1" customWidth="1"/>
    <col min="22" max="22" width="21" bestFit="1" customWidth="1"/>
    <col min="23" max="23" width="21.5703125" bestFit="1" customWidth="1"/>
    <col min="24" max="24" width="21" bestFit="1" customWidth="1"/>
    <col min="25" max="25" width="14.42578125" bestFit="1" customWidth="1"/>
    <col min="26" max="26" width="21" bestFit="1" customWidth="1"/>
    <col min="27" max="27" width="13.42578125" bestFit="1" customWidth="1"/>
    <col min="28" max="28" width="21" bestFit="1" customWidth="1"/>
    <col min="29" max="29" width="16" bestFit="1" customWidth="1"/>
    <col min="30" max="30" width="21" bestFit="1" customWidth="1"/>
    <col min="31" max="31" width="14.42578125" bestFit="1" customWidth="1"/>
  </cols>
  <sheetData>
    <row r="1" spans="1:31" x14ac:dyDescent="0.25">
      <c r="A1" s="61" t="s">
        <v>24</v>
      </c>
      <c r="B1" s="3" t="s">
        <v>12</v>
      </c>
      <c r="C1" s="15" t="s">
        <v>2</v>
      </c>
      <c r="D1" s="3" t="s">
        <v>13</v>
      </c>
      <c r="E1" s="15" t="s">
        <v>2</v>
      </c>
      <c r="F1" s="3" t="s">
        <v>14</v>
      </c>
      <c r="G1" s="15" t="s">
        <v>2</v>
      </c>
      <c r="H1" s="6" t="s">
        <v>0</v>
      </c>
      <c r="I1" s="1" t="s">
        <v>1</v>
      </c>
      <c r="J1" s="15" t="s">
        <v>2</v>
      </c>
      <c r="K1" s="1" t="s">
        <v>3</v>
      </c>
      <c r="L1" s="15" t="s">
        <v>2</v>
      </c>
      <c r="M1" s="1" t="s">
        <v>15</v>
      </c>
      <c r="N1" s="15" t="s">
        <v>2</v>
      </c>
      <c r="O1" s="1" t="s">
        <v>4</v>
      </c>
      <c r="P1" s="15" t="s">
        <v>2</v>
      </c>
      <c r="Q1" s="1" t="s">
        <v>5</v>
      </c>
      <c r="R1" s="15" t="s">
        <v>2</v>
      </c>
      <c r="S1" s="1" t="s">
        <v>6</v>
      </c>
      <c r="T1" s="15" t="s">
        <v>2</v>
      </c>
      <c r="U1" s="1" t="s">
        <v>7</v>
      </c>
      <c r="V1" s="15" t="s">
        <v>2</v>
      </c>
      <c r="W1" s="1" t="s">
        <v>8</v>
      </c>
      <c r="X1" s="15" t="s">
        <v>2</v>
      </c>
      <c r="Y1" s="1" t="s">
        <v>9</v>
      </c>
      <c r="Z1" s="15" t="s">
        <v>2</v>
      </c>
      <c r="AA1" s="1" t="s">
        <v>10</v>
      </c>
      <c r="AB1" s="15" t="s">
        <v>2</v>
      </c>
      <c r="AC1" s="1" t="s">
        <v>11</v>
      </c>
      <c r="AD1" s="15" t="s">
        <v>2</v>
      </c>
    </row>
    <row r="2" spans="1:31" x14ac:dyDescent="0.25">
      <c r="A2" s="68">
        <v>42736</v>
      </c>
      <c r="B2" s="4">
        <v>140746374</v>
      </c>
      <c r="C2" s="10"/>
      <c r="D2" s="7">
        <v>67758349</v>
      </c>
      <c r="E2" s="10"/>
      <c r="F2" s="4">
        <v>72988025</v>
      </c>
      <c r="G2" s="16"/>
      <c r="H2" s="9">
        <v>0.51091155126629628</v>
      </c>
      <c r="I2" s="21">
        <v>57528048</v>
      </c>
      <c r="J2" s="16"/>
      <c r="K2" s="18">
        <v>8619489</v>
      </c>
      <c r="L2" s="20"/>
      <c r="M2" s="18">
        <v>30562705</v>
      </c>
      <c r="N2" s="20"/>
      <c r="O2" s="18">
        <v>6268715</v>
      </c>
      <c r="P2" s="20"/>
      <c r="Q2" s="18">
        <v>2308141</v>
      </c>
      <c r="R2" s="20"/>
      <c r="S2" s="18">
        <v>4464712</v>
      </c>
      <c r="T2" s="20"/>
      <c r="U2" s="18">
        <v>4410485</v>
      </c>
      <c r="V2" s="20"/>
      <c r="W2" s="18">
        <v>893801</v>
      </c>
      <c r="X2" s="20"/>
      <c r="Y2" s="19">
        <v>14261441</v>
      </c>
      <c r="Z2" s="20"/>
      <c r="AA2" s="18">
        <v>5092962</v>
      </c>
      <c r="AB2" s="17"/>
      <c r="AC2" s="21">
        <v>10367015</v>
      </c>
      <c r="AD2" s="16"/>
    </row>
    <row r="3" spans="1:31" x14ac:dyDescent="0.25">
      <c r="A3" s="68">
        <v>43101</v>
      </c>
      <c r="B3" s="4">
        <v>150169093</v>
      </c>
      <c r="C3" s="10">
        <v>6.6948218502595358E-2</v>
      </c>
      <c r="D3" s="7">
        <v>63758835</v>
      </c>
      <c r="E3" s="10">
        <v>-5.9026143036631562E-2</v>
      </c>
      <c r="F3" s="4">
        <v>86410258</v>
      </c>
      <c r="G3" s="16">
        <v>0.18389637204185205</v>
      </c>
      <c r="H3" s="9">
        <v>0.57538159500922248</v>
      </c>
      <c r="I3" s="21">
        <v>66318441</v>
      </c>
      <c r="J3" s="16">
        <v>0.15280186457917022</v>
      </c>
      <c r="K3" s="18">
        <v>11620986</v>
      </c>
      <c r="L3" s="20">
        <v>0.348222150988301</v>
      </c>
      <c r="M3" s="18">
        <v>36718920</v>
      </c>
      <c r="N3" s="20">
        <v>0.20142899654987989</v>
      </c>
      <c r="O3" s="18">
        <v>6923541</v>
      </c>
      <c r="P3" s="20">
        <v>0.10445936687183899</v>
      </c>
      <c r="Q3" s="18">
        <v>3063426</v>
      </c>
      <c r="R3" s="20">
        <v>0.32722654291917186</v>
      </c>
      <c r="S3" s="18">
        <v>4030378</v>
      </c>
      <c r="T3" s="20">
        <v>-9.7281526781570649E-2</v>
      </c>
      <c r="U3" s="18">
        <v>2495253</v>
      </c>
      <c r="V3" s="20">
        <v>-0.43424521339489874</v>
      </c>
      <c r="W3" s="18">
        <v>1465937</v>
      </c>
      <c r="X3" s="20">
        <v>0.64011564095363505</v>
      </c>
      <c r="Y3" s="19">
        <v>20091817</v>
      </c>
      <c r="Z3" s="20">
        <v>0.40882095995769285</v>
      </c>
      <c r="AA3" s="18">
        <v>6669389</v>
      </c>
      <c r="AB3" s="17">
        <v>0.30953048540318973</v>
      </c>
      <c r="AC3" s="21">
        <v>13422428</v>
      </c>
      <c r="AD3" s="16">
        <v>0.29472446986909917</v>
      </c>
    </row>
    <row r="4" spans="1:31" x14ac:dyDescent="0.25">
      <c r="A4" s="68">
        <v>43466</v>
      </c>
      <c r="B4" s="4">
        <v>128139927</v>
      </c>
      <c r="C4" s="10">
        <v>-0.14669573851658013</v>
      </c>
      <c r="D4" s="7">
        <v>53829247.719999999</v>
      </c>
      <c r="E4" s="10">
        <v>-0.15573664857584057</v>
      </c>
      <c r="F4" s="4">
        <v>74310679.280000001</v>
      </c>
      <c r="G4" s="16">
        <v>-0.14002479566719961</v>
      </c>
      <c r="H4" s="9">
        <v>0.58090882713926717</v>
      </c>
      <c r="I4" s="21">
        <v>60988545.950000003</v>
      </c>
      <c r="J4" s="16">
        <v>-8.0368219904324856E-2</v>
      </c>
      <c r="K4" s="18">
        <v>6494615.9499999993</v>
      </c>
      <c r="L4" s="20">
        <v>-0.44113038687078709</v>
      </c>
      <c r="M4" s="18">
        <v>37215346</v>
      </c>
      <c r="N4" s="20">
        <v>1.3519624215527104E-2</v>
      </c>
      <c r="O4" s="18">
        <v>6156994</v>
      </c>
      <c r="P4" s="20">
        <v>-0.11071603389075046</v>
      </c>
      <c r="Q4" s="18">
        <v>3075690</v>
      </c>
      <c r="R4" s="20">
        <v>4.0033609429441785E-3</v>
      </c>
      <c r="S4" s="18">
        <v>4445955</v>
      </c>
      <c r="T4" s="20">
        <v>0.10311117220270649</v>
      </c>
      <c r="U4" s="18">
        <v>1988637</v>
      </c>
      <c r="V4" s="20">
        <v>-0.20303191700400725</v>
      </c>
      <c r="W4" s="18">
        <v>1611308</v>
      </c>
      <c r="X4" s="20">
        <v>9.9165925957254597E-2</v>
      </c>
      <c r="Y4" s="19">
        <v>13322133.329999998</v>
      </c>
      <c r="Z4" s="20">
        <v>-0.33693735464542618</v>
      </c>
      <c r="AA4" s="18">
        <v>7263825</v>
      </c>
      <c r="AB4" s="17">
        <v>8.9129004171146775E-2</v>
      </c>
      <c r="AC4" s="21">
        <v>6058308.3300000001</v>
      </c>
      <c r="AD4" s="16">
        <v>-0.54864288860405885</v>
      </c>
    </row>
    <row r="5" spans="1:31" x14ac:dyDescent="0.25">
      <c r="A5" s="68">
        <v>43831</v>
      </c>
      <c r="B5" s="4">
        <v>133139885.69</v>
      </c>
      <c r="C5" s="10">
        <v>3.9019521916849431E-2</v>
      </c>
      <c r="D5" s="7">
        <v>56602228.890000008</v>
      </c>
      <c r="E5" s="10">
        <v>5.1514395750504205E-2</v>
      </c>
      <c r="F5" s="4">
        <v>76537656.799999997</v>
      </c>
      <c r="G5" s="16">
        <v>2.9968472117026801E-2</v>
      </c>
      <c r="H5" s="9">
        <v>0.57460508069201599</v>
      </c>
      <c r="I5" s="21">
        <v>54318636.109999999</v>
      </c>
      <c r="J5" s="16">
        <v>-0.10936331955623546</v>
      </c>
      <c r="K5" s="18">
        <v>5693780.5</v>
      </c>
      <c r="L5" s="20">
        <v>-0.12330759142116776</v>
      </c>
      <c r="M5" s="18">
        <v>36696709.269999996</v>
      </c>
      <c r="N5" s="20">
        <v>-1.3936098565360711E-2</v>
      </c>
      <c r="O5" s="18">
        <v>2879503.06</v>
      </c>
      <c r="P5" s="20">
        <v>-0.53231998277081316</v>
      </c>
      <c r="Q5" s="18">
        <v>2931799.59</v>
      </c>
      <c r="R5" s="20">
        <v>-4.6783131589984706E-2</v>
      </c>
      <c r="S5" s="18">
        <v>3984742.71</v>
      </c>
      <c r="T5" s="20">
        <v>-0.10373750746465049</v>
      </c>
      <c r="U5" s="18">
        <v>459271</v>
      </c>
      <c r="V5" s="20">
        <v>-0.76905237104609836</v>
      </c>
      <c r="W5" s="18">
        <v>1672829.98</v>
      </c>
      <c r="X5" s="20">
        <v>3.8181390522482372E-2</v>
      </c>
      <c r="Y5" s="19">
        <v>22219020.690000001</v>
      </c>
      <c r="Z5" s="20">
        <v>0.6678275272898806</v>
      </c>
      <c r="AA5" s="18">
        <v>3613178.0599999996</v>
      </c>
      <c r="AB5" s="17">
        <v>-0.50257914253165525</v>
      </c>
      <c r="AC5" s="21">
        <v>18605842.630000003</v>
      </c>
      <c r="AD5" s="16">
        <v>2.0711283771851212</v>
      </c>
    </row>
    <row r="6" spans="1:31" x14ac:dyDescent="0.25">
      <c r="A6" s="68">
        <v>44197</v>
      </c>
      <c r="B6" s="4">
        <v>142248115.42000002</v>
      </c>
      <c r="C6" s="10">
        <v>6.8410977542878726E-2</v>
      </c>
      <c r="D6" s="7">
        <v>62983953.140000001</v>
      </c>
      <c r="E6" s="10">
        <v>0.11274687190149613</v>
      </c>
      <c r="F6" s="4">
        <v>79264162.280000001</v>
      </c>
      <c r="G6" s="16">
        <v>3.5623059210247554E-2</v>
      </c>
      <c r="H6" s="9">
        <v>0.56462393089253571</v>
      </c>
      <c r="I6" s="21">
        <v>60433232.150000006</v>
      </c>
      <c r="J6" s="16">
        <v>0.11256902746264497</v>
      </c>
      <c r="K6" s="18">
        <v>7321183.1500000004</v>
      </c>
      <c r="L6" s="20">
        <v>0.28582110778594294</v>
      </c>
      <c r="M6" s="18">
        <v>38959544</v>
      </c>
      <c r="N6" s="20">
        <v>6.166315113845644E-2</v>
      </c>
      <c r="O6" s="18">
        <v>2259991</v>
      </c>
      <c r="P6" s="20">
        <v>-0.21514547721994781</v>
      </c>
      <c r="Q6" s="18">
        <v>3219682</v>
      </c>
      <c r="R6" s="20">
        <v>9.8193072603574683E-2</v>
      </c>
      <c r="S6" s="18">
        <v>4689423</v>
      </c>
      <c r="T6" s="20">
        <v>0.17684461489359249</v>
      </c>
      <c r="U6" s="18">
        <v>731194</v>
      </c>
      <c r="V6" s="20">
        <v>0.59207526710809089</v>
      </c>
      <c r="W6" s="18">
        <v>3252215</v>
      </c>
      <c r="X6" s="20">
        <v>0.94413959510696954</v>
      </c>
      <c r="Y6" s="19">
        <v>18830930.129999999</v>
      </c>
      <c r="Z6" s="20">
        <v>-0.15248604370420626</v>
      </c>
      <c r="AA6" s="18">
        <v>5745032</v>
      </c>
      <c r="AB6" s="17">
        <v>0.59002183246955742</v>
      </c>
      <c r="AC6" s="21">
        <v>13085898.130000001</v>
      </c>
      <c r="AD6" s="16">
        <v>-0.29667801721055409</v>
      </c>
    </row>
    <row r="7" spans="1:31" x14ac:dyDescent="0.25">
      <c r="A7" s="68">
        <v>44562</v>
      </c>
      <c r="B7" s="4">
        <v>159104486.56000003</v>
      </c>
      <c r="C7" s="10">
        <v>0.1184997853239047</v>
      </c>
      <c r="D7" s="7">
        <v>67894674.179999992</v>
      </c>
      <c r="E7" s="10">
        <v>7.796781235824457E-2</v>
      </c>
      <c r="F7" s="4">
        <v>91209812.379999995</v>
      </c>
      <c r="G7" s="16">
        <v>0.15070682331571339</v>
      </c>
      <c r="H7" s="9">
        <v>0.57579243608718267</v>
      </c>
      <c r="I7" s="21">
        <v>64212223</v>
      </c>
      <c r="J7" s="16">
        <v>6.2531668678919017E-2</v>
      </c>
      <c r="K7" s="18">
        <v>4778080</v>
      </c>
      <c r="L7" s="20">
        <v>-0.34736231807013329</v>
      </c>
      <c r="M7" s="18">
        <v>45982287</v>
      </c>
      <c r="N7" s="20">
        <v>0.18025732026021668</v>
      </c>
      <c r="O7" s="18">
        <v>2414544</v>
      </c>
      <c r="P7" s="20">
        <v>6.838655552168138E-2</v>
      </c>
      <c r="Q7" s="18">
        <v>3567662</v>
      </c>
      <c r="R7" s="20">
        <v>0.10807899662140552</v>
      </c>
      <c r="S7" s="18">
        <v>4609601</v>
      </c>
      <c r="T7" s="20">
        <v>-1.7021710346880603E-2</v>
      </c>
      <c r="U7" s="18">
        <v>776409</v>
      </c>
      <c r="V7" s="20">
        <v>6.1837214200335389E-2</v>
      </c>
      <c r="W7" s="18">
        <v>2083640</v>
      </c>
      <c r="X7" s="20">
        <v>-0.35931665034445759</v>
      </c>
      <c r="Y7" s="19">
        <v>26997589.379999999</v>
      </c>
      <c r="Z7" s="20">
        <v>0.43368326437521554</v>
      </c>
      <c r="AA7" s="18">
        <v>5805307.7899999991</v>
      </c>
      <c r="AB7" s="17">
        <v>1.0491811011670515E-2</v>
      </c>
      <c r="AC7" s="21">
        <v>21192281.590000004</v>
      </c>
      <c r="AD7" s="16">
        <v>0.61947474903657995</v>
      </c>
    </row>
    <row r="8" spans="1:31" x14ac:dyDescent="0.25">
      <c r="A8" s="62"/>
      <c r="B8" s="4"/>
      <c r="C8" s="10"/>
      <c r="D8" s="7"/>
      <c r="E8" s="10"/>
      <c r="F8" s="4"/>
      <c r="G8" s="16"/>
      <c r="H8" s="9"/>
      <c r="I8" s="21"/>
      <c r="J8" s="16"/>
      <c r="K8" s="18"/>
      <c r="L8" s="20"/>
      <c r="M8" s="18"/>
      <c r="N8" s="20"/>
      <c r="O8" s="18"/>
      <c r="P8" s="20"/>
      <c r="Q8" s="18"/>
      <c r="R8" s="20"/>
      <c r="S8" s="18"/>
      <c r="T8" s="20"/>
      <c r="U8" s="18"/>
      <c r="V8" s="20"/>
      <c r="W8" s="18"/>
      <c r="X8" s="20"/>
      <c r="Y8" s="19"/>
      <c r="Z8" s="20"/>
      <c r="AA8" s="18"/>
      <c r="AB8" s="17"/>
      <c r="AC8" s="21"/>
      <c r="AD8" s="16"/>
    </row>
    <row r="9" spans="1:31" x14ac:dyDescent="0.25">
      <c r="A9" s="62"/>
      <c r="B9" s="4"/>
      <c r="C9" s="10"/>
      <c r="D9" s="7"/>
      <c r="E9" s="10"/>
      <c r="F9" s="4"/>
      <c r="G9" s="16"/>
      <c r="H9" s="9"/>
      <c r="I9" s="21"/>
      <c r="J9" s="16"/>
      <c r="K9" s="18"/>
      <c r="L9" s="20"/>
      <c r="M9" s="18"/>
      <c r="N9" s="20"/>
      <c r="O9" s="18"/>
      <c r="P9" s="20"/>
      <c r="Q9" s="18"/>
      <c r="R9" s="20"/>
      <c r="S9" s="18"/>
      <c r="T9" s="20"/>
      <c r="U9" s="18"/>
      <c r="V9" s="20"/>
      <c r="W9" s="18"/>
      <c r="X9" s="20"/>
      <c r="Y9" s="19"/>
      <c r="Z9" s="20"/>
      <c r="AA9" s="18"/>
      <c r="AB9" s="17"/>
      <c r="AC9" s="21"/>
      <c r="AD9" s="16"/>
    </row>
    <row r="10" spans="1:31" x14ac:dyDescent="0.25">
      <c r="A10" s="62"/>
      <c r="B10" s="4"/>
      <c r="C10" s="10"/>
      <c r="D10" s="7"/>
      <c r="E10" s="10"/>
      <c r="F10" s="4"/>
      <c r="G10" s="16"/>
      <c r="H10" s="9"/>
      <c r="I10" s="21"/>
      <c r="J10" s="16"/>
      <c r="K10" s="18"/>
      <c r="L10" s="20"/>
      <c r="M10" s="18"/>
      <c r="N10" s="20"/>
      <c r="O10" s="18"/>
      <c r="P10" s="20"/>
      <c r="Q10" s="18"/>
      <c r="R10" s="20"/>
      <c r="S10" s="18"/>
      <c r="T10" s="20"/>
      <c r="U10" s="18"/>
      <c r="V10" s="20"/>
      <c r="W10" s="18"/>
      <c r="X10" s="20"/>
      <c r="Y10" s="19"/>
      <c r="Z10" s="20"/>
      <c r="AA10" s="18"/>
      <c r="AB10" s="17"/>
      <c r="AC10" s="21"/>
      <c r="AD10" s="16"/>
    </row>
    <row r="11" spans="1:31" x14ac:dyDescent="0.25">
      <c r="A11" s="62"/>
      <c r="E11" s="10"/>
      <c r="F11" s="4"/>
      <c r="G11" s="16"/>
      <c r="H11" s="9"/>
      <c r="I11" s="21"/>
      <c r="J11" s="16"/>
      <c r="K11" s="18"/>
      <c r="L11" s="20"/>
      <c r="M11" s="18"/>
      <c r="N11" s="20"/>
      <c r="O11" s="18"/>
      <c r="P11" s="20"/>
      <c r="Q11" s="18"/>
      <c r="R11" s="20"/>
      <c r="S11" s="18"/>
      <c r="T11" s="20"/>
      <c r="U11" s="18"/>
      <c r="V11" s="20"/>
      <c r="W11" s="18"/>
      <c r="X11" s="20"/>
      <c r="Y11" s="19"/>
      <c r="Z11" s="20"/>
      <c r="AA11" s="18"/>
      <c r="AB11" s="17"/>
      <c r="AC11" s="21"/>
      <c r="AD11" s="16"/>
    </row>
    <row r="12" spans="1:31" x14ac:dyDescent="0.25">
      <c r="A12" s="62"/>
      <c r="E12" s="10"/>
      <c r="F12" s="4"/>
      <c r="G12" s="16"/>
      <c r="H12" s="9"/>
      <c r="I12" s="21"/>
      <c r="J12" s="16"/>
      <c r="K12" s="18"/>
      <c r="L12" s="20"/>
      <c r="M12" s="18"/>
      <c r="N12" s="20"/>
      <c r="O12" s="18"/>
      <c r="P12" s="20"/>
      <c r="Q12" s="18"/>
      <c r="R12" s="20"/>
      <c r="S12" s="18"/>
      <c r="T12" s="20"/>
      <c r="U12" s="18"/>
      <c r="V12" s="20"/>
      <c r="W12" s="18"/>
      <c r="X12" s="20"/>
      <c r="Y12" s="19"/>
      <c r="Z12" s="20"/>
      <c r="AA12" s="18"/>
      <c r="AB12" s="17"/>
      <c r="AC12" s="21"/>
      <c r="AD12" s="16"/>
    </row>
    <row r="13" spans="1:31" x14ac:dyDescent="0.25">
      <c r="A13" s="62"/>
      <c r="E13" s="10"/>
      <c r="F13" s="4"/>
      <c r="G13" s="16"/>
      <c r="H13" s="9"/>
      <c r="I13" s="21"/>
      <c r="J13" s="16"/>
      <c r="K13" s="18"/>
      <c r="L13" s="20"/>
      <c r="M13" s="18"/>
      <c r="N13" s="20"/>
      <c r="O13" s="18"/>
      <c r="P13" s="20"/>
      <c r="Q13" s="18"/>
      <c r="R13" s="20"/>
      <c r="S13" s="18"/>
      <c r="T13" s="20"/>
      <c r="U13" s="18"/>
      <c r="V13" s="20"/>
      <c r="W13" s="18"/>
      <c r="X13" s="20"/>
      <c r="Y13" s="19"/>
      <c r="Z13" s="20"/>
      <c r="AA13" s="18"/>
      <c r="AB13" s="17"/>
      <c r="AC13" s="21"/>
      <c r="AD13" s="16"/>
    </row>
    <row r="14" spans="1:31" x14ac:dyDescent="0.25">
      <c r="A14" s="63"/>
      <c r="E14" s="24"/>
      <c r="F14" s="23"/>
      <c r="G14" s="27"/>
      <c r="H14" s="28"/>
      <c r="I14" s="29"/>
      <c r="J14" s="27"/>
      <c r="K14" s="30"/>
      <c r="L14" s="31"/>
      <c r="M14" s="30"/>
      <c r="N14" s="31"/>
      <c r="O14" s="30"/>
      <c r="P14" s="31"/>
      <c r="Q14" s="30"/>
      <c r="R14" s="31"/>
      <c r="S14" s="30"/>
      <c r="T14" s="31"/>
      <c r="U14" s="30"/>
      <c r="V14" s="31"/>
      <c r="W14" s="30"/>
      <c r="X14" s="31"/>
      <c r="Y14" s="33"/>
      <c r="Z14" s="31"/>
      <c r="AA14" s="30"/>
      <c r="AB14" s="31"/>
      <c r="AC14" s="29"/>
      <c r="AD14" s="27"/>
      <c r="AE14" s="40"/>
    </row>
    <row r="15" spans="1:31" x14ac:dyDescent="0.25">
      <c r="A15" s="62"/>
      <c r="E15" s="10"/>
      <c r="F15" s="4"/>
      <c r="G15" s="16"/>
      <c r="H15" s="9"/>
      <c r="I15" s="21"/>
      <c r="J15" s="16"/>
      <c r="K15" s="18"/>
      <c r="L15" s="20"/>
      <c r="M15" s="18"/>
      <c r="N15" s="20"/>
      <c r="O15" s="18"/>
      <c r="P15" s="20"/>
      <c r="Q15" s="18"/>
      <c r="R15" s="20"/>
      <c r="S15" s="18"/>
      <c r="T15" s="20"/>
      <c r="U15" s="18"/>
      <c r="V15" s="20"/>
      <c r="W15" s="18"/>
      <c r="X15" s="20"/>
      <c r="Y15" s="19"/>
      <c r="Z15" s="20"/>
      <c r="AA15" s="18"/>
      <c r="AB15" s="17"/>
      <c r="AC15" s="21"/>
      <c r="AD15" s="16"/>
    </row>
    <row r="16" spans="1:31" x14ac:dyDescent="0.25">
      <c r="A16" s="62"/>
      <c r="E16" s="10"/>
      <c r="F16" s="4"/>
      <c r="G16" s="16"/>
      <c r="H16" s="9"/>
      <c r="I16" s="21"/>
      <c r="J16" s="16"/>
      <c r="K16" s="18"/>
      <c r="L16" s="20"/>
      <c r="M16" s="18"/>
      <c r="N16" s="20"/>
      <c r="O16" s="18"/>
      <c r="P16" s="20"/>
      <c r="Q16" s="18"/>
      <c r="R16" s="20"/>
      <c r="S16" s="18"/>
      <c r="T16" s="20"/>
      <c r="U16" s="18"/>
      <c r="V16" s="20"/>
      <c r="W16" s="18"/>
      <c r="X16" s="20"/>
      <c r="Y16" s="19"/>
      <c r="Z16" s="20"/>
      <c r="AA16" s="18"/>
      <c r="AB16" s="17"/>
      <c r="AC16" s="21"/>
      <c r="AD16" s="16"/>
    </row>
    <row r="17" spans="1:30" x14ac:dyDescent="0.25">
      <c r="A17" s="62"/>
      <c r="E17" s="10"/>
      <c r="F17" s="4"/>
      <c r="G17" s="16"/>
      <c r="H17" s="9"/>
      <c r="I17" s="21"/>
      <c r="J17" s="16"/>
      <c r="K17" s="18"/>
      <c r="L17" s="20"/>
      <c r="M17" s="18"/>
      <c r="N17" s="20"/>
      <c r="O17" s="18"/>
      <c r="P17" s="20"/>
      <c r="Q17" s="18"/>
      <c r="R17" s="20"/>
      <c r="S17" s="18"/>
      <c r="T17" s="20"/>
      <c r="U17" s="18"/>
      <c r="V17" s="20"/>
      <c r="W17" s="18"/>
      <c r="X17" s="20"/>
      <c r="Y17" s="19"/>
      <c r="Z17" s="20"/>
      <c r="AA17" s="18"/>
      <c r="AB17" s="17"/>
      <c r="AC17" s="21"/>
      <c r="AD17" s="16"/>
    </row>
    <row r="18" spans="1:30" x14ac:dyDescent="0.25">
      <c r="A18" s="62"/>
      <c r="E18" s="10"/>
      <c r="F18" s="4"/>
      <c r="G18" s="16"/>
      <c r="H18" s="9"/>
      <c r="I18" s="21"/>
      <c r="J18" s="16"/>
      <c r="K18" s="18"/>
      <c r="L18" s="20"/>
      <c r="M18" s="18"/>
      <c r="N18" s="20"/>
      <c r="O18" s="18"/>
      <c r="P18" s="20"/>
      <c r="Q18" s="18"/>
      <c r="R18" s="20"/>
      <c r="S18" s="18"/>
      <c r="T18" s="20"/>
      <c r="U18" s="18"/>
      <c r="V18" s="20"/>
      <c r="W18" s="18"/>
      <c r="X18" s="20"/>
      <c r="Y18" s="19"/>
      <c r="Z18" s="20"/>
      <c r="AA18" s="18"/>
      <c r="AB18" s="17"/>
      <c r="AC18" s="21"/>
      <c r="AD18" s="16"/>
    </row>
    <row r="19" spans="1:30" x14ac:dyDescent="0.25">
      <c r="A19" s="62"/>
      <c r="E19" s="10"/>
      <c r="F19" s="4"/>
      <c r="G19" s="16"/>
      <c r="H19" s="9"/>
      <c r="I19" s="21"/>
      <c r="J19" s="16"/>
      <c r="K19" s="18"/>
      <c r="L19" s="20"/>
      <c r="M19" s="18"/>
      <c r="N19" s="20"/>
      <c r="O19" s="18"/>
      <c r="P19" s="20"/>
      <c r="Q19" s="18"/>
      <c r="R19" s="20"/>
      <c r="S19" s="18"/>
      <c r="T19" s="20"/>
      <c r="U19" s="18"/>
      <c r="V19" s="20"/>
      <c r="W19" s="18"/>
      <c r="X19" s="20"/>
      <c r="Y19" s="19"/>
      <c r="Z19" s="20"/>
      <c r="AA19" s="18"/>
      <c r="AB19" s="17"/>
      <c r="AC19" s="21"/>
      <c r="AD19" s="16"/>
    </row>
    <row r="20" spans="1:30" x14ac:dyDescent="0.25">
      <c r="A20" s="62"/>
      <c r="E20" s="10"/>
      <c r="F20" s="4"/>
      <c r="G20" s="16"/>
      <c r="H20" s="9"/>
      <c r="I20" s="21"/>
      <c r="J20" s="16"/>
      <c r="K20" s="18"/>
      <c r="L20" s="20"/>
      <c r="M20" s="18"/>
      <c r="N20" s="20"/>
      <c r="O20" s="18"/>
      <c r="P20" s="20"/>
      <c r="Q20" s="18"/>
      <c r="R20" s="20"/>
      <c r="S20" s="18"/>
      <c r="T20" s="20"/>
      <c r="U20" s="18"/>
      <c r="V20" s="20"/>
      <c r="W20" s="18"/>
      <c r="X20" s="20"/>
      <c r="Y20" s="19"/>
      <c r="Z20" s="20"/>
      <c r="AA20" s="18"/>
      <c r="AB20" s="17"/>
      <c r="AC20" s="21"/>
      <c r="AD20" s="16"/>
    </row>
    <row r="21" spans="1:30" x14ac:dyDescent="0.25">
      <c r="A21" s="62"/>
      <c r="E21" s="10"/>
      <c r="F21" s="4"/>
      <c r="G21" s="16"/>
      <c r="H21" s="9"/>
      <c r="I21" s="21"/>
      <c r="J21" s="16"/>
      <c r="K21" s="18"/>
      <c r="L21" s="20"/>
      <c r="M21" s="18"/>
      <c r="N21" s="20"/>
      <c r="O21" s="18"/>
      <c r="P21" s="20"/>
      <c r="Q21" s="18"/>
      <c r="R21" s="20"/>
      <c r="S21" s="18"/>
      <c r="T21" s="20"/>
      <c r="U21" s="18"/>
      <c r="V21" s="20"/>
      <c r="W21" s="18"/>
      <c r="X21" s="20"/>
      <c r="Y21" s="19"/>
      <c r="Z21" s="20"/>
      <c r="AA21" s="18"/>
      <c r="AB21" s="17"/>
      <c r="AC21" s="21"/>
      <c r="AD21" s="16"/>
    </row>
    <row r="22" spans="1:30" x14ac:dyDescent="0.25">
      <c r="A22" s="62"/>
      <c r="E22" s="10"/>
      <c r="F22" s="4"/>
      <c r="G22" s="16"/>
      <c r="H22" s="9"/>
      <c r="I22" s="21"/>
      <c r="J22" s="16"/>
      <c r="K22" s="18"/>
      <c r="L22" s="20"/>
      <c r="M22" s="18"/>
      <c r="N22" s="20"/>
      <c r="O22" s="18"/>
      <c r="P22" s="20"/>
      <c r="Q22" s="18"/>
      <c r="R22" s="20"/>
      <c r="S22" s="18"/>
      <c r="T22" s="20"/>
      <c r="U22" s="18"/>
      <c r="V22" s="20"/>
      <c r="W22" s="18"/>
      <c r="X22" s="20"/>
      <c r="Y22" s="19"/>
      <c r="Z22" s="20"/>
      <c r="AA22" s="18"/>
      <c r="AB22" s="17"/>
      <c r="AC22" s="21"/>
      <c r="AD22" s="16"/>
    </row>
    <row r="23" spans="1:30" x14ac:dyDescent="0.25">
      <c r="A23" s="62"/>
      <c r="E23" s="10"/>
      <c r="F23" s="4"/>
      <c r="G23" s="16"/>
      <c r="H23" s="9"/>
      <c r="I23" s="21"/>
      <c r="J23" s="16"/>
      <c r="K23" s="18"/>
      <c r="L23" s="20"/>
      <c r="M23" s="18"/>
      <c r="N23" s="20"/>
      <c r="O23" s="18"/>
      <c r="P23" s="20"/>
      <c r="Q23" s="18"/>
      <c r="R23" s="20"/>
      <c r="S23" s="18"/>
      <c r="T23" s="20"/>
      <c r="U23" s="18"/>
      <c r="V23" s="20"/>
      <c r="W23" s="18"/>
      <c r="X23" s="20"/>
      <c r="Y23" s="19"/>
      <c r="Z23" s="20"/>
      <c r="AA23" s="18"/>
      <c r="AB23" s="17"/>
      <c r="AC23" s="21"/>
      <c r="AD23" s="16"/>
    </row>
    <row r="24" spans="1:30" x14ac:dyDescent="0.25">
      <c r="A24" s="62"/>
      <c r="E24" s="10"/>
      <c r="F24" s="4"/>
      <c r="G24" s="16"/>
      <c r="H24" s="9"/>
      <c r="I24" s="21"/>
      <c r="J24" s="16"/>
      <c r="K24" s="18"/>
      <c r="L24" s="20"/>
      <c r="M24" s="18"/>
      <c r="N24" s="20"/>
      <c r="O24" s="18"/>
      <c r="P24" s="20"/>
      <c r="Q24" s="18"/>
      <c r="R24" s="20"/>
      <c r="S24" s="18"/>
      <c r="T24" s="20"/>
      <c r="U24" s="18"/>
      <c r="V24" s="20"/>
      <c r="W24" s="18"/>
      <c r="X24" s="20"/>
      <c r="Y24" s="19"/>
      <c r="Z24" s="20"/>
      <c r="AA24" s="18"/>
      <c r="AB24" s="17"/>
      <c r="AC24" s="21"/>
      <c r="AD24" s="16"/>
    </row>
    <row r="25" spans="1:30" x14ac:dyDescent="0.25">
      <c r="A25" s="62"/>
      <c r="E25" s="10"/>
      <c r="F25" s="4"/>
      <c r="G25" s="16"/>
      <c r="H25" s="9"/>
      <c r="I25" s="21"/>
      <c r="J25" s="16"/>
      <c r="K25" s="18"/>
      <c r="L25" s="20"/>
      <c r="M25" s="18"/>
      <c r="N25" s="20"/>
      <c r="O25" s="18"/>
      <c r="P25" s="20"/>
      <c r="Q25" s="18"/>
      <c r="R25" s="20"/>
      <c r="S25" s="18"/>
      <c r="T25" s="20"/>
      <c r="U25" s="18"/>
      <c r="V25" s="20"/>
      <c r="W25" s="18"/>
      <c r="X25" s="20"/>
      <c r="Y25" s="19"/>
      <c r="Z25" s="20"/>
      <c r="AA25" s="18"/>
      <c r="AB25" s="17"/>
      <c r="AC25" s="21"/>
      <c r="AD25" s="16"/>
    </row>
    <row r="26" spans="1:30" x14ac:dyDescent="0.25">
      <c r="A26" s="62"/>
      <c r="E26" s="10"/>
      <c r="F26" s="4"/>
      <c r="G26" s="16"/>
      <c r="H26" s="9"/>
      <c r="I26" s="21"/>
      <c r="J26" s="16"/>
      <c r="K26" s="18"/>
      <c r="L26" s="20"/>
      <c r="M26" s="18"/>
      <c r="N26" s="20"/>
      <c r="O26" s="18"/>
      <c r="P26" s="20"/>
      <c r="Q26" s="18"/>
      <c r="R26" s="20"/>
      <c r="S26" s="18"/>
      <c r="T26" s="20"/>
      <c r="U26" s="18"/>
      <c r="V26" s="20"/>
      <c r="W26" s="18"/>
      <c r="X26" s="20"/>
      <c r="Y26" s="19"/>
      <c r="Z26" s="20"/>
      <c r="AA26" s="18"/>
      <c r="AB26" s="17"/>
      <c r="AC26" s="21"/>
      <c r="AD26" s="16"/>
    </row>
    <row r="27" spans="1:30" x14ac:dyDescent="0.25">
      <c r="A27" s="63"/>
      <c r="E27" s="24"/>
      <c r="F27" s="23"/>
      <c r="G27" s="27"/>
      <c r="H27" s="28"/>
      <c r="I27" s="29"/>
      <c r="J27" s="27"/>
      <c r="K27" s="30"/>
      <c r="L27" s="31"/>
      <c r="M27" s="30"/>
      <c r="N27" s="31"/>
      <c r="O27" s="30"/>
      <c r="P27" s="31"/>
      <c r="Q27" s="30"/>
      <c r="R27" s="31"/>
      <c r="S27" s="30"/>
      <c r="T27" s="31"/>
      <c r="U27" s="30"/>
      <c r="V27" s="31"/>
      <c r="W27" s="30"/>
      <c r="X27" s="31"/>
      <c r="Y27" s="33"/>
      <c r="Z27" s="31"/>
      <c r="AA27" s="30"/>
      <c r="AB27" s="31"/>
      <c r="AC27" s="29"/>
      <c r="AD27" s="27"/>
    </row>
    <row r="28" spans="1:30" x14ac:dyDescent="0.25">
      <c r="A28" s="62"/>
      <c r="E28" s="10"/>
      <c r="F28" s="4"/>
      <c r="G28" s="16"/>
      <c r="H28" s="9"/>
      <c r="I28" s="21"/>
      <c r="J28" s="16"/>
      <c r="K28" s="18"/>
      <c r="L28" s="20"/>
      <c r="M28" s="18"/>
      <c r="N28" s="20"/>
      <c r="O28" s="18"/>
      <c r="P28" s="20"/>
      <c r="Q28" s="18"/>
      <c r="R28" s="20"/>
      <c r="S28" s="18"/>
      <c r="T28" s="20"/>
      <c r="U28" s="18"/>
      <c r="V28" s="20"/>
      <c r="W28" s="18"/>
      <c r="X28" s="20"/>
      <c r="Y28" s="19"/>
      <c r="Z28" s="20"/>
      <c r="AA28" s="18"/>
      <c r="AB28" s="17"/>
      <c r="AC28" s="21"/>
      <c r="AD28" s="16"/>
    </row>
    <row r="29" spans="1:30" x14ac:dyDescent="0.25">
      <c r="A29" s="62"/>
      <c r="B29" s="4"/>
      <c r="C29" s="10"/>
      <c r="D29" s="7"/>
      <c r="E29" s="10"/>
      <c r="F29" s="4"/>
      <c r="G29" s="16"/>
      <c r="H29" s="9"/>
      <c r="I29" s="21"/>
      <c r="J29" s="16"/>
      <c r="K29" s="18"/>
      <c r="L29" s="20"/>
      <c r="M29" s="18"/>
      <c r="N29" s="20"/>
      <c r="O29" s="18"/>
      <c r="P29" s="20"/>
      <c r="Q29" s="18"/>
      <c r="R29" s="20"/>
      <c r="S29" s="18"/>
      <c r="T29" s="20"/>
      <c r="U29" s="18"/>
      <c r="V29" s="20"/>
      <c r="W29" s="18"/>
      <c r="X29" s="20"/>
      <c r="Y29" s="19"/>
      <c r="Z29" s="20"/>
      <c r="AA29" s="18"/>
      <c r="AB29" s="17"/>
      <c r="AC29" s="21"/>
      <c r="AD29" s="16"/>
    </row>
    <row r="30" spans="1:30" x14ac:dyDescent="0.25">
      <c r="A30" s="62"/>
      <c r="B30" s="4"/>
      <c r="C30" s="10"/>
      <c r="D30" s="7"/>
      <c r="E30" s="10"/>
      <c r="F30" s="4"/>
      <c r="G30" s="16"/>
      <c r="H30" s="9"/>
      <c r="I30" s="21"/>
      <c r="J30" s="16"/>
      <c r="K30" s="18"/>
      <c r="L30" s="20"/>
      <c r="M30" s="18"/>
      <c r="N30" s="20"/>
      <c r="O30" s="18"/>
      <c r="P30" s="20"/>
      <c r="Q30" s="18"/>
      <c r="R30" s="20"/>
      <c r="S30" s="18"/>
      <c r="T30" s="20"/>
      <c r="U30" s="18"/>
      <c r="V30" s="20"/>
      <c r="W30" s="18"/>
      <c r="X30" s="20"/>
      <c r="Y30" s="19"/>
      <c r="Z30" s="20"/>
      <c r="AA30" s="18"/>
      <c r="AB30" s="17"/>
      <c r="AC30" s="21"/>
      <c r="AD30" s="16"/>
    </row>
    <row r="31" spans="1:30" x14ac:dyDescent="0.25">
      <c r="A31" s="62"/>
      <c r="B31" s="4"/>
      <c r="C31" s="10"/>
      <c r="D31" s="7"/>
      <c r="E31" s="10"/>
      <c r="F31" s="4"/>
      <c r="G31" s="16"/>
      <c r="H31" s="9"/>
      <c r="I31" s="21"/>
      <c r="J31" s="16"/>
      <c r="K31" s="18"/>
      <c r="L31" s="20"/>
      <c r="M31" s="18"/>
      <c r="N31" s="20"/>
      <c r="O31" s="18"/>
      <c r="P31" s="20"/>
      <c r="Q31" s="18"/>
      <c r="R31" s="20"/>
      <c r="S31" s="18"/>
      <c r="T31" s="20"/>
      <c r="U31" s="18"/>
      <c r="V31" s="20"/>
      <c r="W31" s="18"/>
      <c r="X31" s="20"/>
      <c r="Y31" s="19"/>
      <c r="Z31" s="20"/>
      <c r="AA31" s="18"/>
      <c r="AB31" s="17"/>
      <c r="AC31" s="21"/>
      <c r="AD31" s="16"/>
    </row>
    <row r="32" spans="1:30" x14ac:dyDescent="0.25">
      <c r="A32" s="62"/>
      <c r="B32" s="4"/>
      <c r="C32" s="10"/>
      <c r="D32" s="7"/>
      <c r="E32" s="10"/>
      <c r="F32" s="4"/>
      <c r="G32" s="16"/>
      <c r="H32" s="9"/>
      <c r="I32" s="21"/>
      <c r="J32" s="16"/>
      <c r="K32" s="18"/>
      <c r="L32" s="20"/>
      <c r="M32" s="18"/>
      <c r="N32" s="20"/>
      <c r="O32" s="18"/>
      <c r="P32" s="20"/>
      <c r="Q32" s="18"/>
      <c r="R32" s="20"/>
      <c r="S32" s="18"/>
      <c r="T32" s="20"/>
      <c r="U32" s="18"/>
      <c r="V32" s="20"/>
      <c r="W32" s="18"/>
      <c r="X32" s="20"/>
      <c r="Y32" s="19"/>
      <c r="Z32" s="20"/>
      <c r="AA32" s="18"/>
      <c r="AB32" s="17"/>
      <c r="AC32" s="21"/>
      <c r="AD32" s="16"/>
    </row>
    <row r="33" spans="1:30" x14ac:dyDescent="0.25">
      <c r="A33" s="62"/>
      <c r="B33" s="4"/>
      <c r="C33" s="10"/>
      <c r="D33" s="7"/>
      <c r="E33" s="10"/>
      <c r="F33" s="4"/>
      <c r="G33" s="16"/>
      <c r="H33" s="9"/>
      <c r="I33" s="21"/>
      <c r="J33" s="16"/>
      <c r="K33" s="18"/>
      <c r="L33" s="20"/>
      <c r="M33" s="18"/>
      <c r="N33" s="20"/>
      <c r="O33" s="18"/>
      <c r="P33" s="20"/>
      <c r="Q33" s="18"/>
      <c r="R33" s="20"/>
      <c r="S33" s="18"/>
      <c r="T33" s="20"/>
      <c r="U33" s="18"/>
      <c r="V33" s="20"/>
      <c r="W33" s="18"/>
      <c r="X33" s="20"/>
      <c r="Y33" s="19"/>
      <c r="Z33" s="20"/>
      <c r="AA33" s="18"/>
      <c r="AB33" s="17"/>
      <c r="AC33" s="21"/>
      <c r="AD33" s="16"/>
    </row>
    <row r="34" spans="1:30" x14ac:dyDescent="0.25">
      <c r="A34" s="62"/>
      <c r="B34" s="4"/>
      <c r="C34" s="10"/>
      <c r="D34" s="7"/>
      <c r="E34" s="10"/>
      <c r="F34" s="4"/>
      <c r="G34" s="16"/>
      <c r="H34" s="9"/>
      <c r="I34" s="21"/>
      <c r="J34" s="16"/>
      <c r="K34" s="18"/>
      <c r="L34" s="20"/>
      <c r="M34" s="18"/>
      <c r="N34" s="20"/>
      <c r="O34" s="18"/>
      <c r="P34" s="20"/>
      <c r="Q34" s="18"/>
      <c r="R34" s="20"/>
      <c r="S34" s="18"/>
      <c r="T34" s="20"/>
      <c r="U34" s="18"/>
      <c r="V34" s="20"/>
      <c r="W34" s="18"/>
      <c r="X34" s="20"/>
      <c r="Y34" s="19"/>
      <c r="Z34" s="20"/>
      <c r="AA34" s="18"/>
      <c r="AB34" s="17"/>
      <c r="AC34" s="21"/>
      <c r="AD34" s="16"/>
    </row>
    <row r="35" spans="1:30" x14ac:dyDescent="0.25">
      <c r="A35" s="62"/>
      <c r="B35" s="4"/>
      <c r="C35" s="10"/>
      <c r="D35" s="7"/>
      <c r="E35" s="10"/>
      <c r="F35" s="4"/>
      <c r="G35" s="16"/>
      <c r="H35" s="9"/>
      <c r="I35" s="21"/>
      <c r="J35" s="16"/>
      <c r="K35" s="18"/>
      <c r="L35" s="20"/>
      <c r="M35" s="18"/>
      <c r="N35" s="20"/>
      <c r="O35" s="18"/>
      <c r="P35" s="20"/>
      <c r="Q35" s="18"/>
      <c r="R35" s="20"/>
      <c r="S35" s="18"/>
      <c r="T35" s="20"/>
      <c r="U35" s="18"/>
      <c r="V35" s="20"/>
      <c r="W35" s="18"/>
      <c r="X35" s="20"/>
      <c r="Y35" s="19"/>
      <c r="Z35" s="20"/>
      <c r="AA35" s="18"/>
      <c r="AB35" s="17"/>
      <c r="AC35" s="21"/>
      <c r="AD35" s="16"/>
    </row>
    <row r="36" spans="1:30" x14ac:dyDescent="0.25">
      <c r="A36" s="62"/>
      <c r="B36" s="4"/>
      <c r="C36" s="10"/>
      <c r="D36" s="7"/>
      <c r="E36" s="10"/>
      <c r="F36" s="4"/>
      <c r="G36" s="16"/>
      <c r="H36" s="9"/>
      <c r="I36" s="21"/>
      <c r="J36" s="16"/>
      <c r="K36" s="18"/>
      <c r="L36" s="20"/>
      <c r="M36" s="18"/>
      <c r="N36" s="20"/>
      <c r="O36" s="18"/>
      <c r="P36" s="20"/>
      <c r="Q36" s="18"/>
      <c r="R36" s="20"/>
      <c r="S36" s="18"/>
      <c r="T36" s="20"/>
      <c r="U36" s="18"/>
      <c r="V36" s="20"/>
      <c r="W36" s="18"/>
      <c r="X36" s="20"/>
      <c r="Y36" s="19"/>
      <c r="Z36" s="20"/>
      <c r="AA36" s="18"/>
      <c r="AB36" s="17"/>
      <c r="AC36" s="21"/>
      <c r="AD36" s="16"/>
    </row>
    <row r="37" spans="1:30" x14ac:dyDescent="0.25">
      <c r="A37" s="62"/>
      <c r="B37" s="4"/>
      <c r="C37" s="10"/>
      <c r="D37" s="7"/>
      <c r="E37" s="10"/>
      <c r="F37" s="4"/>
      <c r="G37" s="16"/>
      <c r="H37" s="9"/>
      <c r="I37" s="21"/>
      <c r="J37" s="16"/>
      <c r="K37" s="18"/>
      <c r="L37" s="20"/>
      <c r="M37" s="18"/>
      <c r="N37" s="20"/>
      <c r="O37" s="18"/>
      <c r="P37" s="20"/>
      <c r="Q37" s="18"/>
      <c r="R37" s="20"/>
      <c r="S37" s="18"/>
      <c r="T37" s="20"/>
      <c r="U37" s="18"/>
      <c r="V37" s="20"/>
      <c r="W37" s="18"/>
      <c r="X37" s="20"/>
      <c r="Y37" s="19"/>
      <c r="Z37" s="20"/>
      <c r="AA37" s="18"/>
      <c r="AB37" s="17"/>
      <c r="AC37" s="21"/>
      <c r="AD37" s="16"/>
    </row>
    <row r="38" spans="1:30" x14ac:dyDescent="0.25">
      <c r="A38" s="62"/>
      <c r="B38" s="4"/>
      <c r="C38" s="10"/>
      <c r="D38" s="7"/>
      <c r="E38" s="10"/>
      <c r="F38" s="4"/>
      <c r="G38" s="16"/>
      <c r="H38" s="9"/>
      <c r="I38" s="21"/>
      <c r="J38" s="16"/>
      <c r="K38" s="18"/>
      <c r="L38" s="20"/>
      <c r="M38" s="18"/>
      <c r="N38" s="20"/>
      <c r="O38" s="18"/>
      <c r="P38" s="20"/>
      <c r="Q38" s="18"/>
      <c r="R38" s="20"/>
      <c r="S38" s="18"/>
      <c r="T38" s="20"/>
      <c r="U38" s="18"/>
      <c r="V38" s="20"/>
      <c r="W38" s="18"/>
      <c r="X38" s="20"/>
      <c r="Y38" s="19"/>
      <c r="Z38" s="20"/>
      <c r="AA38" s="18"/>
      <c r="AB38" s="17"/>
      <c r="AC38" s="21"/>
      <c r="AD38" s="16"/>
    </row>
    <row r="39" spans="1:30" x14ac:dyDescent="0.25">
      <c r="A39" s="62"/>
      <c r="B39" s="4"/>
      <c r="C39" s="10"/>
      <c r="D39" s="7"/>
      <c r="E39" s="10"/>
      <c r="F39" s="4"/>
      <c r="G39" s="16"/>
      <c r="H39" s="9"/>
      <c r="I39" s="21"/>
      <c r="J39" s="16"/>
      <c r="K39" s="18"/>
      <c r="L39" s="20"/>
      <c r="M39" s="18"/>
      <c r="N39" s="20"/>
      <c r="O39" s="18"/>
      <c r="P39" s="20"/>
      <c r="Q39" s="18"/>
      <c r="R39" s="20"/>
      <c r="S39" s="18"/>
      <c r="T39" s="20"/>
      <c r="U39" s="18"/>
      <c r="V39" s="20"/>
      <c r="W39" s="18"/>
      <c r="X39" s="20"/>
      <c r="Y39" s="19"/>
      <c r="Z39" s="20"/>
      <c r="AA39" s="18"/>
      <c r="AB39" s="17"/>
      <c r="AC39" s="21"/>
      <c r="AD39" s="16"/>
    </row>
    <row r="40" spans="1:30" x14ac:dyDescent="0.25">
      <c r="A40" s="63"/>
      <c r="B40" s="23"/>
      <c r="C40" s="24"/>
      <c r="D40" s="26"/>
      <c r="E40" s="24"/>
      <c r="F40" s="23"/>
      <c r="G40" s="27"/>
      <c r="H40" s="28"/>
      <c r="I40" s="29"/>
      <c r="J40" s="27"/>
      <c r="K40" s="30"/>
      <c r="L40" s="31"/>
      <c r="M40" s="30"/>
      <c r="N40" s="31"/>
      <c r="O40" s="30"/>
      <c r="P40" s="31"/>
      <c r="Q40" s="30"/>
      <c r="R40" s="31"/>
      <c r="S40" s="30"/>
      <c r="T40" s="31"/>
      <c r="U40" s="30"/>
      <c r="V40" s="31"/>
      <c r="W40" s="30"/>
      <c r="X40" s="31"/>
      <c r="Y40" s="33"/>
      <c r="Z40" s="31"/>
      <c r="AA40" s="30"/>
      <c r="AB40" s="31"/>
      <c r="AC40" s="29"/>
      <c r="AD40" s="27"/>
    </row>
    <row r="41" spans="1:30" x14ac:dyDescent="0.25">
      <c r="A41" s="62"/>
      <c r="B41" s="4"/>
      <c r="C41" s="10"/>
      <c r="D41" s="7"/>
      <c r="E41" s="10"/>
      <c r="F41" s="4"/>
      <c r="G41" s="16"/>
      <c r="H41" s="9"/>
      <c r="I41" s="21"/>
      <c r="J41" s="16"/>
      <c r="K41" s="18"/>
      <c r="L41" s="20"/>
      <c r="M41" s="18"/>
      <c r="N41" s="20"/>
      <c r="O41" s="18"/>
      <c r="P41" s="20"/>
      <c r="Q41" s="18"/>
      <c r="R41" s="20"/>
      <c r="S41" s="18"/>
      <c r="T41" s="20"/>
      <c r="U41" s="18"/>
      <c r="V41" s="20"/>
      <c r="W41" s="18"/>
      <c r="X41" s="20"/>
      <c r="Y41" s="19"/>
      <c r="Z41" s="20"/>
      <c r="AA41" s="18"/>
      <c r="AB41" s="17"/>
      <c r="AC41" s="21"/>
      <c r="AD41" s="16"/>
    </row>
    <row r="42" spans="1:30" x14ac:dyDescent="0.25">
      <c r="A42" s="62"/>
      <c r="B42" s="4"/>
      <c r="C42" s="10"/>
      <c r="D42" s="7"/>
      <c r="E42" s="10"/>
      <c r="F42" s="4"/>
      <c r="G42" s="16"/>
      <c r="H42" s="9"/>
      <c r="I42" s="21"/>
      <c r="J42" s="16"/>
      <c r="K42" s="18"/>
      <c r="L42" s="20"/>
      <c r="M42" s="18"/>
      <c r="N42" s="20"/>
      <c r="O42" s="18"/>
      <c r="P42" s="20"/>
      <c r="Q42" s="18"/>
      <c r="R42" s="20"/>
      <c r="S42" s="18"/>
      <c r="T42" s="20"/>
      <c r="U42" s="18"/>
      <c r="V42" s="20"/>
      <c r="W42" s="18"/>
      <c r="X42" s="20"/>
      <c r="Y42" s="19"/>
      <c r="Z42" s="20"/>
      <c r="AA42" s="18"/>
      <c r="AB42" s="17"/>
      <c r="AC42" s="21"/>
      <c r="AD42" s="16"/>
    </row>
    <row r="43" spans="1:30" x14ac:dyDescent="0.25">
      <c r="A43" s="62"/>
      <c r="B43" s="4"/>
      <c r="C43" s="10"/>
      <c r="D43" s="7"/>
      <c r="E43" s="10"/>
      <c r="F43" s="4"/>
      <c r="G43" s="16"/>
      <c r="H43" s="9"/>
      <c r="I43" s="21"/>
      <c r="J43" s="16"/>
      <c r="K43" s="18"/>
      <c r="L43" s="20"/>
      <c r="M43" s="18"/>
      <c r="N43" s="20"/>
      <c r="O43" s="18"/>
      <c r="P43" s="20"/>
      <c r="Q43" s="18"/>
      <c r="R43" s="20"/>
      <c r="S43" s="18"/>
      <c r="T43" s="20"/>
      <c r="U43" s="18"/>
      <c r="V43" s="20"/>
      <c r="W43" s="18"/>
      <c r="X43" s="20"/>
      <c r="Y43" s="19"/>
      <c r="Z43" s="20"/>
      <c r="AA43" s="18"/>
      <c r="AB43" s="17"/>
      <c r="AC43" s="21"/>
      <c r="AD43" s="16"/>
    </row>
    <row r="44" spans="1:30" x14ac:dyDescent="0.25">
      <c r="A44" s="62"/>
      <c r="B44" s="4"/>
      <c r="C44" s="10"/>
      <c r="D44" s="7"/>
      <c r="E44" s="10"/>
      <c r="F44" s="4"/>
      <c r="G44" s="16"/>
      <c r="H44" s="9"/>
      <c r="I44" s="21"/>
      <c r="J44" s="16"/>
      <c r="K44" s="18"/>
      <c r="L44" s="20"/>
      <c r="M44" s="18"/>
      <c r="N44" s="20"/>
      <c r="O44" s="18"/>
      <c r="P44" s="20"/>
      <c r="Q44" s="18"/>
      <c r="R44" s="20"/>
      <c r="S44" s="18"/>
      <c r="T44" s="20"/>
      <c r="U44" s="18"/>
      <c r="V44" s="20"/>
      <c r="W44" s="18"/>
      <c r="X44" s="20"/>
      <c r="Y44" s="19"/>
      <c r="Z44" s="20"/>
      <c r="AA44" s="18"/>
      <c r="AB44" s="17"/>
      <c r="AC44" s="21"/>
      <c r="AD44" s="16"/>
    </row>
    <row r="45" spans="1:30" x14ac:dyDescent="0.25">
      <c r="A45" s="62"/>
      <c r="B45" s="4"/>
      <c r="C45" s="10"/>
      <c r="D45" s="7"/>
      <c r="E45" s="10"/>
      <c r="F45" s="4"/>
      <c r="G45" s="16"/>
      <c r="H45" s="9"/>
      <c r="I45" s="21"/>
      <c r="J45" s="16"/>
      <c r="K45" s="18"/>
      <c r="L45" s="20"/>
      <c r="M45" s="18"/>
      <c r="N45" s="20"/>
      <c r="O45" s="18"/>
      <c r="P45" s="20"/>
      <c r="Q45" s="18"/>
      <c r="R45" s="20"/>
      <c r="S45" s="18"/>
      <c r="T45" s="20"/>
      <c r="U45" s="18"/>
      <c r="V45" s="20"/>
      <c r="W45" s="18"/>
      <c r="X45" s="20"/>
      <c r="Y45" s="19"/>
      <c r="Z45" s="20"/>
      <c r="AA45" s="18"/>
      <c r="AB45" s="17"/>
      <c r="AC45" s="21"/>
      <c r="AD45" s="16"/>
    </row>
    <row r="46" spans="1:30" x14ac:dyDescent="0.25">
      <c r="A46" s="62"/>
      <c r="B46" s="4"/>
      <c r="C46" s="10"/>
      <c r="D46" s="7"/>
      <c r="E46" s="10"/>
      <c r="F46" s="4"/>
      <c r="G46" s="16"/>
      <c r="H46" s="9"/>
      <c r="I46" s="21"/>
      <c r="J46" s="16"/>
      <c r="K46" s="18"/>
      <c r="L46" s="20"/>
      <c r="M46" s="18"/>
      <c r="N46" s="20"/>
      <c r="O46" s="18"/>
      <c r="P46" s="20"/>
      <c r="Q46" s="18"/>
      <c r="R46" s="20"/>
      <c r="S46" s="18"/>
      <c r="T46" s="20"/>
      <c r="U46" s="18"/>
      <c r="V46" s="20"/>
      <c r="W46" s="18"/>
      <c r="X46" s="20"/>
      <c r="Y46" s="19"/>
      <c r="Z46" s="20"/>
      <c r="AA46" s="18"/>
      <c r="AB46" s="17"/>
      <c r="AC46" s="21"/>
      <c r="AD46" s="16"/>
    </row>
    <row r="47" spans="1:30" x14ac:dyDescent="0.25">
      <c r="A47" s="62"/>
      <c r="B47" s="4"/>
      <c r="C47" s="10"/>
      <c r="D47" s="7"/>
      <c r="E47" s="10"/>
      <c r="F47" s="4"/>
      <c r="G47" s="16"/>
      <c r="H47" s="9"/>
      <c r="I47" s="21"/>
      <c r="J47" s="16"/>
      <c r="K47" s="18"/>
      <c r="L47" s="20"/>
      <c r="M47" s="18"/>
      <c r="N47" s="20"/>
      <c r="O47" s="18"/>
      <c r="P47" s="20"/>
      <c r="Q47" s="18"/>
      <c r="R47" s="20"/>
      <c r="S47" s="18"/>
      <c r="T47" s="20"/>
      <c r="U47" s="18"/>
      <c r="V47" s="20"/>
      <c r="W47" s="18"/>
      <c r="X47" s="20"/>
      <c r="Y47" s="19"/>
      <c r="Z47" s="20"/>
      <c r="AA47" s="18"/>
      <c r="AB47" s="17"/>
      <c r="AC47" s="21"/>
      <c r="AD47" s="16"/>
    </row>
    <row r="48" spans="1:30" x14ac:dyDescent="0.25">
      <c r="A48" s="62"/>
      <c r="B48" s="4"/>
      <c r="C48" s="10"/>
      <c r="D48" s="7"/>
      <c r="E48" s="10"/>
      <c r="F48" s="4"/>
      <c r="G48" s="16"/>
      <c r="H48" s="9"/>
      <c r="I48" s="21"/>
      <c r="J48" s="16"/>
      <c r="K48" s="18"/>
      <c r="L48" s="20"/>
      <c r="M48" s="18"/>
      <c r="N48" s="20"/>
      <c r="O48" s="18"/>
      <c r="P48" s="20"/>
      <c r="Q48" s="18"/>
      <c r="R48" s="20"/>
      <c r="S48" s="18"/>
      <c r="T48" s="20"/>
      <c r="U48" s="18"/>
      <c r="V48" s="20"/>
      <c r="W48" s="18"/>
      <c r="X48" s="20"/>
      <c r="Y48" s="19"/>
      <c r="Z48" s="20"/>
      <c r="AA48" s="18"/>
      <c r="AB48" s="17"/>
      <c r="AC48" s="21"/>
      <c r="AD48" s="16"/>
    </row>
    <row r="49" spans="1:30" x14ac:dyDescent="0.25">
      <c r="A49" s="62"/>
      <c r="B49" s="4"/>
      <c r="C49" s="10"/>
      <c r="D49" s="7"/>
      <c r="E49" s="10"/>
      <c r="F49" s="4"/>
      <c r="G49" s="16"/>
      <c r="H49" s="9"/>
      <c r="I49" s="21"/>
      <c r="J49" s="16"/>
      <c r="K49" s="18"/>
      <c r="L49" s="20"/>
      <c r="M49" s="18"/>
      <c r="N49" s="20"/>
      <c r="O49" s="18"/>
      <c r="P49" s="20"/>
      <c r="Q49" s="18"/>
      <c r="R49" s="20"/>
      <c r="S49" s="18"/>
      <c r="T49" s="20"/>
      <c r="U49" s="18"/>
      <c r="V49" s="20"/>
      <c r="W49" s="18"/>
      <c r="X49" s="20"/>
      <c r="Y49" s="19"/>
      <c r="Z49" s="20"/>
      <c r="AA49" s="18"/>
      <c r="AB49" s="17"/>
      <c r="AC49" s="21"/>
      <c r="AD49" s="16"/>
    </row>
    <row r="50" spans="1:30" x14ac:dyDescent="0.25">
      <c r="A50" s="62"/>
      <c r="B50" s="4"/>
      <c r="C50" s="10"/>
      <c r="D50" s="7"/>
      <c r="E50" s="10"/>
      <c r="F50" s="4"/>
      <c r="G50" s="16"/>
      <c r="H50" s="9"/>
      <c r="I50" s="21"/>
      <c r="J50" s="16"/>
      <c r="K50" s="18"/>
      <c r="L50" s="20"/>
      <c r="M50" s="18"/>
      <c r="N50" s="20"/>
      <c r="O50" s="18"/>
      <c r="P50" s="20"/>
      <c r="Q50" s="18"/>
      <c r="R50" s="20"/>
      <c r="S50" s="18"/>
      <c r="T50" s="20"/>
      <c r="U50" s="18"/>
      <c r="V50" s="20"/>
      <c r="W50" s="18"/>
      <c r="X50" s="20"/>
      <c r="Y50" s="19"/>
      <c r="Z50" s="20"/>
      <c r="AA50" s="18"/>
      <c r="AB50" s="17"/>
      <c r="AC50" s="21"/>
      <c r="AD50" s="16"/>
    </row>
    <row r="51" spans="1:30" x14ac:dyDescent="0.25">
      <c r="A51" s="62"/>
      <c r="B51" s="4"/>
      <c r="C51" s="10"/>
      <c r="D51" s="7"/>
      <c r="E51" s="10"/>
      <c r="F51" s="4"/>
      <c r="G51" s="16"/>
      <c r="H51" s="9"/>
      <c r="I51" s="21"/>
      <c r="J51" s="16"/>
      <c r="K51" s="18"/>
      <c r="L51" s="20"/>
      <c r="M51" s="18"/>
      <c r="N51" s="20"/>
      <c r="O51" s="18"/>
      <c r="P51" s="20"/>
      <c r="Q51" s="18"/>
      <c r="R51" s="20"/>
      <c r="S51" s="18"/>
      <c r="T51" s="20"/>
      <c r="U51" s="18"/>
      <c r="V51" s="20"/>
      <c r="W51" s="18"/>
      <c r="X51" s="20"/>
      <c r="Y51" s="19"/>
      <c r="Z51" s="20"/>
      <c r="AA51" s="18"/>
      <c r="AB51" s="17"/>
      <c r="AC51" s="21"/>
      <c r="AD51" s="16"/>
    </row>
    <row r="52" spans="1:30" x14ac:dyDescent="0.25">
      <c r="A52" s="62"/>
      <c r="B52" s="4"/>
      <c r="C52" s="10"/>
      <c r="D52" s="7"/>
      <c r="E52" s="10"/>
      <c r="F52" s="4"/>
      <c r="G52" s="16"/>
      <c r="H52" s="9"/>
      <c r="I52" s="21"/>
      <c r="J52" s="16"/>
      <c r="K52" s="18"/>
      <c r="L52" s="20"/>
      <c r="M52" s="18"/>
      <c r="N52" s="20"/>
      <c r="O52" s="18"/>
      <c r="P52" s="20"/>
      <c r="Q52" s="18"/>
      <c r="R52" s="20"/>
      <c r="S52" s="18"/>
      <c r="T52" s="20"/>
      <c r="U52" s="18"/>
      <c r="V52" s="20"/>
      <c r="W52" s="18"/>
      <c r="X52" s="20"/>
      <c r="Y52" s="19"/>
      <c r="Z52" s="20"/>
      <c r="AA52" s="18"/>
      <c r="AB52" s="17"/>
      <c r="AC52" s="21"/>
      <c r="AD52" s="16"/>
    </row>
    <row r="53" spans="1:30" x14ac:dyDescent="0.25">
      <c r="A53" s="63"/>
      <c r="B53" s="23"/>
      <c r="C53" s="24"/>
      <c r="D53" s="26"/>
      <c r="E53" s="24"/>
      <c r="F53" s="23"/>
      <c r="G53" s="27"/>
      <c r="H53" s="28"/>
      <c r="I53" s="29"/>
      <c r="J53" s="27"/>
      <c r="K53" s="30"/>
      <c r="L53" s="31"/>
      <c r="M53" s="30"/>
      <c r="N53" s="31"/>
      <c r="O53" s="30"/>
      <c r="P53" s="31"/>
      <c r="Q53" s="30"/>
      <c r="R53" s="31"/>
      <c r="S53" s="30"/>
      <c r="T53" s="31"/>
      <c r="U53" s="30"/>
      <c r="V53" s="31"/>
      <c r="W53" s="30"/>
      <c r="X53" s="31"/>
      <c r="Y53" s="33"/>
      <c r="Z53" s="31"/>
      <c r="AA53" s="30"/>
      <c r="AB53" s="31"/>
      <c r="AC53" s="29"/>
      <c r="AD53" s="27"/>
    </row>
    <row r="54" spans="1:30" x14ac:dyDescent="0.25">
      <c r="A54" s="62"/>
      <c r="B54" s="4"/>
      <c r="C54" s="10"/>
      <c r="D54" s="7"/>
      <c r="E54" s="10"/>
      <c r="F54" s="4"/>
      <c r="G54" s="16"/>
      <c r="H54" s="9"/>
      <c r="I54" s="21"/>
      <c r="J54" s="16"/>
      <c r="K54" s="18"/>
      <c r="L54" s="20"/>
      <c r="M54" s="18"/>
      <c r="N54" s="20"/>
      <c r="O54" s="18"/>
      <c r="P54" s="20"/>
      <c r="Q54" s="18"/>
      <c r="R54" s="20"/>
      <c r="S54" s="18"/>
      <c r="T54" s="20"/>
      <c r="U54" s="18"/>
      <c r="V54" s="20"/>
      <c r="W54" s="18"/>
      <c r="X54" s="20"/>
      <c r="Y54" s="19"/>
      <c r="Z54" s="20"/>
      <c r="AA54" s="18"/>
      <c r="AB54" s="17"/>
      <c r="AC54" s="21"/>
      <c r="AD54" s="16"/>
    </row>
    <row r="55" spans="1:30" x14ac:dyDescent="0.25">
      <c r="A55" s="62"/>
      <c r="B55" s="4"/>
      <c r="C55" s="10"/>
      <c r="D55" s="7"/>
      <c r="E55" s="10"/>
      <c r="F55" s="4"/>
      <c r="G55" s="16"/>
      <c r="H55" s="9"/>
      <c r="I55" s="21"/>
      <c r="J55" s="16"/>
      <c r="K55" s="18"/>
      <c r="L55" s="20"/>
      <c r="M55" s="18"/>
      <c r="N55" s="20"/>
      <c r="O55" s="18"/>
      <c r="P55" s="20"/>
      <c r="Q55" s="18"/>
      <c r="R55" s="20"/>
      <c r="S55" s="18"/>
      <c r="T55" s="20"/>
      <c r="U55" s="18"/>
      <c r="V55" s="20"/>
      <c r="W55" s="18"/>
      <c r="X55" s="20"/>
      <c r="Y55" s="19"/>
      <c r="Z55" s="20"/>
      <c r="AA55" s="18"/>
      <c r="AB55" s="17"/>
      <c r="AC55" s="21"/>
      <c r="AD55" s="16"/>
    </row>
    <row r="56" spans="1:30" x14ac:dyDescent="0.25">
      <c r="A56" s="62"/>
      <c r="B56" s="4"/>
      <c r="C56" s="10"/>
      <c r="D56" s="7"/>
      <c r="E56" s="10"/>
      <c r="F56" s="4"/>
      <c r="G56" s="16"/>
      <c r="H56" s="9"/>
      <c r="I56" s="21"/>
      <c r="J56" s="16"/>
      <c r="K56" s="18"/>
      <c r="L56" s="20"/>
      <c r="M56" s="18"/>
      <c r="N56" s="20"/>
      <c r="O56" s="18"/>
      <c r="P56" s="20"/>
      <c r="Q56" s="18"/>
      <c r="R56" s="20"/>
      <c r="S56" s="18"/>
      <c r="T56" s="20"/>
      <c r="U56" s="18"/>
      <c r="V56" s="20"/>
      <c r="W56" s="18"/>
      <c r="X56" s="20"/>
      <c r="Y56" s="19"/>
      <c r="Z56" s="20"/>
      <c r="AA56" s="18"/>
      <c r="AB56" s="17"/>
      <c r="AC56" s="21"/>
      <c r="AD56" s="16"/>
    </row>
    <row r="57" spans="1:30" x14ac:dyDescent="0.25">
      <c r="A57" s="62"/>
      <c r="B57" s="4"/>
      <c r="C57" s="10"/>
      <c r="D57" s="7"/>
      <c r="E57" s="10"/>
      <c r="F57" s="4"/>
      <c r="G57" s="16"/>
      <c r="H57" s="9"/>
      <c r="I57" s="21"/>
      <c r="J57" s="16"/>
      <c r="K57" s="18"/>
      <c r="L57" s="20"/>
      <c r="M57" s="18"/>
      <c r="N57" s="20"/>
      <c r="O57" s="18"/>
      <c r="P57" s="20"/>
      <c r="Q57" s="18"/>
      <c r="R57" s="20"/>
      <c r="S57" s="18"/>
      <c r="T57" s="20"/>
      <c r="U57" s="18"/>
      <c r="V57" s="20"/>
      <c r="W57" s="18"/>
      <c r="X57" s="20"/>
      <c r="Y57" s="19"/>
      <c r="Z57" s="20"/>
      <c r="AA57" s="18"/>
      <c r="AB57" s="17"/>
      <c r="AC57" s="21"/>
      <c r="AD57" s="16"/>
    </row>
    <row r="58" spans="1:30" x14ac:dyDescent="0.25">
      <c r="A58" s="62"/>
      <c r="B58" s="4"/>
      <c r="C58" s="10"/>
      <c r="D58" s="7"/>
      <c r="E58" s="10"/>
      <c r="F58" s="4"/>
      <c r="G58" s="16"/>
      <c r="H58" s="9"/>
      <c r="I58" s="21"/>
      <c r="J58" s="16"/>
      <c r="K58" s="18"/>
      <c r="L58" s="20"/>
      <c r="M58" s="18"/>
      <c r="N58" s="20"/>
      <c r="O58" s="18"/>
      <c r="P58" s="20"/>
      <c r="Q58" s="18"/>
      <c r="R58" s="20"/>
      <c r="S58" s="18"/>
      <c r="T58" s="20"/>
      <c r="U58" s="18"/>
      <c r="V58" s="20"/>
      <c r="W58" s="18"/>
      <c r="X58" s="20"/>
      <c r="Y58" s="19"/>
      <c r="Z58" s="20"/>
      <c r="AA58" s="18"/>
      <c r="AB58" s="17"/>
      <c r="AC58" s="21"/>
      <c r="AD58" s="16"/>
    </row>
    <row r="59" spans="1:30" x14ac:dyDescent="0.25">
      <c r="A59" s="62"/>
      <c r="B59" s="4"/>
      <c r="C59" s="10"/>
      <c r="D59" s="7"/>
      <c r="E59" s="10"/>
      <c r="F59" s="4"/>
      <c r="G59" s="16"/>
      <c r="H59" s="9"/>
      <c r="I59" s="21"/>
      <c r="J59" s="16"/>
      <c r="K59" s="18"/>
      <c r="L59" s="20"/>
      <c r="M59" s="18"/>
      <c r="N59" s="20"/>
      <c r="O59" s="18"/>
      <c r="P59" s="20"/>
      <c r="Q59" s="18"/>
      <c r="R59" s="20"/>
      <c r="S59" s="18"/>
      <c r="T59" s="20"/>
      <c r="U59" s="18"/>
      <c r="V59" s="20"/>
      <c r="W59" s="18"/>
      <c r="X59" s="20"/>
      <c r="Y59" s="19"/>
      <c r="Z59" s="20"/>
      <c r="AA59" s="18"/>
      <c r="AB59" s="17"/>
      <c r="AC59" s="21"/>
      <c r="AD59" s="16"/>
    </row>
    <row r="60" spans="1:30" x14ac:dyDescent="0.25">
      <c r="A60" s="62"/>
      <c r="B60" s="4"/>
      <c r="C60" s="10"/>
      <c r="D60" s="7"/>
      <c r="E60" s="10"/>
      <c r="F60" s="4"/>
      <c r="G60" s="16"/>
      <c r="H60" s="9"/>
      <c r="I60" s="21"/>
      <c r="J60" s="16"/>
      <c r="K60" s="18"/>
      <c r="L60" s="20"/>
      <c r="M60" s="18"/>
      <c r="N60" s="20"/>
      <c r="O60" s="18"/>
      <c r="P60" s="20"/>
      <c r="Q60" s="18"/>
      <c r="R60" s="20"/>
      <c r="S60" s="18"/>
      <c r="T60" s="20"/>
      <c r="U60" s="18"/>
      <c r="V60" s="20"/>
      <c r="W60" s="18"/>
      <c r="X60" s="20"/>
      <c r="Y60" s="19"/>
      <c r="Z60" s="20"/>
      <c r="AA60" s="18"/>
      <c r="AB60" s="17"/>
      <c r="AC60" s="21"/>
      <c r="AD60" s="16"/>
    </row>
    <row r="61" spans="1:30" x14ac:dyDescent="0.25">
      <c r="A61" s="62"/>
      <c r="B61" s="4"/>
      <c r="C61" s="10"/>
      <c r="D61" s="7"/>
      <c r="E61" s="10"/>
      <c r="F61" s="4"/>
      <c r="G61" s="16"/>
      <c r="H61" s="9"/>
      <c r="I61" s="21"/>
      <c r="J61" s="16"/>
      <c r="K61" s="18"/>
      <c r="L61" s="20"/>
      <c r="M61" s="18"/>
      <c r="N61" s="20"/>
      <c r="O61" s="18"/>
      <c r="P61" s="20"/>
      <c r="Q61" s="18"/>
      <c r="R61" s="20"/>
      <c r="S61" s="18"/>
      <c r="T61" s="20"/>
      <c r="U61" s="18"/>
      <c r="V61" s="20"/>
      <c r="W61" s="18"/>
      <c r="X61" s="20"/>
      <c r="Y61" s="19"/>
      <c r="Z61" s="20"/>
      <c r="AA61" s="18"/>
      <c r="AB61" s="17"/>
      <c r="AC61" s="21"/>
      <c r="AD61" s="16"/>
    </row>
    <row r="62" spans="1:30" x14ac:dyDescent="0.25">
      <c r="A62" s="62"/>
      <c r="B62" s="4"/>
      <c r="C62" s="10"/>
      <c r="D62" s="7"/>
      <c r="E62" s="10"/>
      <c r="F62" s="4"/>
      <c r="G62" s="16"/>
      <c r="H62" s="9"/>
      <c r="I62" s="21"/>
      <c r="J62" s="16"/>
      <c r="K62" s="18"/>
      <c r="L62" s="20"/>
      <c r="M62" s="18"/>
      <c r="N62" s="20"/>
      <c r="O62" s="18"/>
      <c r="P62" s="20"/>
      <c r="Q62" s="18"/>
      <c r="R62" s="20"/>
      <c r="S62" s="18"/>
      <c r="T62" s="20"/>
      <c r="U62" s="18"/>
      <c r="V62" s="20"/>
      <c r="W62" s="18"/>
      <c r="X62" s="20"/>
      <c r="Y62" s="19"/>
      <c r="Z62" s="20"/>
      <c r="AA62" s="18"/>
      <c r="AB62" s="17"/>
      <c r="AC62" s="21"/>
      <c r="AD62" s="16"/>
    </row>
    <row r="63" spans="1:30" x14ac:dyDescent="0.25">
      <c r="A63" s="62"/>
      <c r="B63" s="4"/>
      <c r="C63" s="10"/>
      <c r="D63" s="7"/>
      <c r="E63" s="10"/>
      <c r="F63" s="4"/>
      <c r="G63" s="16"/>
      <c r="H63" s="9"/>
      <c r="I63" s="21"/>
      <c r="J63" s="16"/>
      <c r="K63" s="18"/>
      <c r="L63" s="20"/>
      <c r="M63" s="18"/>
      <c r="N63" s="20"/>
      <c r="O63" s="18"/>
      <c r="P63" s="20"/>
      <c r="Q63" s="18"/>
      <c r="R63" s="20"/>
      <c r="S63" s="18"/>
      <c r="T63" s="20"/>
      <c r="U63" s="18"/>
      <c r="V63" s="20"/>
      <c r="W63" s="18"/>
      <c r="X63" s="20"/>
      <c r="Y63" s="19"/>
      <c r="Z63" s="20"/>
      <c r="AA63" s="18"/>
      <c r="AB63" s="17"/>
      <c r="AC63" s="21"/>
      <c r="AD63" s="16"/>
    </row>
    <row r="64" spans="1:30" x14ac:dyDescent="0.25">
      <c r="A64" s="62"/>
      <c r="B64" s="4"/>
      <c r="C64" s="10"/>
      <c r="D64" s="7"/>
      <c r="E64" s="10"/>
      <c r="F64" s="4"/>
      <c r="G64" s="16"/>
      <c r="H64" s="9"/>
      <c r="I64" s="21"/>
      <c r="J64" s="16"/>
      <c r="K64" s="18"/>
      <c r="L64" s="20"/>
      <c r="M64" s="18"/>
      <c r="N64" s="20"/>
      <c r="O64" s="18"/>
      <c r="P64" s="20"/>
      <c r="Q64" s="18"/>
      <c r="R64" s="20"/>
      <c r="S64" s="18"/>
      <c r="T64" s="20"/>
      <c r="U64" s="18"/>
      <c r="V64" s="20"/>
      <c r="W64" s="18"/>
      <c r="X64" s="20"/>
      <c r="Y64" s="19"/>
      <c r="Z64" s="20"/>
      <c r="AA64" s="18"/>
      <c r="AB64" s="17"/>
      <c r="AC64" s="21"/>
      <c r="AD64" s="16"/>
    </row>
    <row r="65" spans="1:30" x14ac:dyDescent="0.25">
      <c r="A65" s="62"/>
      <c r="B65" s="4"/>
      <c r="C65" s="10"/>
      <c r="D65" s="7"/>
      <c r="E65" s="10"/>
      <c r="F65" s="4"/>
      <c r="G65" s="16"/>
      <c r="H65" s="9"/>
      <c r="I65" s="21"/>
      <c r="J65" s="16"/>
      <c r="K65" s="18"/>
      <c r="L65" s="20"/>
      <c r="M65" s="18"/>
      <c r="N65" s="20"/>
      <c r="O65" s="18"/>
      <c r="P65" s="20"/>
      <c r="Q65" s="18"/>
      <c r="R65" s="20"/>
      <c r="S65" s="18"/>
      <c r="T65" s="20"/>
      <c r="U65" s="18"/>
      <c r="V65" s="20"/>
      <c r="W65" s="18"/>
      <c r="X65" s="20"/>
      <c r="Y65" s="19"/>
      <c r="Z65" s="20"/>
      <c r="AA65" s="18"/>
      <c r="AB65" s="17"/>
      <c r="AC65" s="21"/>
      <c r="AD65" s="16"/>
    </row>
    <row r="66" spans="1:30" x14ac:dyDescent="0.25">
      <c r="A66" s="63"/>
      <c r="B66" s="23"/>
      <c r="C66" s="24"/>
      <c r="D66" s="26"/>
      <c r="E66" s="24"/>
      <c r="F66" s="23"/>
      <c r="G66" s="27"/>
      <c r="H66" s="28"/>
      <c r="I66" s="29"/>
      <c r="J66" s="27"/>
      <c r="K66" s="30"/>
      <c r="L66" s="31"/>
      <c r="M66" s="30"/>
      <c r="N66" s="31"/>
      <c r="O66" s="30"/>
      <c r="P66" s="31"/>
      <c r="Q66" s="30"/>
      <c r="R66" s="31"/>
      <c r="S66" s="30"/>
      <c r="T66" s="31"/>
      <c r="U66" s="30"/>
      <c r="V66" s="31"/>
      <c r="W66" s="30"/>
      <c r="X66" s="31"/>
      <c r="Y66" s="33"/>
      <c r="Z66" s="31"/>
      <c r="AA66" s="30"/>
      <c r="AB66" s="31"/>
      <c r="AC66" s="29"/>
      <c r="AD66" s="27"/>
    </row>
    <row r="67" spans="1:30" x14ac:dyDescent="0.25">
      <c r="A67" s="62"/>
      <c r="B67" s="4"/>
      <c r="C67" s="10"/>
      <c r="D67" s="7"/>
      <c r="E67" s="10"/>
      <c r="F67" s="4"/>
      <c r="G67" s="16"/>
      <c r="H67" s="9"/>
      <c r="I67" s="21"/>
      <c r="J67" s="16"/>
      <c r="K67" s="18"/>
      <c r="L67" s="20"/>
      <c r="M67" s="18"/>
      <c r="N67" s="20"/>
      <c r="O67" s="18"/>
      <c r="P67" s="20"/>
      <c r="Q67" s="18"/>
      <c r="R67" s="20"/>
      <c r="S67" s="18"/>
      <c r="T67" s="20"/>
      <c r="U67" s="18"/>
      <c r="V67" s="20"/>
      <c r="W67" s="18"/>
      <c r="X67" s="20"/>
      <c r="Y67" s="19"/>
      <c r="Z67" s="20"/>
      <c r="AA67" s="18"/>
      <c r="AB67" s="17"/>
      <c r="AC67" s="21"/>
      <c r="AD67" s="16"/>
    </row>
    <row r="68" spans="1:30" x14ac:dyDescent="0.25">
      <c r="A68" s="62"/>
      <c r="B68" s="4"/>
      <c r="C68" s="10"/>
      <c r="D68" s="7"/>
      <c r="E68" s="10"/>
      <c r="F68" s="4"/>
      <c r="G68" s="16"/>
      <c r="H68" s="9"/>
      <c r="I68" s="21"/>
      <c r="J68" s="16"/>
      <c r="K68" s="18"/>
      <c r="L68" s="20"/>
      <c r="M68" s="18"/>
      <c r="N68" s="20"/>
      <c r="O68" s="18"/>
      <c r="P68" s="20"/>
      <c r="Q68" s="18"/>
      <c r="R68" s="20"/>
      <c r="S68" s="18"/>
      <c r="T68" s="20"/>
      <c r="U68" s="18"/>
      <c r="V68" s="20"/>
      <c r="W68" s="18"/>
      <c r="X68" s="20"/>
      <c r="Y68" s="19"/>
      <c r="Z68" s="20"/>
      <c r="AA68" s="18"/>
      <c r="AB68" s="17"/>
      <c r="AC68" s="21"/>
      <c r="AD68" s="16"/>
    </row>
    <row r="69" spans="1:30" x14ac:dyDescent="0.25">
      <c r="A69" s="62"/>
      <c r="B69" s="4"/>
      <c r="C69" s="10"/>
      <c r="D69" s="7"/>
      <c r="E69" s="10"/>
      <c r="F69" s="4"/>
      <c r="G69" s="16"/>
      <c r="H69" s="9"/>
      <c r="I69" s="21"/>
      <c r="J69" s="16"/>
      <c r="K69" s="18"/>
      <c r="L69" s="20"/>
      <c r="M69" s="18"/>
      <c r="N69" s="20"/>
      <c r="O69" s="18"/>
      <c r="P69" s="20"/>
      <c r="Q69" s="18"/>
      <c r="R69" s="20"/>
      <c r="S69" s="18"/>
      <c r="T69" s="20"/>
      <c r="U69" s="18"/>
      <c r="V69" s="20"/>
      <c r="W69" s="18"/>
      <c r="X69" s="20"/>
      <c r="Y69" s="19"/>
      <c r="Z69" s="20"/>
      <c r="AA69" s="18"/>
      <c r="AB69" s="17"/>
      <c r="AC69" s="21"/>
      <c r="AD69" s="16"/>
    </row>
    <row r="70" spans="1:30" x14ac:dyDescent="0.25">
      <c r="A70" s="62"/>
      <c r="B70" s="4"/>
      <c r="C70" s="10"/>
      <c r="D70" s="7"/>
      <c r="E70" s="10"/>
      <c r="F70" s="4"/>
      <c r="G70" s="16"/>
      <c r="H70" s="9"/>
      <c r="I70" s="21"/>
      <c r="J70" s="16"/>
      <c r="K70" s="18"/>
      <c r="L70" s="20"/>
      <c r="M70" s="18"/>
      <c r="N70" s="20"/>
      <c r="O70" s="18"/>
      <c r="P70" s="20"/>
      <c r="Q70" s="18"/>
      <c r="R70" s="20"/>
      <c r="S70" s="18"/>
      <c r="T70" s="20"/>
      <c r="U70" s="18"/>
      <c r="V70" s="20"/>
      <c r="W70" s="18"/>
      <c r="X70" s="20"/>
      <c r="Y70" s="19"/>
      <c r="Z70" s="20"/>
      <c r="AA70" s="18"/>
      <c r="AB70" s="17"/>
      <c r="AC70" s="21"/>
      <c r="AD70" s="16"/>
    </row>
    <row r="71" spans="1:30" x14ac:dyDescent="0.25">
      <c r="A71" s="62"/>
      <c r="B71" s="4"/>
      <c r="C71" s="10"/>
      <c r="D71" s="7"/>
      <c r="E71" s="10"/>
      <c r="F71" s="4"/>
      <c r="G71" s="16"/>
      <c r="H71" s="9"/>
      <c r="I71" s="21"/>
      <c r="J71" s="16"/>
      <c r="K71" s="18"/>
      <c r="L71" s="20"/>
      <c r="M71" s="18"/>
      <c r="N71" s="20"/>
      <c r="O71" s="18"/>
      <c r="P71" s="20"/>
      <c r="Q71" s="18"/>
      <c r="R71" s="20"/>
      <c r="S71" s="18"/>
      <c r="T71" s="20"/>
      <c r="U71" s="18"/>
      <c r="V71" s="20"/>
      <c r="W71" s="18"/>
      <c r="X71" s="20"/>
      <c r="Y71" s="19"/>
      <c r="Z71" s="20"/>
      <c r="AA71" s="18"/>
      <c r="AB71" s="17"/>
      <c r="AC71" s="21"/>
      <c r="AD71" s="16"/>
    </row>
    <row r="72" spans="1:30" x14ac:dyDescent="0.25">
      <c r="A72" s="62"/>
      <c r="B72" s="4"/>
      <c r="C72" s="10"/>
      <c r="D72" s="7"/>
      <c r="E72" s="10"/>
      <c r="F72" s="4"/>
      <c r="G72" s="16"/>
      <c r="H72" s="9"/>
      <c r="I72" s="21"/>
      <c r="J72" s="16"/>
      <c r="K72" s="18"/>
      <c r="L72" s="20"/>
      <c r="M72" s="18"/>
      <c r="N72" s="20"/>
      <c r="O72" s="18"/>
      <c r="P72" s="20"/>
      <c r="Q72" s="18"/>
      <c r="R72" s="20"/>
      <c r="S72" s="18"/>
      <c r="T72" s="20"/>
      <c r="U72" s="18"/>
      <c r="V72" s="20"/>
      <c r="W72" s="18"/>
      <c r="X72" s="20"/>
      <c r="Y72" s="19"/>
      <c r="Z72" s="20"/>
      <c r="AA72" s="18"/>
      <c r="AB72" s="17"/>
      <c r="AC72" s="21"/>
      <c r="AD72" s="16"/>
    </row>
    <row r="73" spans="1:30" x14ac:dyDescent="0.25">
      <c r="A73" s="62"/>
      <c r="B73" s="4"/>
      <c r="C73" s="10"/>
      <c r="D73" s="7"/>
      <c r="E73" s="10"/>
      <c r="F73" s="4"/>
      <c r="G73" s="16"/>
      <c r="H73" s="9"/>
      <c r="I73" s="21"/>
      <c r="J73" s="16"/>
      <c r="K73" s="18"/>
      <c r="L73" s="20"/>
      <c r="M73" s="18"/>
      <c r="N73" s="20"/>
      <c r="O73" s="18"/>
      <c r="P73" s="20"/>
      <c r="Q73" s="18"/>
      <c r="R73" s="20"/>
      <c r="S73" s="18"/>
      <c r="T73" s="20"/>
      <c r="U73" s="18"/>
      <c r="V73" s="20"/>
      <c r="W73" s="18"/>
      <c r="X73" s="20"/>
      <c r="Y73" s="19"/>
      <c r="Z73" s="20"/>
      <c r="AA73" s="18"/>
      <c r="AB73" s="17"/>
      <c r="AC73" s="21"/>
      <c r="AD73" s="16"/>
    </row>
    <row r="74" spans="1:30" x14ac:dyDescent="0.25">
      <c r="A74" s="62"/>
      <c r="B74" s="4"/>
      <c r="C74" s="10"/>
      <c r="D74" s="7"/>
      <c r="E74" s="10"/>
      <c r="F74" s="4"/>
      <c r="G74" s="16"/>
      <c r="H74" s="9"/>
      <c r="I74" s="21"/>
      <c r="J74" s="16"/>
      <c r="K74" s="18"/>
      <c r="L74" s="20"/>
      <c r="M74" s="18"/>
      <c r="N74" s="20"/>
      <c r="O74" s="18"/>
      <c r="P74" s="20"/>
      <c r="Q74" s="18"/>
      <c r="R74" s="20"/>
      <c r="S74" s="18"/>
      <c r="T74" s="20"/>
      <c r="U74" s="18"/>
      <c r="V74" s="20"/>
      <c r="W74" s="18"/>
      <c r="X74" s="20"/>
      <c r="Y74" s="19"/>
      <c r="Z74" s="20"/>
      <c r="AA74" s="18"/>
      <c r="AB74" s="17"/>
      <c r="AC74" s="21"/>
      <c r="AD74" s="16"/>
    </row>
    <row r="75" spans="1:30" x14ac:dyDescent="0.25">
      <c r="A75" s="62"/>
      <c r="B75" s="4"/>
      <c r="C75" s="10"/>
      <c r="D75" s="7"/>
      <c r="E75" s="10"/>
      <c r="F75" s="4"/>
      <c r="G75" s="16"/>
      <c r="H75" s="9"/>
      <c r="I75" s="21"/>
      <c r="J75" s="16"/>
      <c r="K75" s="18"/>
      <c r="L75" s="20"/>
      <c r="M75" s="18"/>
      <c r="N75" s="20"/>
      <c r="O75" s="18"/>
      <c r="P75" s="20"/>
      <c r="Q75" s="18"/>
      <c r="R75" s="20"/>
      <c r="S75" s="18"/>
      <c r="T75" s="20"/>
      <c r="U75" s="18"/>
      <c r="V75" s="20"/>
      <c r="W75" s="18"/>
      <c r="X75" s="20"/>
      <c r="Y75" s="19"/>
      <c r="Z75" s="20"/>
      <c r="AA75" s="18"/>
      <c r="AB75" s="17"/>
      <c r="AC75" s="21"/>
      <c r="AD75" s="16"/>
    </row>
    <row r="76" spans="1:30" x14ac:dyDescent="0.25">
      <c r="A76" s="62"/>
      <c r="B76" s="4"/>
      <c r="C76" s="10"/>
      <c r="D76" s="7"/>
      <c r="E76" s="10"/>
      <c r="F76" s="4"/>
      <c r="G76" s="16"/>
      <c r="H76" s="9"/>
      <c r="I76" s="21"/>
      <c r="J76" s="16"/>
      <c r="K76" s="18"/>
      <c r="L76" s="20"/>
      <c r="M76" s="18"/>
      <c r="N76" s="20"/>
      <c r="O76" s="18"/>
      <c r="P76" s="20"/>
      <c r="Q76" s="18"/>
      <c r="R76" s="20"/>
      <c r="S76" s="18"/>
      <c r="T76" s="20"/>
      <c r="U76" s="18"/>
      <c r="V76" s="20"/>
      <c r="W76" s="18"/>
      <c r="X76" s="20"/>
      <c r="Y76" s="19"/>
      <c r="Z76" s="20"/>
      <c r="AA76" s="18"/>
      <c r="AB76" s="17"/>
      <c r="AC76" s="21"/>
      <c r="AD76" s="16"/>
    </row>
    <row r="77" spans="1:30" x14ac:dyDescent="0.25">
      <c r="A77" s="62"/>
      <c r="B77" s="4"/>
      <c r="C77" s="10"/>
      <c r="D77" s="7"/>
      <c r="E77" s="10"/>
      <c r="F77" s="4"/>
      <c r="G77" s="16"/>
      <c r="H77" s="9"/>
      <c r="I77" s="21"/>
      <c r="J77" s="16"/>
      <c r="K77" s="18"/>
      <c r="L77" s="20"/>
      <c r="M77" s="18"/>
      <c r="N77" s="20"/>
      <c r="O77" s="18"/>
      <c r="P77" s="20"/>
      <c r="Q77" s="18"/>
      <c r="R77" s="20"/>
      <c r="S77" s="18"/>
      <c r="T77" s="20"/>
      <c r="U77" s="18"/>
      <c r="V77" s="20"/>
      <c r="W77" s="18"/>
      <c r="X77" s="20"/>
      <c r="Y77" s="19"/>
      <c r="Z77" s="20"/>
      <c r="AA77" s="18"/>
      <c r="AB77" s="17"/>
      <c r="AC77" s="21"/>
      <c r="AD77" s="16"/>
    </row>
    <row r="78" spans="1:30" x14ac:dyDescent="0.25">
      <c r="A78" s="62"/>
      <c r="B78" s="4"/>
      <c r="C78" s="10"/>
      <c r="D78" s="7"/>
      <c r="E78" s="10"/>
      <c r="F78" s="4"/>
      <c r="G78" s="16"/>
      <c r="H78" s="9"/>
      <c r="I78" s="21"/>
      <c r="J78" s="16"/>
      <c r="K78" s="18"/>
      <c r="L78" s="20"/>
      <c r="M78" s="18"/>
      <c r="N78" s="20"/>
      <c r="O78" s="18"/>
      <c r="P78" s="20"/>
      <c r="Q78" s="18"/>
      <c r="R78" s="20"/>
      <c r="S78" s="18"/>
      <c r="T78" s="20"/>
      <c r="U78" s="18"/>
      <c r="V78" s="20"/>
      <c r="W78" s="18"/>
      <c r="X78" s="20"/>
      <c r="Y78" s="19"/>
      <c r="Z78" s="20"/>
      <c r="AA78" s="18"/>
      <c r="AB78" s="17"/>
      <c r="AC78" s="21"/>
      <c r="AD78" s="16"/>
    </row>
    <row r="79" spans="1:30" x14ac:dyDescent="0.25">
      <c r="A79" s="64"/>
      <c r="B79" s="26"/>
      <c r="C79" s="24"/>
      <c r="D79" s="26"/>
      <c r="E79" s="24"/>
      <c r="F79" s="26"/>
      <c r="G79" s="27"/>
      <c r="H79" s="28"/>
      <c r="I79" s="29"/>
      <c r="J79" s="27"/>
      <c r="K79" s="29"/>
      <c r="L79" s="31"/>
      <c r="M79" s="29"/>
      <c r="N79" s="31"/>
      <c r="O79" s="29"/>
      <c r="P79" s="31"/>
      <c r="Q79" s="29"/>
      <c r="R79" s="31"/>
      <c r="S79" s="29"/>
      <c r="T79" s="31"/>
      <c r="U79" s="29"/>
      <c r="V79" s="31"/>
      <c r="W79" s="29"/>
      <c r="X79" s="31"/>
      <c r="Y79" s="29"/>
      <c r="Z79" s="31"/>
      <c r="AA79" s="29"/>
      <c r="AB79" s="31"/>
      <c r="AC79" s="29"/>
      <c r="AD79" s="2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FED9E-9B07-4560-A38E-25600A7B993F}">
  <sheetPr codeName="Sheet11"/>
  <dimension ref="A1:AT108"/>
  <sheetViews>
    <sheetView topLeftCell="D1" workbookViewId="0">
      <selection activeCell="U46" sqref="U46"/>
    </sheetView>
  </sheetViews>
  <sheetFormatPr defaultRowHeight="15" x14ac:dyDescent="0.25"/>
  <cols>
    <col min="1" max="1" width="13.140625" bestFit="1" customWidth="1"/>
    <col min="2" max="2" width="15.5703125" bestFit="1" customWidth="1"/>
    <col min="4" max="4" width="13.140625" bestFit="1" customWidth="1"/>
    <col min="5" max="5" width="15.5703125" bestFit="1" customWidth="1"/>
    <col min="6" max="6" width="28.140625" bestFit="1" customWidth="1"/>
    <col min="11" max="11" width="13.140625" bestFit="1" customWidth="1"/>
    <col min="12" max="12" width="24.140625" bestFit="1" customWidth="1"/>
    <col min="13" max="13" width="26" bestFit="1" customWidth="1"/>
    <col min="14" max="14" width="22.85546875" bestFit="1" customWidth="1"/>
    <col min="15" max="15" width="24" bestFit="1" customWidth="1"/>
    <col min="16" max="16" width="13.140625" bestFit="1" customWidth="1"/>
    <col min="17" max="17" width="14" bestFit="1" customWidth="1"/>
    <col min="18" max="18" width="30.28515625" bestFit="1" customWidth="1"/>
    <col min="19" max="19" width="13.140625" bestFit="1" customWidth="1"/>
    <col min="20" max="20" width="24" bestFit="1" customWidth="1"/>
    <col min="21" max="21" width="22" bestFit="1" customWidth="1"/>
    <col min="22" max="22" width="13.140625" bestFit="1" customWidth="1"/>
    <col min="23" max="23" width="14.140625" bestFit="1" customWidth="1"/>
    <col min="24" max="24" width="30.28515625" bestFit="1" customWidth="1"/>
    <col min="26" max="26" width="13.140625" bestFit="1" customWidth="1"/>
    <col min="27" max="27" width="23" bestFit="1" customWidth="1"/>
    <col min="28" max="28" width="31.5703125" bestFit="1" customWidth="1"/>
    <col min="29" max="29" width="25.85546875" bestFit="1" customWidth="1"/>
    <col min="30" max="30" width="30" bestFit="1" customWidth="1"/>
    <col min="31" max="31" width="40.85546875" bestFit="1" customWidth="1"/>
    <col min="32" max="32" width="25.140625" bestFit="1" customWidth="1"/>
    <col min="33" max="33" width="28.28515625" bestFit="1" customWidth="1"/>
    <col min="34" max="34" width="14.140625" bestFit="1" customWidth="1"/>
    <col min="35" max="35" width="45.85546875" bestFit="1" customWidth="1"/>
    <col min="36" max="36" width="9" bestFit="1" customWidth="1"/>
    <col min="37" max="37" width="40.85546875" bestFit="1" customWidth="1"/>
    <col min="38" max="38" width="28.28515625" bestFit="1" customWidth="1"/>
    <col min="39" max="39" width="30" bestFit="1" customWidth="1"/>
    <col min="40" max="40" width="25.85546875" bestFit="1" customWidth="1"/>
    <col min="41" max="41" width="28.28515625" bestFit="1" customWidth="1"/>
    <col min="42" max="42" width="25.140625" bestFit="1" customWidth="1"/>
    <col min="43" max="43" width="30" bestFit="1" customWidth="1"/>
    <col min="44" max="44" width="23" bestFit="1" customWidth="1"/>
    <col min="45" max="45" width="31.5703125" bestFit="1" customWidth="1"/>
    <col min="46" max="46" width="40.85546875" bestFit="1" customWidth="1"/>
    <col min="47" max="112" width="11.7109375" bestFit="1" customWidth="1"/>
    <col min="113" max="113" width="11.28515625" bestFit="1" customWidth="1"/>
  </cols>
  <sheetData>
    <row r="1" spans="1:46" x14ac:dyDescent="0.25">
      <c r="AN1" t="s">
        <v>110</v>
      </c>
    </row>
    <row r="3" spans="1:46" x14ac:dyDescent="0.25">
      <c r="A3" s="36" t="s">
        <v>22</v>
      </c>
      <c r="B3" t="s">
        <v>25</v>
      </c>
      <c r="D3" s="36" t="s">
        <v>22</v>
      </c>
      <c r="E3" t="s">
        <v>25</v>
      </c>
      <c r="K3" s="36" t="s">
        <v>22</v>
      </c>
      <c r="L3" t="s">
        <v>136</v>
      </c>
      <c r="M3" t="s">
        <v>137</v>
      </c>
      <c r="N3" t="s">
        <v>133</v>
      </c>
      <c r="O3" t="s">
        <v>138</v>
      </c>
      <c r="P3" s="36" t="s">
        <v>22</v>
      </c>
      <c r="Q3" t="s">
        <v>29</v>
      </c>
      <c r="S3" s="36" t="s">
        <v>22</v>
      </c>
      <c r="T3" t="s">
        <v>30</v>
      </c>
      <c r="V3" s="36" t="s">
        <v>22</v>
      </c>
      <c r="W3" t="s">
        <v>31</v>
      </c>
      <c r="AA3" t="s">
        <v>33</v>
      </c>
      <c r="AB3" t="s">
        <v>32</v>
      </c>
      <c r="AC3" t="s">
        <v>34</v>
      </c>
      <c r="AD3" t="s">
        <v>36</v>
      </c>
      <c r="AE3" t="s">
        <v>35</v>
      </c>
      <c r="AF3" t="s">
        <v>37</v>
      </c>
      <c r="AG3" t="s">
        <v>38</v>
      </c>
      <c r="AH3" t="s">
        <v>31</v>
      </c>
      <c r="AI3" s="36" t="s">
        <v>22</v>
      </c>
    </row>
    <row r="4" spans="1:46" x14ac:dyDescent="0.25">
      <c r="A4" s="38">
        <v>42736</v>
      </c>
      <c r="B4" s="48">
        <v>8410477</v>
      </c>
      <c r="D4" s="38" t="s">
        <v>48</v>
      </c>
      <c r="E4" s="45">
        <v>140746374</v>
      </c>
      <c r="K4" s="38">
        <v>42736</v>
      </c>
      <c r="L4" s="50">
        <v>3638663</v>
      </c>
      <c r="M4" s="35">
        <v>2440127</v>
      </c>
      <c r="N4" s="35">
        <v>584513</v>
      </c>
      <c r="O4" s="53">
        <v>0.43263455806371032</v>
      </c>
      <c r="P4" s="37" t="s">
        <v>48</v>
      </c>
      <c r="Q4" s="35">
        <v>14261441</v>
      </c>
      <c r="S4" s="37" t="s">
        <v>48</v>
      </c>
      <c r="T4" s="39">
        <v>0.51091155126629628</v>
      </c>
      <c r="V4" s="37" t="s">
        <v>16</v>
      </c>
      <c r="W4" s="35">
        <v>5092962</v>
      </c>
      <c r="AA4" s="35">
        <v>30562705</v>
      </c>
      <c r="AB4" s="35">
        <v>8619489</v>
      </c>
      <c r="AC4" s="35">
        <v>6268715</v>
      </c>
      <c r="AD4" s="35">
        <v>4464712</v>
      </c>
      <c r="AE4" s="35">
        <v>2308141</v>
      </c>
      <c r="AF4" s="35">
        <v>4410485</v>
      </c>
      <c r="AG4" s="35">
        <v>893801</v>
      </c>
      <c r="AH4" s="35">
        <v>5092962</v>
      </c>
      <c r="AI4" s="37" t="s">
        <v>16</v>
      </c>
      <c r="AJ4" s="35"/>
      <c r="AN4" t="s">
        <v>34</v>
      </c>
      <c r="AO4" t="s">
        <v>38</v>
      </c>
      <c r="AP4" t="s">
        <v>37</v>
      </c>
      <c r="AQ4" t="s">
        <v>36</v>
      </c>
      <c r="AR4" t="s">
        <v>33</v>
      </c>
      <c r="AS4" t="s">
        <v>32</v>
      </c>
      <c r="AT4" t="s">
        <v>35</v>
      </c>
    </row>
    <row r="5" spans="1:46" x14ac:dyDescent="0.25">
      <c r="A5" s="38">
        <v>42767</v>
      </c>
      <c r="B5" s="48">
        <v>8781008</v>
      </c>
      <c r="D5" s="38" t="s">
        <v>49</v>
      </c>
      <c r="E5" s="45">
        <v>150169093</v>
      </c>
      <c r="K5" s="38">
        <v>42767</v>
      </c>
      <c r="L5" s="50">
        <v>3409234</v>
      </c>
      <c r="M5" s="35">
        <v>3074358</v>
      </c>
      <c r="N5" s="35">
        <v>226660</v>
      </c>
      <c r="O5" s="53">
        <v>0.38825087051509349</v>
      </c>
      <c r="P5" s="37" t="s">
        <v>49</v>
      </c>
      <c r="Q5" s="35">
        <v>20091817</v>
      </c>
      <c r="S5" s="37" t="s">
        <v>49</v>
      </c>
      <c r="T5" s="39">
        <v>0.57538159500922248</v>
      </c>
      <c r="V5" s="37" t="s">
        <v>17</v>
      </c>
      <c r="W5" s="35">
        <v>6669389</v>
      </c>
      <c r="AI5" s="41" t="s">
        <v>37</v>
      </c>
      <c r="AJ5" s="35">
        <v>4410485</v>
      </c>
      <c r="AN5" s="35">
        <v>26903288.059999999</v>
      </c>
      <c r="AO5" s="35">
        <v>10979730.98</v>
      </c>
      <c r="AP5" s="35">
        <v>10861249</v>
      </c>
      <c r="AQ5" s="35">
        <v>26224811.710000001</v>
      </c>
      <c r="AR5" s="35">
        <v>226135511.26999998</v>
      </c>
      <c r="AS5" s="35">
        <v>44528134.600000001</v>
      </c>
      <c r="AT5" s="35">
        <v>18166400.590000004</v>
      </c>
    </row>
    <row r="6" spans="1:46" x14ac:dyDescent="0.25">
      <c r="A6" s="38">
        <v>42795</v>
      </c>
      <c r="B6" s="48">
        <v>9994730</v>
      </c>
      <c r="D6" s="38" t="s">
        <v>50</v>
      </c>
      <c r="E6" s="45">
        <v>128139927</v>
      </c>
      <c r="K6" s="38">
        <v>42795</v>
      </c>
      <c r="L6" s="50">
        <v>4516140</v>
      </c>
      <c r="M6" s="35">
        <v>3423016</v>
      </c>
      <c r="N6" s="35">
        <v>790968</v>
      </c>
      <c r="O6" s="53">
        <v>0.45185212607043912</v>
      </c>
      <c r="P6" s="37" t="s">
        <v>50</v>
      </c>
      <c r="Q6" s="35">
        <v>13322133.329999998</v>
      </c>
      <c r="S6" s="37" t="s">
        <v>50</v>
      </c>
      <c r="T6" s="39">
        <v>0.58090882713926717</v>
      </c>
      <c r="V6" s="37" t="s">
        <v>18</v>
      </c>
      <c r="W6" s="35">
        <v>7263825</v>
      </c>
      <c r="AI6" s="41" t="s">
        <v>35</v>
      </c>
      <c r="AJ6" s="35">
        <v>2308141</v>
      </c>
    </row>
    <row r="7" spans="1:46" x14ac:dyDescent="0.25">
      <c r="A7" s="38">
        <v>42826</v>
      </c>
      <c r="B7" s="48">
        <v>10482743</v>
      </c>
      <c r="D7" s="38" t="s">
        <v>51</v>
      </c>
      <c r="E7" s="45">
        <v>133139885.69</v>
      </c>
      <c r="K7" s="38">
        <v>42826</v>
      </c>
      <c r="L7" s="50">
        <v>4954030</v>
      </c>
      <c r="M7" s="35">
        <v>4356975</v>
      </c>
      <c r="N7" s="35">
        <v>-534814</v>
      </c>
      <c r="O7" s="53">
        <v>0.47258909237782515</v>
      </c>
      <c r="P7" s="37" t="s">
        <v>51</v>
      </c>
      <c r="Q7" s="35">
        <v>22219020.690000001</v>
      </c>
      <c r="S7" s="37" t="s">
        <v>51</v>
      </c>
      <c r="T7" s="39">
        <v>0.57460508069201599</v>
      </c>
      <c r="V7" s="37" t="s">
        <v>19</v>
      </c>
      <c r="W7" s="35">
        <v>3613178.0599999996</v>
      </c>
      <c r="AI7" s="41" t="s">
        <v>38</v>
      </c>
      <c r="AJ7" s="35">
        <v>893801</v>
      </c>
    </row>
    <row r="8" spans="1:46" x14ac:dyDescent="0.25">
      <c r="A8" s="38">
        <v>42856</v>
      </c>
      <c r="B8" s="48">
        <v>13324007</v>
      </c>
      <c r="D8" s="38" t="s">
        <v>52</v>
      </c>
      <c r="E8" s="45">
        <v>142248115.42000002</v>
      </c>
      <c r="K8" s="38">
        <v>42856</v>
      </c>
      <c r="L8" s="50">
        <v>6963004</v>
      </c>
      <c r="M8" s="35">
        <v>4780952</v>
      </c>
      <c r="N8" s="35">
        <v>1845483</v>
      </c>
      <c r="O8" s="53">
        <v>0.52259083922726846</v>
      </c>
      <c r="P8" s="37" t="s">
        <v>52</v>
      </c>
      <c r="Q8" s="35">
        <v>18830930.129999999</v>
      </c>
      <c r="S8" s="37" t="s">
        <v>52</v>
      </c>
      <c r="T8" s="39">
        <v>0.56462393089253571</v>
      </c>
      <c r="V8" s="37" t="s">
        <v>20</v>
      </c>
      <c r="W8" s="35">
        <v>5745032</v>
      </c>
      <c r="AI8" s="41" t="s">
        <v>36</v>
      </c>
      <c r="AJ8" s="35">
        <v>4464712</v>
      </c>
      <c r="AN8" t="s">
        <v>104</v>
      </c>
      <c r="AO8" t="s">
        <v>103</v>
      </c>
    </row>
    <row r="9" spans="1:46" x14ac:dyDescent="0.25">
      <c r="A9" s="38">
        <v>42887</v>
      </c>
      <c r="B9" s="48">
        <v>12665976</v>
      </c>
      <c r="D9" s="38" t="s">
        <v>53</v>
      </c>
      <c r="E9" s="45">
        <v>159104486.56000003</v>
      </c>
      <c r="K9" s="38">
        <v>42887</v>
      </c>
      <c r="L9" s="50">
        <v>6842361</v>
      </c>
      <c r="M9" s="35">
        <v>5154070</v>
      </c>
      <c r="N9" s="35">
        <v>1622107</v>
      </c>
      <c r="O9" s="53">
        <v>0.5402158507169128</v>
      </c>
      <c r="P9" s="37" t="s">
        <v>53</v>
      </c>
      <c r="Q9" s="35">
        <v>26997589.379999999</v>
      </c>
      <c r="S9" s="37" t="s">
        <v>53</v>
      </c>
      <c r="T9" s="39">
        <v>0.57579243608718267</v>
      </c>
      <c r="V9" s="37" t="s">
        <v>21</v>
      </c>
      <c r="W9" s="35">
        <v>5805307.7899999991</v>
      </c>
      <c r="AI9" s="41" t="s">
        <v>34</v>
      </c>
      <c r="AJ9" s="35">
        <v>6268715</v>
      </c>
      <c r="AN9" s="69" t="s">
        <v>105</v>
      </c>
      <c r="AO9" s="45">
        <v>226135511.26999998</v>
      </c>
    </row>
    <row r="10" spans="1:46" x14ac:dyDescent="0.25">
      <c r="A10" s="38">
        <v>42917</v>
      </c>
      <c r="B10" s="48">
        <v>13362147</v>
      </c>
      <c r="D10" s="37" t="s">
        <v>23</v>
      </c>
      <c r="E10" s="45">
        <v>853547881.6700002</v>
      </c>
      <c r="K10" s="38">
        <v>42917</v>
      </c>
      <c r="L10" s="50">
        <v>7300856</v>
      </c>
      <c r="M10" s="35">
        <v>4549423</v>
      </c>
      <c r="N10" s="35">
        <v>2100689</v>
      </c>
      <c r="O10" s="53">
        <v>0.54638345170128721</v>
      </c>
      <c r="P10" s="37" t="s">
        <v>23</v>
      </c>
      <c r="Q10" s="35">
        <v>115722931.52999999</v>
      </c>
      <c r="S10" s="37" t="s">
        <v>23</v>
      </c>
      <c r="T10" s="39">
        <v>3.3822234210865205</v>
      </c>
      <c r="V10" s="37" t="s">
        <v>23</v>
      </c>
      <c r="W10" s="35">
        <v>34189693.849999994</v>
      </c>
      <c r="AI10" s="41" t="s">
        <v>33</v>
      </c>
      <c r="AJ10" s="35">
        <v>30562705</v>
      </c>
      <c r="AN10" s="69" t="s">
        <v>106</v>
      </c>
      <c r="AO10" s="45">
        <v>44528134.600000001</v>
      </c>
    </row>
    <row r="11" spans="1:46" x14ac:dyDescent="0.25">
      <c r="A11" s="38">
        <v>42948</v>
      </c>
      <c r="B11" s="48">
        <v>12258656</v>
      </c>
      <c r="K11" s="38">
        <v>42948</v>
      </c>
      <c r="L11" s="50">
        <v>7099490</v>
      </c>
      <c r="M11" s="35">
        <v>5663979</v>
      </c>
      <c r="N11" s="35">
        <v>1205797</v>
      </c>
      <c r="O11" s="53">
        <v>0.57914097597648551</v>
      </c>
      <c r="AI11" s="41" t="s">
        <v>32</v>
      </c>
      <c r="AJ11" s="35">
        <v>8619489</v>
      </c>
      <c r="AN11" s="69" t="s">
        <v>107</v>
      </c>
      <c r="AO11" s="45">
        <v>26903288.059999999</v>
      </c>
    </row>
    <row r="12" spans="1:46" x14ac:dyDescent="0.25">
      <c r="A12" s="38">
        <v>42979</v>
      </c>
      <c r="B12" s="48">
        <v>13790745</v>
      </c>
      <c r="K12" s="38">
        <v>42979</v>
      </c>
      <c r="L12" s="50">
        <v>7641576</v>
      </c>
      <c r="M12" s="35">
        <v>5837142</v>
      </c>
      <c r="N12" s="35">
        <v>1656975</v>
      </c>
      <c r="O12" s="53">
        <v>0.55410900571361443</v>
      </c>
      <c r="AI12" s="37" t="s">
        <v>39</v>
      </c>
      <c r="AJ12" s="35">
        <v>4410485</v>
      </c>
      <c r="AN12" s="69" t="s">
        <v>108</v>
      </c>
      <c r="AO12" s="45">
        <v>26224811.710000001</v>
      </c>
    </row>
    <row r="13" spans="1:46" x14ac:dyDescent="0.25">
      <c r="A13" s="38">
        <v>43009</v>
      </c>
      <c r="B13" s="48">
        <v>13104174</v>
      </c>
      <c r="K13" s="38">
        <v>43009</v>
      </c>
      <c r="L13" s="50">
        <v>7378813</v>
      </c>
      <c r="M13" s="35">
        <v>6752826</v>
      </c>
      <c r="N13" s="35">
        <v>-160741</v>
      </c>
      <c r="O13" s="53">
        <v>0.5630887532476293</v>
      </c>
      <c r="AI13" s="37" t="s">
        <v>40</v>
      </c>
      <c r="AJ13" s="35">
        <v>2308141</v>
      </c>
      <c r="AN13" s="69" t="s">
        <v>109</v>
      </c>
      <c r="AO13" s="45">
        <v>18166400.590000004</v>
      </c>
    </row>
    <row r="14" spans="1:46" x14ac:dyDescent="0.25">
      <c r="A14" s="38">
        <v>43040</v>
      </c>
      <c r="B14" s="48">
        <v>10410288</v>
      </c>
      <c r="K14" s="38">
        <v>43040</v>
      </c>
      <c r="L14" s="50">
        <v>5693830</v>
      </c>
      <c r="M14" s="35">
        <v>5464864</v>
      </c>
      <c r="N14" s="35">
        <v>-73376</v>
      </c>
      <c r="O14" s="53">
        <v>0.54694260139584994</v>
      </c>
      <c r="AI14" s="37" t="s">
        <v>41</v>
      </c>
      <c r="AJ14" s="35">
        <v>893801</v>
      </c>
      <c r="AN14" s="69" t="s">
        <v>8</v>
      </c>
      <c r="AO14" s="45">
        <v>10979730.98</v>
      </c>
    </row>
    <row r="15" spans="1:46" x14ac:dyDescent="0.25">
      <c r="A15" s="38">
        <v>43070</v>
      </c>
      <c r="B15" s="48">
        <v>14161423</v>
      </c>
      <c r="K15" s="38">
        <v>43070</v>
      </c>
      <c r="L15" s="50">
        <v>7550028</v>
      </c>
      <c r="M15" s="35">
        <v>6030316</v>
      </c>
      <c r="N15" s="35">
        <v>1102754</v>
      </c>
      <c r="O15" s="53">
        <v>0.53314049018943932</v>
      </c>
      <c r="AI15" s="37" t="s">
        <v>42</v>
      </c>
      <c r="AJ15" s="35">
        <v>4464712</v>
      </c>
      <c r="AN15" s="69" t="s">
        <v>7</v>
      </c>
      <c r="AO15" s="45">
        <v>10861249</v>
      </c>
    </row>
    <row r="16" spans="1:46" x14ac:dyDescent="0.25">
      <c r="A16" s="38">
        <v>43101</v>
      </c>
      <c r="B16" s="48">
        <v>8666531</v>
      </c>
      <c r="K16" s="38">
        <v>43101</v>
      </c>
      <c r="L16" s="50">
        <v>4909955</v>
      </c>
      <c r="M16" s="35">
        <v>4706978</v>
      </c>
      <c r="N16" s="35">
        <v>-281804</v>
      </c>
      <c r="O16" s="53">
        <v>0.5665421377942339</v>
      </c>
      <c r="AI16" s="37" t="s">
        <v>43</v>
      </c>
      <c r="AJ16" s="35">
        <v>6268715</v>
      </c>
    </row>
    <row r="17" spans="1:36" x14ac:dyDescent="0.25">
      <c r="A17" s="38">
        <v>43132</v>
      </c>
      <c r="B17" s="48">
        <v>9471679</v>
      </c>
      <c r="K17" s="38">
        <v>43132</v>
      </c>
      <c r="L17" s="50">
        <v>5342250</v>
      </c>
      <c r="M17" s="35">
        <v>5414096</v>
      </c>
      <c r="N17" s="35">
        <v>-434662</v>
      </c>
      <c r="O17" s="53">
        <v>0.5640235485176387</v>
      </c>
      <c r="AI17" s="37" t="s">
        <v>45</v>
      </c>
      <c r="AJ17" s="35">
        <v>30562705</v>
      </c>
    </row>
    <row r="18" spans="1:36" x14ac:dyDescent="0.25">
      <c r="A18" s="38">
        <v>43160</v>
      </c>
      <c r="B18" s="48">
        <v>11074954</v>
      </c>
      <c r="K18" s="38">
        <v>43160</v>
      </c>
      <c r="L18" s="50">
        <v>7035981</v>
      </c>
      <c r="M18" s="35">
        <v>5015918</v>
      </c>
      <c r="N18" s="35">
        <v>1499031</v>
      </c>
      <c r="O18" s="53">
        <v>0.63530566357205642</v>
      </c>
      <c r="AI18" s="37" t="s">
        <v>44</v>
      </c>
      <c r="AJ18" s="35">
        <v>8619489</v>
      </c>
    </row>
    <row r="19" spans="1:36" x14ac:dyDescent="0.25">
      <c r="A19" s="38">
        <v>43191</v>
      </c>
      <c r="B19" s="48">
        <v>13081063</v>
      </c>
      <c r="K19" s="38">
        <v>43191</v>
      </c>
      <c r="L19" s="50">
        <v>7896982</v>
      </c>
      <c r="M19" s="35">
        <v>5200058</v>
      </c>
      <c r="N19" s="35">
        <v>1859716</v>
      </c>
      <c r="O19" s="53">
        <v>0.60369573940588772</v>
      </c>
    </row>
    <row r="20" spans="1:36" x14ac:dyDescent="0.25">
      <c r="A20" s="38">
        <v>43221</v>
      </c>
      <c r="B20" s="48">
        <v>13754112</v>
      </c>
      <c r="K20" s="38">
        <v>43221</v>
      </c>
      <c r="L20" s="50">
        <v>7503605</v>
      </c>
      <c r="M20" s="35">
        <v>5792034</v>
      </c>
      <c r="N20" s="35">
        <v>1253751</v>
      </c>
      <c r="O20" s="53">
        <v>0.5455535769957377</v>
      </c>
    </row>
    <row r="21" spans="1:36" x14ac:dyDescent="0.25">
      <c r="A21" s="38">
        <v>43252</v>
      </c>
      <c r="B21" s="48">
        <v>12515143</v>
      </c>
      <c r="K21" s="38">
        <v>43252</v>
      </c>
      <c r="L21" s="50">
        <v>6986734</v>
      </c>
      <c r="M21" s="35">
        <v>5501146</v>
      </c>
      <c r="N21" s="35">
        <v>1337050</v>
      </c>
      <c r="O21" s="53">
        <v>0.55826241857564074</v>
      </c>
    </row>
    <row r="22" spans="1:36" x14ac:dyDescent="0.25">
      <c r="A22" s="38">
        <v>43282</v>
      </c>
      <c r="B22" s="48">
        <v>13934231</v>
      </c>
      <c r="K22" s="38">
        <v>43282</v>
      </c>
      <c r="L22" s="50">
        <v>8563322</v>
      </c>
      <c r="M22" s="35">
        <v>5977910</v>
      </c>
      <c r="N22" s="35">
        <v>1975874</v>
      </c>
      <c r="O22" s="53">
        <v>0.61455289495344234</v>
      </c>
    </row>
    <row r="23" spans="1:36" x14ac:dyDescent="0.25">
      <c r="A23" s="38">
        <v>43313</v>
      </c>
      <c r="B23" s="48">
        <v>12916943</v>
      </c>
      <c r="K23" s="38">
        <v>43313</v>
      </c>
      <c r="L23" s="50">
        <v>6720294</v>
      </c>
      <c r="M23" s="35">
        <v>6015274</v>
      </c>
      <c r="N23" s="35">
        <v>390946</v>
      </c>
      <c r="O23" s="53">
        <v>0.52026969539154888</v>
      </c>
    </row>
    <row r="24" spans="1:36" x14ac:dyDescent="0.25">
      <c r="A24" s="38">
        <v>43344</v>
      </c>
      <c r="B24" s="48">
        <v>15072902</v>
      </c>
      <c r="K24" s="38">
        <v>43344</v>
      </c>
      <c r="L24" s="50">
        <v>8346241</v>
      </c>
      <c r="M24" s="35">
        <v>5797201</v>
      </c>
      <c r="N24" s="35">
        <v>1726764</v>
      </c>
      <c r="O24" s="53">
        <v>0.55372488987190394</v>
      </c>
    </row>
    <row r="25" spans="1:36" x14ac:dyDescent="0.25">
      <c r="A25" s="38">
        <v>43374</v>
      </c>
      <c r="B25" s="48">
        <v>14590559</v>
      </c>
      <c r="K25" s="38">
        <v>43374</v>
      </c>
      <c r="L25" s="50">
        <v>8852750</v>
      </c>
      <c r="M25" s="35">
        <v>5848257</v>
      </c>
      <c r="N25" s="35">
        <v>2259440</v>
      </c>
      <c r="O25" s="53">
        <v>0.60674508769677704</v>
      </c>
    </row>
    <row r="26" spans="1:36" x14ac:dyDescent="0.25">
      <c r="A26" s="38">
        <v>43405</v>
      </c>
      <c r="B26" s="48">
        <v>12189742</v>
      </c>
      <c r="K26" s="38">
        <v>43405</v>
      </c>
      <c r="L26" s="50">
        <v>6894395</v>
      </c>
      <c r="M26" s="35">
        <v>5491906</v>
      </c>
      <c r="N26" s="35">
        <v>637235</v>
      </c>
      <c r="O26" s="53">
        <v>0.56558990337941528</v>
      </c>
    </row>
    <row r="27" spans="1:36" x14ac:dyDescent="0.25">
      <c r="A27" s="38">
        <v>43435</v>
      </c>
      <c r="B27" s="48">
        <v>12901234</v>
      </c>
      <c r="K27" s="38">
        <v>43435</v>
      </c>
      <c r="L27" s="50">
        <v>7357749</v>
      </c>
      <c r="M27" s="35">
        <v>5557663</v>
      </c>
      <c r="N27" s="35">
        <v>1199087</v>
      </c>
      <c r="O27" s="53">
        <v>0.57031358395638743</v>
      </c>
    </row>
    <row r="28" spans="1:36" x14ac:dyDescent="0.25">
      <c r="A28" s="38">
        <v>43466</v>
      </c>
      <c r="B28" s="48">
        <v>6550883</v>
      </c>
      <c r="K28" s="38">
        <v>43466</v>
      </c>
      <c r="L28" s="50">
        <v>3843345</v>
      </c>
      <c r="M28" s="35">
        <v>4333388</v>
      </c>
      <c r="N28" s="35">
        <v>-1218320</v>
      </c>
      <c r="O28" s="53">
        <v>0.58669113766800596</v>
      </c>
    </row>
    <row r="29" spans="1:36" x14ac:dyDescent="0.25">
      <c r="A29" s="38">
        <v>43497</v>
      </c>
      <c r="B29" s="48">
        <v>8363283</v>
      </c>
      <c r="D29" s="36" t="s">
        <v>22</v>
      </c>
      <c r="E29" t="s">
        <v>46</v>
      </c>
      <c r="K29" s="38">
        <v>43497</v>
      </c>
      <c r="L29" s="50">
        <v>5081036</v>
      </c>
      <c r="M29" s="35">
        <v>4455002</v>
      </c>
      <c r="N29" s="35">
        <v>-128852</v>
      </c>
      <c r="O29" s="53">
        <v>0.60754084251363971</v>
      </c>
      <c r="V29" s="36" t="s">
        <v>22</v>
      </c>
      <c r="W29" t="s">
        <v>47</v>
      </c>
    </row>
    <row r="30" spans="1:36" x14ac:dyDescent="0.25">
      <c r="A30" s="38">
        <v>43525</v>
      </c>
      <c r="B30" s="48">
        <v>7935684</v>
      </c>
      <c r="D30" s="37" t="s">
        <v>16</v>
      </c>
      <c r="E30" s="39"/>
      <c r="K30" s="38">
        <v>43525</v>
      </c>
      <c r="L30" s="50">
        <v>4442683.3499999996</v>
      </c>
      <c r="M30" s="35">
        <v>4065839</v>
      </c>
      <c r="N30" s="35">
        <v>-347373.65000000037</v>
      </c>
      <c r="O30" s="53">
        <v>0.55983622205722905</v>
      </c>
      <c r="V30" s="37" t="s">
        <v>16</v>
      </c>
      <c r="W30" s="39"/>
    </row>
    <row r="31" spans="1:36" x14ac:dyDescent="0.25">
      <c r="A31" s="38">
        <v>43556</v>
      </c>
      <c r="B31" s="48">
        <v>11031285</v>
      </c>
      <c r="D31" s="37" t="s">
        <v>17</v>
      </c>
      <c r="E31" s="39">
        <v>6.6948218502595358E-2</v>
      </c>
      <c r="K31" s="38">
        <v>43556</v>
      </c>
      <c r="L31" s="50">
        <v>6567055.5800000001</v>
      </c>
      <c r="M31" s="35">
        <v>2852762</v>
      </c>
      <c r="N31" s="35">
        <v>3126704.58</v>
      </c>
      <c r="O31" s="53">
        <v>0.5953119314748917</v>
      </c>
      <c r="P31" s="36" t="s">
        <v>22</v>
      </c>
      <c r="Q31" t="s">
        <v>29</v>
      </c>
      <c r="S31" s="36" t="s">
        <v>22</v>
      </c>
      <c r="T31" t="s">
        <v>88</v>
      </c>
      <c r="V31" s="37" t="s">
        <v>17</v>
      </c>
      <c r="W31" s="39">
        <v>0.30953048540318973</v>
      </c>
    </row>
    <row r="32" spans="1:36" x14ac:dyDescent="0.25">
      <c r="A32" s="38">
        <v>43586</v>
      </c>
      <c r="B32" s="48">
        <v>12192533</v>
      </c>
      <c r="D32" s="37" t="s">
        <v>18</v>
      </c>
      <c r="E32" s="39">
        <v>-0.14669573851658013</v>
      </c>
      <c r="K32" s="38">
        <v>43586</v>
      </c>
      <c r="L32" s="50">
        <v>7536732.4299999997</v>
      </c>
      <c r="M32" s="35">
        <v>5026397.63</v>
      </c>
      <c r="N32" s="35">
        <v>1922942.7999999998</v>
      </c>
      <c r="O32" s="53">
        <v>0.61814328737104918</v>
      </c>
      <c r="P32" s="37" t="s">
        <v>48</v>
      </c>
      <c r="Q32" s="39"/>
      <c r="S32" s="37" t="s">
        <v>48</v>
      </c>
      <c r="T32" s="35">
        <v>67758349</v>
      </c>
      <c r="V32" s="37" t="s">
        <v>18</v>
      </c>
      <c r="W32" s="39">
        <v>8.9129004171146775E-2</v>
      </c>
    </row>
    <row r="33" spans="1:23" x14ac:dyDescent="0.25">
      <c r="A33" s="38">
        <v>43617</v>
      </c>
      <c r="B33" s="48">
        <v>10036330</v>
      </c>
      <c r="D33" s="37" t="s">
        <v>19</v>
      </c>
      <c r="E33" s="39">
        <v>3.9019521916849431E-2</v>
      </c>
      <c r="K33" s="38">
        <v>43617</v>
      </c>
      <c r="L33" s="50">
        <v>6214235.6500000004</v>
      </c>
      <c r="M33" s="35">
        <v>5378859.3200000003</v>
      </c>
      <c r="N33" s="35">
        <v>245926.33000000007</v>
      </c>
      <c r="O33" s="53">
        <v>0.61917410547481</v>
      </c>
      <c r="P33" s="37" t="s">
        <v>49</v>
      </c>
      <c r="Q33" s="39">
        <v>0.40882095995769291</v>
      </c>
      <c r="S33" s="37" t="s">
        <v>49</v>
      </c>
      <c r="T33" s="35">
        <v>63758835</v>
      </c>
      <c r="V33" s="37" t="s">
        <v>19</v>
      </c>
      <c r="W33" s="39">
        <v>-0.50257914253165525</v>
      </c>
    </row>
    <row r="34" spans="1:23" x14ac:dyDescent="0.25">
      <c r="A34" s="38">
        <v>43647</v>
      </c>
      <c r="B34" s="48">
        <v>13989437</v>
      </c>
      <c r="D34" s="37" t="s">
        <v>20</v>
      </c>
      <c r="E34" s="39">
        <v>6.8410977542878726E-2</v>
      </c>
      <c r="K34" s="38">
        <v>43647</v>
      </c>
      <c r="L34" s="50">
        <v>8695709.3200000003</v>
      </c>
      <c r="M34" s="35">
        <v>5718625</v>
      </c>
      <c r="N34" s="35">
        <v>2146786.3200000003</v>
      </c>
      <c r="O34" s="53">
        <v>0.62159108475916514</v>
      </c>
      <c r="P34" s="37" t="s">
        <v>50</v>
      </c>
      <c r="Q34" s="39">
        <v>-0.33693735464542612</v>
      </c>
      <c r="S34" s="37" t="s">
        <v>50</v>
      </c>
      <c r="T34" s="35">
        <v>53829247.719999999</v>
      </c>
      <c r="V34" s="37" t="s">
        <v>20</v>
      </c>
      <c r="W34" s="39">
        <v>0.59002183246955742</v>
      </c>
    </row>
    <row r="35" spans="1:23" x14ac:dyDescent="0.25">
      <c r="A35" s="38">
        <v>43678</v>
      </c>
      <c r="B35" s="48">
        <v>11808377</v>
      </c>
      <c r="D35" s="37" t="s">
        <v>21</v>
      </c>
      <c r="E35" s="39">
        <v>0.1184997853239047</v>
      </c>
      <c r="K35" s="38">
        <v>43678</v>
      </c>
      <c r="L35" s="50">
        <v>7000822.9699999997</v>
      </c>
      <c r="M35" s="35">
        <v>5853930</v>
      </c>
      <c r="N35" s="35">
        <v>738264.96999999974</v>
      </c>
      <c r="O35" s="53">
        <v>0.5928691953178663</v>
      </c>
      <c r="P35" s="37" t="s">
        <v>51</v>
      </c>
      <c r="Q35" s="39">
        <v>0.66782752728988071</v>
      </c>
      <c r="S35" s="37" t="s">
        <v>51</v>
      </c>
      <c r="T35" s="35">
        <v>56602228.890000008</v>
      </c>
      <c r="V35" s="37" t="s">
        <v>21</v>
      </c>
      <c r="W35" s="39">
        <v>1.0491811011670515E-2</v>
      </c>
    </row>
    <row r="36" spans="1:23" x14ac:dyDescent="0.25">
      <c r="A36" s="38">
        <v>43709</v>
      </c>
      <c r="B36" s="48">
        <v>13561815</v>
      </c>
      <c r="D36" s="37" t="s">
        <v>23</v>
      </c>
      <c r="E36" s="39">
        <v>0.14618276476964809</v>
      </c>
      <c r="K36" s="38">
        <v>43709</v>
      </c>
      <c r="L36" s="50">
        <v>7033157</v>
      </c>
      <c r="M36" s="35">
        <v>5713072</v>
      </c>
      <c r="N36" s="35">
        <v>911457</v>
      </c>
      <c r="O36" s="53">
        <v>0.51859998090226123</v>
      </c>
      <c r="P36" s="37" t="s">
        <v>52</v>
      </c>
      <c r="Q36" s="39">
        <v>-0.15248604370420621</v>
      </c>
      <c r="S36" s="37" t="s">
        <v>52</v>
      </c>
      <c r="T36" s="35">
        <v>62983953.140000001</v>
      </c>
      <c r="V36" s="37" t="s">
        <v>23</v>
      </c>
      <c r="W36" s="39">
        <v>0.49659399052390918</v>
      </c>
    </row>
    <row r="37" spans="1:23" x14ac:dyDescent="0.25">
      <c r="A37" s="38">
        <v>43739</v>
      </c>
      <c r="B37" s="48">
        <v>9864028</v>
      </c>
      <c r="K37" s="38">
        <v>43739</v>
      </c>
      <c r="L37" s="50">
        <v>5671438.25</v>
      </c>
      <c r="M37" s="35">
        <v>5866469</v>
      </c>
      <c r="N37" s="35">
        <v>-736886.75</v>
      </c>
      <c r="O37" s="53">
        <v>0.57496169414766463</v>
      </c>
      <c r="P37" s="37" t="s">
        <v>53</v>
      </c>
      <c r="Q37" s="39">
        <v>0.43368326437521548</v>
      </c>
      <c r="S37" s="37" t="s">
        <v>53</v>
      </c>
      <c r="T37" s="35">
        <v>67894674.179999992</v>
      </c>
    </row>
    <row r="38" spans="1:23" x14ac:dyDescent="0.25">
      <c r="A38" s="38">
        <v>43770</v>
      </c>
      <c r="B38" s="48">
        <v>10806325</v>
      </c>
      <c r="K38" s="38">
        <v>43770</v>
      </c>
      <c r="L38" s="50">
        <v>6244272.7300000004</v>
      </c>
      <c r="M38" s="35">
        <v>5600507</v>
      </c>
      <c r="N38" s="35">
        <v>99089.730000000447</v>
      </c>
      <c r="O38" s="53">
        <v>0.57783499293237994</v>
      </c>
      <c r="P38" s="37" t="s">
        <v>23</v>
      </c>
      <c r="Q38" s="39"/>
      <c r="S38" s="37" t="s">
        <v>23</v>
      </c>
      <c r="T38" s="35">
        <v>372827287.93000001</v>
      </c>
    </row>
    <row r="39" spans="1:23" x14ac:dyDescent="0.25">
      <c r="A39" s="38">
        <v>43800</v>
      </c>
      <c r="B39" s="48">
        <v>11999947</v>
      </c>
      <c r="K39" s="38">
        <v>43800</v>
      </c>
      <c r="L39" s="50">
        <v>5980191</v>
      </c>
      <c r="M39" s="35">
        <v>6123695</v>
      </c>
      <c r="N39" s="35">
        <v>-701431</v>
      </c>
      <c r="O39" s="53">
        <v>0.49835145105224216</v>
      </c>
    </row>
    <row r="40" spans="1:23" x14ac:dyDescent="0.25">
      <c r="A40" s="38">
        <v>43831</v>
      </c>
      <c r="B40" s="48">
        <v>5978967</v>
      </c>
      <c r="K40" s="38">
        <v>43831</v>
      </c>
      <c r="L40" s="50">
        <v>3440972.89</v>
      </c>
      <c r="M40" s="35">
        <v>4783739</v>
      </c>
      <c r="N40" s="35">
        <v>-1650328.1099999999</v>
      </c>
      <c r="O40" s="53">
        <v>0.5755129422858497</v>
      </c>
    </row>
    <row r="41" spans="1:23" x14ac:dyDescent="0.25">
      <c r="A41" s="38">
        <v>43862</v>
      </c>
      <c r="B41" s="48">
        <v>7583876</v>
      </c>
      <c r="K41" s="38">
        <v>43862</v>
      </c>
      <c r="L41" s="50">
        <v>4214107.07</v>
      </c>
      <c r="M41" s="35">
        <v>4714552</v>
      </c>
      <c r="N41" s="35">
        <v>-822213.9299999997</v>
      </c>
      <c r="O41" s="53">
        <v>0.55566666306252899</v>
      </c>
    </row>
    <row r="42" spans="1:23" x14ac:dyDescent="0.25">
      <c r="A42" s="38">
        <v>43891</v>
      </c>
      <c r="B42" s="48">
        <v>12524631</v>
      </c>
      <c r="K42" s="38">
        <v>43891</v>
      </c>
      <c r="L42" s="50">
        <v>6345481.04</v>
      </c>
      <c r="M42" s="35">
        <v>4295637</v>
      </c>
      <c r="N42" s="35">
        <v>1719340.04</v>
      </c>
      <c r="O42" s="53">
        <v>0.50664015889969138</v>
      </c>
    </row>
    <row r="43" spans="1:23" x14ac:dyDescent="0.25">
      <c r="A43" s="38">
        <v>43922</v>
      </c>
      <c r="B43" s="48">
        <v>11577352.359999999</v>
      </c>
      <c r="K43" s="38">
        <v>43922</v>
      </c>
      <c r="L43" s="50">
        <v>6744885.0899999999</v>
      </c>
      <c r="M43" s="35">
        <v>4179731.69</v>
      </c>
      <c r="N43" s="35">
        <v>2234452.66</v>
      </c>
      <c r="O43" s="53">
        <v>0.58259305584441934</v>
      </c>
    </row>
    <row r="44" spans="1:23" x14ac:dyDescent="0.25">
      <c r="A44" s="38">
        <v>43952</v>
      </c>
      <c r="B44" s="48">
        <v>12947927.33</v>
      </c>
      <c r="K44" s="38">
        <v>43952</v>
      </c>
      <c r="L44" s="50">
        <v>7604677.0700000003</v>
      </c>
      <c r="M44" s="35">
        <v>4511100.72</v>
      </c>
      <c r="N44" s="35">
        <v>2797861.6900000004</v>
      </c>
      <c r="O44" s="53">
        <v>0.58732775340653698</v>
      </c>
    </row>
    <row r="45" spans="1:23" x14ac:dyDescent="0.25">
      <c r="A45" s="38">
        <v>43983</v>
      </c>
      <c r="B45" s="48">
        <v>11902556</v>
      </c>
      <c r="K45" s="38">
        <v>43983</v>
      </c>
      <c r="L45" s="50">
        <v>6778882.9699999997</v>
      </c>
      <c r="M45" s="35">
        <v>4291480.7</v>
      </c>
      <c r="N45" s="35">
        <v>2186096.6099999994</v>
      </c>
      <c r="O45" s="53">
        <v>0.5695317014261474</v>
      </c>
    </row>
    <row r="46" spans="1:23" x14ac:dyDescent="0.25">
      <c r="A46" s="38">
        <v>44013</v>
      </c>
      <c r="B46" s="48">
        <v>11413037</v>
      </c>
      <c r="K46" s="38">
        <v>44013</v>
      </c>
      <c r="L46" s="50">
        <v>6610790.4000000004</v>
      </c>
      <c r="M46" s="35">
        <v>4388811</v>
      </c>
      <c r="N46" s="35">
        <v>1906860.4000000004</v>
      </c>
      <c r="O46" s="53">
        <v>0.57923148763996823</v>
      </c>
    </row>
    <row r="47" spans="1:23" x14ac:dyDescent="0.25">
      <c r="A47" s="38">
        <v>44044</v>
      </c>
      <c r="B47" s="48">
        <v>11491012</v>
      </c>
      <c r="K47" s="38">
        <v>44044</v>
      </c>
      <c r="L47" s="50">
        <v>6820788.79</v>
      </c>
      <c r="M47" s="35">
        <v>4701126</v>
      </c>
      <c r="N47" s="35">
        <v>1811411.79</v>
      </c>
      <c r="O47" s="53">
        <v>0.59357598704100212</v>
      </c>
    </row>
    <row r="48" spans="1:23" x14ac:dyDescent="0.25">
      <c r="A48" s="38">
        <v>44075</v>
      </c>
      <c r="B48" s="48">
        <v>10323500</v>
      </c>
      <c r="K48" s="38">
        <v>44075</v>
      </c>
      <c r="L48" s="50">
        <v>6007051.6600000001</v>
      </c>
      <c r="M48" s="35">
        <v>4273476</v>
      </c>
      <c r="N48" s="35">
        <v>1425791.6600000001</v>
      </c>
      <c r="O48" s="53">
        <v>0.58188130575870589</v>
      </c>
    </row>
    <row r="49" spans="1:15" x14ac:dyDescent="0.25">
      <c r="A49" s="38">
        <v>44105</v>
      </c>
      <c r="B49" s="48">
        <v>12795408</v>
      </c>
      <c r="K49" s="38">
        <v>44105</v>
      </c>
      <c r="L49" s="50">
        <v>7317146.4100000001</v>
      </c>
      <c r="M49" s="35">
        <v>4615869</v>
      </c>
      <c r="N49" s="35">
        <v>2442178.41</v>
      </c>
      <c r="O49" s="53">
        <v>0.57185721705786952</v>
      </c>
    </row>
    <row r="50" spans="1:15" x14ac:dyDescent="0.25">
      <c r="A50" s="38">
        <v>44136</v>
      </c>
      <c r="B50" s="48">
        <v>12202888</v>
      </c>
      <c r="K50" s="38">
        <v>44136</v>
      </c>
      <c r="L50" s="50">
        <v>7446244.5999999996</v>
      </c>
      <c r="M50" s="35">
        <v>4838977</v>
      </c>
      <c r="N50" s="35">
        <v>2343681.5999999996</v>
      </c>
      <c r="O50" s="53">
        <v>0.61020346986713303</v>
      </c>
    </row>
    <row r="51" spans="1:15" x14ac:dyDescent="0.25">
      <c r="A51" s="38">
        <v>44166</v>
      </c>
      <c r="B51" s="48">
        <v>12398731</v>
      </c>
      <c r="K51" s="38">
        <v>44166</v>
      </c>
      <c r="L51" s="50">
        <v>7206628.8099999996</v>
      </c>
      <c r="M51" s="35">
        <v>4724136</v>
      </c>
      <c r="N51" s="35">
        <v>2210709.8099999996</v>
      </c>
      <c r="O51" s="53">
        <v>0.58123922601433964</v>
      </c>
    </row>
    <row r="52" spans="1:15" x14ac:dyDescent="0.25">
      <c r="A52" s="38">
        <v>44197</v>
      </c>
      <c r="B52" s="48">
        <v>6667726</v>
      </c>
      <c r="K52" s="38">
        <v>44197</v>
      </c>
      <c r="L52" s="50">
        <v>4002062.39</v>
      </c>
      <c r="M52" s="35">
        <v>4268079</v>
      </c>
      <c r="N52" s="35">
        <v>-576984.60999999987</v>
      </c>
      <c r="O52" s="53">
        <v>0.60021398449786334</v>
      </c>
    </row>
    <row r="53" spans="1:15" x14ac:dyDescent="0.25">
      <c r="A53" s="38">
        <v>44228</v>
      </c>
      <c r="B53" s="48">
        <v>7611996</v>
      </c>
      <c r="K53" s="38">
        <v>44228</v>
      </c>
      <c r="L53" s="50">
        <v>4815798.22</v>
      </c>
      <c r="M53" s="35">
        <v>4129333</v>
      </c>
      <c r="N53" s="35">
        <v>337840.21999999974</v>
      </c>
      <c r="O53" s="53">
        <v>0.63265905814979406</v>
      </c>
    </row>
    <row r="54" spans="1:15" x14ac:dyDescent="0.25">
      <c r="A54" s="38">
        <v>44256</v>
      </c>
      <c r="B54" s="48">
        <v>12074039</v>
      </c>
      <c r="K54" s="38">
        <v>44256</v>
      </c>
      <c r="L54" s="50">
        <v>6549100.1299999999</v>
      </c>
      <c r="M54" s="35">
        <v>4603275</v>
      </c>
      <c r="N54" s="35">
        <v>1461862.13</v>
      </c>
      <c r="O54" s="53">
        <v>0.54241170912235748</v>
      </c>
    </row>
    <row r="55" spans="1:15" x14ac:dyDescent="0.25">
      <c r="A55" s="38">
        <v>44287</v>
      </c>
      <c r="B55" s="48">
        <v>13512832</v>
      </c>
      <c r="K55" s="38">
        <v>44287</v>
      </c>
      <c r="L55" s="50">
        <v>7869854.8399999999</v>
      </c>
      <c r="M55" s="35">
        <v>5300007.0999999996</v>
      </c>
      <c r="N55" s="35">
        <v>2161583.7400000002</v>
      </c>
      <c r="O55" s="53">
        <v>0.5823986296876924</v>
      </c>
    </row>
    <row r="56" spans="1:15" x14ac:dyDescent="0.25">
      <c r="A56" s="38">
        <v>44317</v>
      </c>
      <c r="B56" s="48">
        <v>11412354.42</v>
      </c>
      <c r="K56" s="38">
        <v>44317</v>
      </c>
      <c r="L56" s="50">
        <v>6606790.9900000002</v>
      </c>
      <c r="M56" s="35">
        <v>5224551</v>
      </c>
      <c r="N56" s="35">
        <v>980925.99000000022</v>
      </c>
      <c r="O56" s="53">
        <v>0.57891568618143219</v>
      </c>
    </row>
    <row r="57" spans="1:15" x14ac:dyDescent="0.25">
      <c r="A57" s="38">
        <v>44348</v>
      </c>
      <c r="B57" s="48">
        <v>11694165</v>
      </c>
      <c r="K57" s="38">
        <v>44348</v>
      </c>
      <c r="L57" s="50">
        <v>6440078.2400000002</v>
      </c>
      <c r="M57" s="35">
        <v>5578424.0499999998</v>
      </c>
      <c r="N57" s="35">
        <v>460364.19000000041</v>
      </c>
      <c r="O57" s="53">
        <v>0.55070868591301736</v>
      </c>
    </row>
    <row r="58" spans="1:15" x14ac:dyDescent="0.25">
      <c r="A58" s="38">
        <v>44378</v>
      </c>
      <c r="B58" s="48">
        <v>10900540</v>
      </c>
      <c r="K58" s="38">
        <v>44378</v>
      </c>
      <c r="L58" s="50">
        <v>5917021.3700000001</v>
      </c>
      <c r="M58" s="35">
        <v>5125862</v>
      </c>
      <c r="N58" s="35">
        <v>350152.37000000011</v>
      </c>
      <c r="O58" s="53">
        <v>0.54281910529203137</v>
      </c>
    </row>
    <row r="59" spans="1:15" x14ac:dyDescent="0.25">
      <c r="A59" s="38">
        <v>44409</v>
      </c>
      <c r="B59" s="48">
        <v>11301926</v>
      </c>
      <c r="K59" s="38">
        <v>44409</v>
      </c>
      <c r="L59" s="50">
        <v>6422778.0599999996</v>
      </c>
      <c r="M59" s="35">
        <v>5058719</v>
      </c>
      <c r="N59" s="35">
        <v>857090.05999999959</v>
      </c>
      <c r="O59" s="53">
        <v>0.56829057808377081</v>
      </c>
    </row>
    <row r="60" spans="1:15" x14ac:dyDescent="0.25">
      <c r="A60" s="38">
        <v>44440</v>
      </c>
      <c r="B60" s="48">
        <v>12700295</v>
      </c>
      <c r="K60" s="38">
        <v>44440</v>
      </c>
      <c r="L60" s="50">
        <v>6878744.2199999997</v>
      </c>
      <c r="M60" s="35">
        <v>5426905</v>
      </c>
      <c r="N60" s="35">
        <v>884190.21999999974</v>
      </c>
      <c r="O60" s="53">
        <v>0.54162082219350016</v>
      </c>
    </row>
    <row r="61" spans="1:15" x14ac:dyDescent="0.25">
      <c r="A61" s="38">
        <v>44470</v>
      </c>
      <c r="B61" s="48">
        <v>11905965</v>
      </c>
      <c r="K61" s="38">
        <v>44470</v>
      </c>
      <c r="L61" s="50">
        <v>6707314.29</v>
      </c>
      <c r="M61" s="35">
        <v>5585503</v>
      </c>
      <c r="N61" s="35">
        <v>556173.29</v>
      </c>
      <c r="O61" s="53">
        <v>0.56335746745433912</v>
      </c>
    </row>
    <row r="62" spans="1:15" x14ac:dyDescent="0.25">
      <c r="A62" s="38">
        <v>44501</v>
      </c>
      <c r="B62" s="48">
        <v>9747352</v>
      </c>
      <c r="K62" s="38">
        <v>44501</v>
      </c>
      <c r="L62" s="50">
        <v>5487120.4400000004</v>
      </c>
      <c r="M62" s="35">
        <v>5310032</v>
      </c>
      <c r="N62" s="35">
        <v>-472362.55999999959</v>
      </c>
      <c r="O62" s="53">
        <v>0.56293447081833103</v>
      </c>
    </row>
    <row r="63" spans="1:15" x14ac:dyDescent="0.25">
      <c r="A63" s="38">
        <v>44531</v>
      </c>
      <c r="B63" s="48">
        <v>22718925</v>
      </c>
      <c r="K63" s="38">
        <v>44531</v>
      </c>
      <c r="L63" s="50">
        <v>11567499.09</v>
      </c>
      <c r="M63" s="35">
        <v>4822542</v>
      </c>
      <c r="N63" s="35">
        <v>6085063.0899999999</v>
      </c>
      <c r="O63" s="53">
        <v>0.50915697331629906</v>
      </c>
    </row>
    <row r="64" spans="1:15" x14ac:dyDescent="0.25">
      <c r="A64" s="38">
        <v>44562</v>
      </c>
      <c r="B64" s="48">
        <v>6179301.2800000003</v>
      </c>
      <c r="K64" s="38">
        <v>44562</v>
      </c>
      <c r="L64" s="50">
        <v>3573196.79</v>
      </c>
      <c r="M64" s="35">
        <v>4426734</v>
      </c>
      <c r="N64" s="35">
        <v>-1095686.21</v>
      </c>
      <c r="O64" s="53">
        <v>0.57825256094326571</v>
      </c>
    </row>
    <row r="65" spans="1:15" x14ac:dyDescent="0.25">
      <c r="A65" s="38">
        <v>44593</v>
      </c>
      <c r="B65" s="48">
        <v>8244750.7699999996</v>
      </c>
      <c r="K65" s="38">
        <v>44593</v>
      </c>
      <c r="L65" s="50">
        <v>4792558</v>
      </c>
      <c r="M65" s="35">
        <v>3998447</v>
      </c>
      <c r="N65" s="35">
        <v>390140.31</v>
      </c>
      <c r="O65" s="53">
        <v>0.58128597621635569</v>
      </c>
    </row>
    <row r="66" spans="1:15" x14ac:dyDescent="0.25">
      <c r="A66" s="38">
        <v>44621</v>
      </c>
      <c r="B66" s="48">
        <v>17640985.559999999</v>
      </c>
      <c r="K66" s="38">
        <v>44621</v>
      </c>
      <c r="L66" s="50">
        <v>8899624.6899999995</v>
      </c>
      <c r="M66" s="35">
        <v>4316014</v>
      </c>
      <c r="N66" s="35">
        <v>4171072.7099999995</v>
      </c>
      <c r="O66" s="53">
        <v>0.50448568532244753</v>
      </c>
    </row>
    <row r="67" spans="1:15" x14ac:dyDescent="0.25">
      <c r="A67" s="38">
        <v>44652</v>
      </c>
      <c r="B67" s="48">
        <v>16545016.859999999</v>
      </c>
      <c r="K67" s="38">
        <v>44652</v>
      </c>
      <c r="L67" s="50">
        <v>9238973.9700000007</v>
      </c>
      <c r="M67" s="35">
        <v>5696313</v>
      </c>
      <c r="N67" s="35">
        <v>3143212.4800000004</v>
      </c>
      <c r="O67" s="53">
        <v>0.55841429768116901</v>
      </c>
    </row>
    <row r="68" spans="1:15" x14ac:dyDescent="0.25">
      <c r="A68" s="38">
        <v>44682</v>
      </c>
      <c r="B68" s="48">
        <v>14569736.24</v>
      </c>
      <c r="K68" s="38">
        <v>44682</v>
      </c>
      <c r="L68" s="50">
        <v>8522537.9800000004</v>
      </c>
      <c r="M68" s="35">
        <v>5782425</v>
      </c>
      <c r="N68" s="35">
        <v>2311797.1100000003</v>
      </c>
      <c r="O68" s="53">
        <v>0.58494799354034155</v>
      </c>
    </row>
    <row r="69" spans="1:15" x14ac:dyDescent="0.25">
      <c r="A69" s="38">
        <v>44713</v>
      </c>
      <c r="B69" s="48">
        <v>14177801.85</v>
      </c>
      <c r="K69" s="38">
        <v>44713</v>
      </c>
      <c r="L69" s="50">
        <v>8457617.5800000001</v>
      </c>
      <c r="M69" s="35">
        <v>5868170</v>
      </c>
      <c r="N69" s="35">
        <v>2201789.79</v>
      </c>
      <c r="O69" s="53">
        <v>0.59653941206689953</v>
      </c>
    </row>
    <row r="70" spans="1:15" x14ac:dyDescent="0.25">
      <c r="A70" s="38">
        <v>44743</v>
      </c>
      <c r="B70" s="48">
        <v>12722329.810000001</v>
      </c>
      <c r="K70" s="38">
        <v>44743</v>
      </c>
      <c r="L70" s="50">
        <v>7584969.2199999997</v>
      </c>
      <c r="M70" s="35">
        <v>5754502</v>
      </c>
      <c r="N70" s="35">
        <v>1217007.9999999998</v>
      </c>
      <c r="O70" s="53">
        <v>0.59619341215616539</v>
      </c>
    </row>
    <row r="71" spans="1:15" x14ac:dyDescent="0.25">
      <c r="A71" s="38">
        <v>44774</v>
      </c>
      <c r="B71" s="48">
        <v>14065414.59</v>
      </c>
      <c r="K71" s="38">
        <v>44774</v>
      </c>
      <c r="L71" s="50">
        <v>7959879.0700000003</v>
      </c>
      <c r="M71" s="35">
        <v>5793847</v>
      </c>
      <c r="N71" s="35">
        <v>1579434.5400000003</v>
      </c>
      <c r="O71" s="53">
        <v>0.56591855284942583</v>
      </c>
    </row>
    <row r="72" spans="1:15" x14ac:dyDescent="0.25">
      <c r="A72" s="38">
        <v>44805</v>
      </c>
      <c r="B72" s="48">
        <v>13465585.890000001</v>
      </c>
      <c r="K72" s="38">
        <v>44805</v>
      </c>
      <c r="L72" s="50">
        <v>7681890.9699999997</v>
      </c>
      <c r="M72" s="35">
        <v>5941806</v>
      </c>
      <c r="N72" s="35">
        <v>1165574.2599999998</v>
      </c>
      <c r="O72" s="53">
        <v>0.57048323279455904</v>
      </c>
    </row>
    <row r="73" spans="1:15" x14ac:dyDescent="0.25">
      <c r="A73" s="38">
        <v>44835</v>
      </c>
      <c r="B73" s="48">
        <v>16183936.4</v>
      </c>
      <c r="K73" s="38">
        <v>44835</v>
      </c>
      <c r="L73" s="50">
        <v>9604908.9800000004</v>
      </c>
      <c r="M73" s="35">
        <v>5617857</v>
      </c>
      <c r="N73" s="35">
        <v>3408355.5100000007</v>
      </c>
      <c r="O73" s="53">
        <v>0.59348410316293632</v>
      </c>
    </row>
    <row r="74" spans="1:15" x14ac:dyDescent="0.25">
      <c r="A74" s="38">
        <v>44866</v>
      </c>
      <c r="B74" s="48">
        <v>10971669.289999999</v>
      </c>
      <c r="K74" s="38">
        <v>44866</v>
      </c>
      <c r="L74" s="50">
        <v>6577299.6600000001</v>
      </c>
      <c r="M74" s="35">
        <v>5515873</v>
      </c>
      <c r="N74" s="35">
        <v>463572.81000000017</v>
      </c>
      <c r="O74" s="53">
        <v>0.59948030569922517</v>
      </c>
    </row>
    <row r="75" spans="1:15" x14ac:dyDescent="0.25">
      <c r="A75" s="38">
        <v>44896</v>
      </c>
      <c r="B75" s="48">
        <v>14337958.02</v>
      </c>
      <c r="K75" s="38">
        <v>44896</v>
      </c>
      <c r="L75" s="50">
        <v>8316355.4699999997</v>
      </c>
      <c r="M75" s="35">
        <v>5500235</v>
      </c>
      <c r="N75" s="35">
        <v>2236010.2799999998</v>
      </c>
      <c r="O75" s="53">
        <v>0.58002370061340158</v>
      </c>
    </row>
    <row r="76" spans="1:15" x14ac:dyDescent="0.25">
      <c r="A76" s="37" t="s">
        <v>23</v>
      </c>
      <c r="B76" s="49">
        <v>853547881.66999984</v>
      </c>
      <c r="K76" s="37" t="s">
        <v>23</v>
      </c>
      <c r="L76" s="50">
        <v>480720593.74000025</v>
      </c>
      <c r="M76" s="50">
        <v>363799126.20999998</v>
      </c>
      <c r="N76" s="50">
        <v>82731773.680000037</v>
      </c>
      <c r="O76" s="53">
        <v>40.586681053038248</v>
      </c>
    </row>
    <row r="101" spans="11:14" x14ac:dyDescent="0.25">
      <c r="K101" s="36" t="s">
        <v>22</v>
      </c>
      <c r="L101" t="s">
        <v>131</v>
      </c>
      <c r="M101" t="s">
        <v>135</v>
      </c>
      <c r="N101" t="s">
        <v>133</v>
      </c>
    </row>
    <row r="102" spans="11:14" x14ac:dyDescent="0.25">
      <c r="K102" s="37" t="s">
        <v>48</v>
      </c>
      <c r="L102" s="35">
        <v>72988025</v>
      </c>
      <c r="M102" s="35">
        <v>57528048</v>
      </c>
      <c r="N102" s="35">
        <v>10367015</v>
      </c>
    </row>
    <row r="103" spans="11:14" x14ac:dyDescent="0.25">
      <c r="K103" s="37" t="s">
        <v>49</v>
      </c>
      <c r="L103" s="35">
        <v>86410258</v>
      </c>
      <c r="M103" s="35">
        <v>66318441</v>
      </c>
      <c r="N103" s="35">
        <v>13422428</v>
      </c>
    </row>
    <row r="104" spans="11:14" x14ac:dyDescent="0.25">
      <c r="K104" s="37" t="s">
        <v>50</v>
      </c>
      <c r="L104" s="35">
        <v>74310679.280000001</v>
      </c>
      <c r="M104" s="35">
        <v>60988545.950000003</v>
      </c>
      <c r="N104" s="35">
        <v>6058308.3300000001</v>
      </c>
    </row>
    <row r="105" spans="11:14" x14ac:dyDescent="0.25">
      <c r="K105" s="37" t="s">
        <v>51</v>
      </c>
      <c r="L105" s="35">
        <v>76537656.799999997</v>
      </c>
      <c r="M105" s="35">
        <v>54318636.109999999</v>
      </c>
      <c r="N105" s="35">
        <v>18605842.630000003</v>
      </c>
    </row>
    <row r="106" spans="11:14" x14ac:dyDescent="0.25">
      <c r="K106" s="37" t="s">
        <v>52</v>
      </c>
      <c r="L106" s="35">
        <v>79264162.280000001</v>
      </c>
      <c r="M106" s="35">
        <v>60433232.150000006</v>
      </c>
      <c r="N106" s="35">
        <v>13085898.130000001</v>
      </c>
    </row>
    <row r="107" spans="11:14" x14ac:dyDescent="0.25">
      <c r="K107" s="37" t="s">
        <v>53</v>
      </c>
      <c r="L107" s="35">
        <v>91209812.379999995</v>
      </c>
      <c r="M107" s="35">
        <v>64212223</v>
      </c>
      <c r="N107" s="35">
        <v>21192281.590000004</v>
      </c>
    </row>
    <row r="108" spans="11:14" x14ac:dyDescent="0.25">
      <c r="K108" s="37" t="s">
        <v>23</v>
      </c>
      <c r="L108" s="35">
        <v>480720593.74000001</v>
      </c>
      <c r="M108" s="35">
        <v>363799126.21000004</v>
      </c>
      <c r="N108" s="35">
        <v>82731773.680000007</v>
      </c>
    </row>
  </sheetData>
  <autoFilter ref="AN8:AO15" xr:uid="{5DFFED9E-9B07-4560-A38E-25600A7B993F}">
    <sortState xmlns:xlrd2="http://schemas.microsoft.com/office/spreadsheetml/2017/richdata2" ref="AN9:AO15">
      <sortCondition descending="1" ref="AO8:AO15"/>
    </sortState>
  </autoFilter>
  <pageMargins left="0.7" right="0.7" top="0.75" bottom="0.75" header="0.3" footer="0.3"/>
  <pageSetup paperSize="9" orientation="portrait" r:id="rId15"/>
  <drawing r:id="rId16"/>
  <extLst>
    <ext xmlns:x14="http://schemas.microsoft.com/office/spreadsheetml/2009/9/main" uri="{A8765BA9-456A-4dab-B4F3-ACF838C121DE}">
      <x14:slicerList>
        <x14:slicer r:id="rId17"/>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D4E7-7F43-4A83-AFB1-748A603D8576}">
  <sheetPr codeName="Sheet13"/>
  <dimension ref="C4:T83"/>
  <sheetViews>
    <sheetView topLeftCell="A34" workbookViewId="0">
      <selection activeCell="U46" sqref="U46"/>
    </sheetView>
  </sheetViews>
  <sheetFormatPr defaultRowHeight="15" x14ac:dyDescent="0.25"/>
  <cols>
    <col min="3" max="3" width="13.140625" bestFit="1" customWidth="1"/>
    <col min="4" max="4" width="22.85546875" bestFit="1" customWidth="1"/>
    <col min="5" max="7" width="13.140625" bestFit="1" customWidth="1"/>
    <col min="8" max="8" width="17.42578125" bestFit="1" customWidth="1"/>
    <col min="9" max="9" width="12" bestFit="1" customWidth="1"/>
    <col min="10" max="10" width="16" bestFit="1" customWidth="1"/>
    <col min="11" max="11" width="27.5703125" bestFit="1" customWidth="1"/>
    <col min="12" max="12" width="13.140625" bestFit="1" customWidth="1"/>
    <col min="13" max="13" width="22.85546875" bestFit="1" customWidth="1"/>
    <col min="19" max="19" width="13.140625" bestFit="1" customWidth="1"/>
    <col min="20" max="20" width="26" bestFit="1" customWidth="1"/>
  </cols>
  <sheetData>
    <row r="4" spans="3:20" x14ac:dyDescent="0.25">
      <c r="C4" s="36" t="s">
        <v>22</v>
      </c>
      <c r="D4" t="s">
        <v>28</v>
      </c>
      <c r="E4" t="s">
        <v>87</v>
      </c>
      <c r="H4" s="36" t="s">
        <v>22</v>
      </c>
      <c r="I4" t="s">
        <v>28</v>
      </c>
      <c r="L4" s="36" t="s">
        <v>22</v>
      </c>
      <c r="M4" t="s">
        <v>28</v>
      </c>
      <c r="S4" s="36" t="s">
        <v>22</v>
      </c>
      <c r="T4" t="s">
        <v>27</v>
      </c>
    </row>
    <row r="5" spans="3:20" x14ac:dyDescent="0.25">
      <c r="C5" s="37" t="s">
        <v>48</v>
      </c>
      <c r="D5" s="45">
        <v>10367015</v>
      </c>
      <c r="E5" s="53">
        <v>0</v>
      </c>
      <c r="H5" s="51" t="s">
        <v>60</v>
      </c>
      <c r="I5" s="35">
        <v>-4238609.93</v>
      </c>
      <c r="L5" s="37" t="s">
        <v>48</v>
      </c>
      <c r="M5" s="35"/>
      <c r="S5" s="37" t="s">
        <v>48</v>
      </c>
      <c r="T5" s="35"/>
    </row>
    <row r="6" spans="3:20" x14ac:dyDescent="0.25">
      <c r="C6" s="37" t="s">
        <v>49</v>
      </c>
      <c r="D6" s="45">
        <v>13422428</v>
      </c>
      <c r="E6" s="53">
        <v>0.29472446986909917</v>
      </c>
      <c r="H6" s="51" t="s">
        <v>76</v>
      </c>
      <c r="I6" s="35">
        <v>-431087.39999999997</v>
      </c>
      <c r="L6" s="52" t="s">
        <v>60</v>
      </c>
      <c r="M6" s="35">
        <v>584513</v>
      </c>
      <c r="S6" s="52" t="s">
        <v>60</v>
      </c>
      <c r="T6" s="35">
        <v>2440127</v>
      </c>
    </row>
    <row r="7" spans="3:20" x14ac:dyDescent="0.25">
      <c r="C7" s="37" t="s">
        <v>50</v>
      </c>
      <c r="D7" s="45">
        <v>6058308.3300000001</v>
      </c>
      <c r="E7" s="53">
        <v>-0.54864288860405885</v>
      </c>
      <c r="H7" s="51" t="s">
        <v>77</v>
      </c>
      <c r="I7" s="35">
        <v>9294900.2299999986</v>
      </c>
      <c r="L7" s="52" t="s">
        <v>76</v>
      </c>
      <c r="M7" s="35">
        <v>226660</v>
      </c>
      <c r="S7" s="52" t="s">
        <v>76</v>
      </c>
      <c r="T7" s="35">
        <v>3074358</v>
      </c>
    </row>
    <row r="8" spans="3:20" x14ac:dyDescent="0.25">
      <c r="C8" s="37" t="s">
        <v>51</v>
      </c>
      <c r="D8" s="45">
        <v>18605842.630000003</v>
      </c>
      <c r="E8" s="53">
        <v>2.0711283771851212</v>
      </c>
      <c r="H8" s="51" t="s">
        <v>78</v>
      </c>
      <c r="I8" s="35">
        <v>11990855.460000001</v>
      </c>
      <c r="L8" s="52" t="s">
        <v>77</v>
      </c>
      <c r="M8" s="35">
        <v>790968</v>
      </c>
      <c r="S8" s="52" t="s">
        <v>77</v>
      </c>
      <c r="T8" s="35">
        <v>3423016</v>
      </c>
    </row>
    <row r="9" spans="3:20" x14ac:dyDescent="0.25">
      <c r="C9" s="37" t="s">
        <v>52</v>
      </c>
      <c r="D9" s="45">
        <v>13085898.130000001</v>
      </c>
      <c r="E9" s="53">
        <v>-0.29667801721055409</v>
      </c>
      <c r="H9" s="51" t="s">
        <v>79</v>
      </c>
      <c r="I9" s="35">
        <v>11112761.59</v>
      </c>
      <c r="L9" s="52" t="s">
        <v>78</v>
      </c>
      <c r="M9" s="35">
        <v>-534814</v>
      </c>
      <c r="S9" s="52" t="s">
        <v>78</v>
      </c>
      <c r="T9" s="35">
        <v>4356975</v>
      </c>
    </row>
    <row r="10" spans="3:20" x14ac:dyDescent="0.25">
      <c r="C10" s="37" t="s">
        <v>53</v>
      </c>
      <c r="D10" s="45">
        <v>21192281.590000004</v>
      </c>
      <c r="E10" s="53">
        <v>0.61947474903657995</v>
      </c>
      <c r="H10" s="51" t="s">
        <v>80</v>
      </c>
      <c r="I10" s="35">
        <v>8053333.9199999999</v>
      </c>
      <c r="L10" s="52" t="s">
        <v>79</v>
      </c>
      <c r="M10" s="35">
        <v>1845483</v>
      </c>
      <c r="S10" s="52" t="s">
        <v>79</v>
      </c>
      <c r="T10" s="35">
        <v>4780952</v>
      </c>
    </row>
    <row r="11" spans="3:20" x14ac:dyDescent="0.25">
      <c r="C11" s="37" t="s">
        <v>23</v>
      </c>
      <c r="D11" s="45">
        <v>82731773.680000007</v>
      </c>
      <c r="E11" s="53">
        <v>2.1400066902761874</v>
      </c>
      <c r="H11" s="51" t="s">
        <v>81</v>
      </c>
      <c r="I11" s="35">
        <v>9697370.0899999999</v>
      </c>
      <c r="L11" s="52" t="s">
        <v>80</v>
      </c>
      <c r="M11" s="35">
        <v>1622107</v>
      </c>
      <c r="S11" s="52" t="s">
        <v>80</v>
      </c>
      <c r="T11" s="35">
        <v>5154070</v>
      </c>
    </row>
    <row r="12" spans="3:20" x14ac:dyDescent="0.25">
      <c r="H12" s="51" t="s">
        <v>82</v>
      </c>
      <c r="I12" s="35">
        <v>6582944.3599999994</v>
      </c>
      <c r="L12" s="52" t="s">
        <v>81</v>
      </c>
      <c r="M12" s="35">
        <v>2100689</v>
      </c>
      <c r="S12" s="52" t="s">
        <v>81</v>
      </c>
      <c r="T12" s="35">
        <v>4549423</v>
      </c>
    </row>
    <row r="13" spans="3:20" x14ac:dyDescent="0.25">
      <c r="H13" s="51" t="s">
        <v>83</v>
      </c>
      <c r="I13" s="35">
        <v>7770752.1399999997</v>
      </c>
      <c r="L13" s="52" t="s">
        <v>82</v>
      </c>
      <c r="M13" s="35">
        <v>1205797</v>
      </c>
      <c r="S13" s="52" t="s">
        <v>82</v>
      </c>
      <c r="T13" s="35">
        <v>5663979</v>
      </c>
    </row>
    <row r="14" spans="3:20" x14ac:dyDescent="0.25">
      <c r="H14" s="51" t="s">
        <v>84</v>
      </c>
      <c r="I14" s="35">
        <v>7768519.4600000009</v>
      </c>
      <c r="L14" s="52" t="s">
        <v>83</v>
      </c>
      <c r="M14" s="35">
        <v>1656975</v>
      </c>
      <c r="S14" s="52" t="s">
        <v>83</v>
      </c>
      <c r="T14" s="35">
        <v>5837142</v>
      </c>
    </row>
    <row r="15" spans="3:20" x14ac:dyDescent="0.25">
      <c r="H15" s="51" t="s">
        <v>85</v>
      </c>
      <c r="I15" s="35">
        <v>2997840.5800000005</v>
      </c>
      <c r="L15" s="52" t="s">
        <v>84</v>
      </c>
      <c r="M15" s="35">
        <v>-160741</v>
      </c>
      <c r="S15" s="52" t="s">
        <v>84</v>
      </c>
      <c r="T15" s="35">
        <v>6752826</v>
      </c>
    </row>
    <row r="16" spans="3:20" x14ac:dyDescent="0.25">
      <c r="H16" s="51" t="s">
        <v>86</v>
      </c>
      <c r="I16" s="35">
        <v>12132193.179999998</v>
      </c>
      <c r="L16" s="52" t="s">
        <v>85</v>
      </c>
      <c r="M16" s="35">
        <v>-73376</v>
      </c>
      <c r="S16" s="52" t="s">
        <v>85</v>
      </c>
      <c r="T16" s="35">
        <v>5464864</v>
      </c>
    </row>
    <row r="17" spans="8:20" x14ac:dyDescent="0.25">
      <c r="H17" s="51" t="s">
        <v>23</v>
      </c>
      <c r="I17" s="35">
        <v>82731773.679999977</v>
      </c>
      <c r="L17" s="52" t="s">
        <v>86</v>
      </c>
      <c r="M17" s="35">
        <v>1102754</v>
      </c>
      <c r="S17" s="52" t="s">
        <v>86</v>
      </c>
      <c r="T17" s="35">
        <v>6030316</v>
      </c>
    </row>
    <row r="18" spans="8:20" x14ac:dyDescent="0.25">
      <c r="L18" s="37" t="s">
        <v>49</v>
      </c>
      <c r="M18" s="35"/>
      <c r="S18" s="37" t="s">
        <v>49</v>
      </c>
      <c r="T18" s="35"/>
    </row>
    <row r="19" spans="8:20" x14ac:dyDescent="0.25">
      <c r="L19" s="52" t="s">
        <v>60</v>
      </c>
      <c r="M19" s="35">
        <v>-281804</v>
      </c>
      <c r="S19" s="52" t="s">
        <v>60</v>
      </c>
      <c r="T19" s="35">
        <v>4706978</v>
      </c>
    </row>
    <row r="20" spans="8:20" x14ac:dyDescent="0.25">
      <c r="L20" s="52" t="s">
        <v>76</v>
      </c>
      <c r="M20" s="35">
        <v>-434662</v>
      </c>
      <c r="S20" s="52" t="s">
        <v>76</v>
      </c>
      <c r="T20" s="35">
        <v>5414096</v>
      </c>
    </row>
    <row r="21" spans="8:20" x14ac:dyDescent="0.25">
      <c r="L21" s="52" t="s">
        <v>77</v>
      </c>
      <c r="M21" s="35">
        <v>1499031</v>
      </c>
      <c r="S21" s="52" t="s">
        <v>77</v>
      </c>
      <c r="T21" s="35">
        <v>5015918</v>
      </c>
    </row>
    <row r="22" spans="8:20" x14ac:dyDescent="0.25">
      <c r="L22" s="52" t="s">
        <v>78</v>
      </c>
      <c r="M22" s="35">
        <v>1859716</v>
      </c>
      <c r="S22" s="52" t="s">
        <v>78</v>
      </c>
      <c r="T22" s="35">
        <v>5200058</v>
      </c>
    </row>
    <row r="23" spans="8:20" x14ac:dyDescent="0.25">
      <c r="L23" s="52" t="s">
        <v>79</v>
      </c>
      <c r="M23" s="35">
        <v>1253751</v>
      </c>
      <c r="S23" s="52" t="s">
        <v>79</v>
      </c>
      <c r="T23" s="35">
        <v>5792034</v>
      </c>
    </row>
    <row r="24" spans="8:20" x14ac:dyDescent="0.25">
      <c r="L24" s="52" t="s">
        <v>80</v>
      </c>
      <c r="M24" s="35">
        <v>1337050</v>
      </c>
      <c r="S24" s="52" t="s">
        <v>80</v>
      </c>
      <c r="T24" s="35">
        <v>5501146</v>
      </c>
    </row>
    <row r="25" spans="8:20" x14ac:dyDescent="0.25">
      <c r="L25" s="52" t="s">
        <v>81</v>
      </c>
      <c r="M25" s="35">
        <v>1975874</v>
      </c>
      <c r="S25" s="52" t="s">
        <v>81</v>
      </c>
      <c r="T25" s="35">
        <v>5977910</v>
      </c>
    </row>
    <row r="26" spans="8:20" x14ac:dyDescent="0.25">
      <c r="L26" s="52" t="s">
        <v>82</v>
      </c>
      <c r="M26" s="35">
        <v>390946</v>
      </c>
      <c r="S26" s="52" t="s">
        <v>82</v>
      </c>
      <c r="T26" s="35">
        <v>6015274</v>
      </c>
    </row>
    <row r="27" spans="8:20" x14ac:dyDescent="0.25">
      <c r="L27" s="52" t="s">
        <v>83</v>
      </c>
      <c r="M27" s="35">
        <v>1726764</v>
      </c>
      <c r="S27" s="52" t="s">
        <v>83</v>
      </c>
      <c r="T27" s="35">
        <v>5797201</v>
      </c>
    </row>
    <row r="28" spans="8:20" x14ac:dyDescent="0.25">
      <c r="L28" s="52" t="s">
        <v>84</v>
      </c>
      <c r="M28" s="35">
        <v>2259440</v>
      </c>
      <c r="S28" s="52" t="s">
        <v>84</v>
      </c>
      <c r="T28" s="35">
        <v>5848257</v>
      </c>
    </row>
    <row r="29" spans="8:20" x14ac:dyDescent="0.25">
      <c r="L29" s="52" t="s">
        <v>85</v>
      </c>
      <c r="M29" s="35">
        <v>637235</v>
      </c>
      <c r="S29" s="52" t="s">
        <v>85</v>
      </c>
      <c r="T29" s="35">
        <v>5491906</v>
      </c>
    </row>
    <row r="30" spans="8:20" x14ac:dyDescent="0.25">
      <c r="L30" s="52" t="s">
        <v>86</v>
      </c>
      <c r="M30" s="35">
        <v>1199087</v>
      </c>
      <c r="S30" s="52" t="s">
        <v>86</v>
      </c>
      <c r="T30" s="35">
        <v>5557663</v>
      </c>
    </row>
    <row r="31" spans="8:20" x14ac:dyDescent="0.25">
      <c r="L31" s="37" t="s">
        <v>50</v>
      </c>
      <c r="M31" s="35"/>
      <c r="S31" s="37" t="s">
        <v>50</v>
      </c>
      <c r="T31" s="35"/>
    </row>
    <row r="32" spans="8:20" x14ac:dyDescent="0.25">
      <c r="L32" s="52" t="s">
        <v>60</v>
      </c>
      <c r="M32" s="35">
        <v>-1218320</v>
      </c>
      <c r="S32" s="52" t="s">
        <v>60</v>
      </c>
      <c r="T32" s="35">
        <v>4333388</v>
      </c>
    </row>
    <row r="33" spans="7:20" x14ac:dyDescent="0.25">
      <c r="L33" s="52" t="s">
        <v>76</v>
      </c>
      <c r="M33" s="35">
        <v>-128852</v>
      </c>
      <c r="S33" s="52" t="s">
        <v>76</v>
      </c>
      <c r="T33" s="35">
        <v>4455002</v>
      </c>
    </row>
    <row r="34" spans="7:20" x14ac:dyDescent="0.25">
      <c r="L34" s="52" t="s">
        <v>77</v>
      </c>
      <c r="M34" s="35">
        <v>-347373.65000000037</v>
      </c>
      <c r="S34" s="52" t="s">
        <v>77</v>
      </c>
      <c r="T34" s="35">
        <v>4065839</v>
      </c>
    </row>
    <row r="35" spans="7:20" x14ac:dyDescent="0.25">
      <c r="L35" s="52" t="s">
        <v>78</v>
      </c>
      <c r="M35" s="35">
        <v>3126704.58</v>
      </c>
      <c r="S35" s="52" t="s">
        <v>78</v>
      </c>
      <c r="T35" s="35">
        <v>2852762</v>
      </c>
    </row>
    <row r="36" spans="7:20" x14ac:dyDescent="0.25">
      <c r="L36" s="52" t="s">
        <v>79</v>
      </c>
      <c r="M36" s="35">
        <v>1922942.7999999998</v>
      </c>
      <c r="S36" s="52" t="s">
        <v>79</v>
      </c>
      <c r="T36" s="35">
        <v>5026397.63</v>
      </c>
    </row>
    <row r="37" spans="7:20" x14ac:dyDescent="0.25">
      <c r="L37" s="52" t="s">
        <v>80</v>
      </c>
      <c r="M37" s="35">
        <v>245926.33000000007</v>
      </c>
      <c r="S37" s="52" t="s">
        <v>80</v>
      </c>
      <c r="T37" s="35">
        <v>5378859.3200000003</v>
      </c>
    </row>
    <row r="38" spans="7:20" x14ac:dyDescent="0.25">
      <c r="L38" s="52" t="s">
        <v>81</v>
      </c>
      <c r="M38" s="35">
        <v>2146786.3200000003</v>
      </c>
      <c r="S38" s="52" t="s">
        <v>81</v>
      </c>
      <c r="T38" s="35">
        <v>5718625</v>
      </c>
    </row>
    <row r="39" spans="7:20" x14ac:dyDescent="0.25">
      <c r="L39" s="52" t="s">
        <v>82</v>
      </c>
      <c r="M39" s="35">
        <v>738264.96999999974</v>
      </c>
      <c r="S39" s="52" t="s">
        <v>82</v>
      </c>
      <c r="T39" s="35">
        <v>5853930</v>
      </c>
    </row>
    <row r="40" spans="7:20" x14ac:dyDescent="0.25">
      <c r="H40" s="36" t="s">
        <v>22</v>
      </c>
      <c r="I40" t="s">
        <v>27</v>
      </c>
      <c r="L40" s="52" t="s">
        <v>83</v>
      </c>
      <c r="M40" s="35">
        <v>911457</v>
      </c>
      <c r="S40" s="52" t="s">
        <v>83</v>
      </c>
      <c r="T40" s="35">
        <v>5713072</v>
      </c>
    </row>
    <row r="41" spans="7:20" x14ac:dyDescent="0.25">
      <c r="G41" s="52" t="s">
        <v>111</v>
      </c>
      <c r="H41" s="51" t="s">
        <v>111</v>
      </c>
      <c r="I41" s="35">
        <v>24959045</v>
      </c>
      <c r="L41" s="52" t="s">
        <v>84</v>
      </c>
      <c r="M41" s="35">
        <v>-736886.75</v>
      </c>
      <c r="S41" s="52" t="s">
        <v>84</v>
      </c>
      <c r="T41" s="35">
        <v>5866469</v>
      </c>
    </row>
    <row r="42" spans="7:20" x14ac:dyDescent="0.25">
      <c r="G42" s="52" t="s">
        <v>112</v>
      </c>
      <c r="H42" s="51" t="s">
        <v>112</v>
      </c>
      <c r="I42" s="35">
        <v>25785788</v>
      </c>
      <c r="L42" s="52" t="s">
        <v>85</v>
      </c>
      <c r="M42" s="35">
        <v>99089.730000000447</v>
      </c>
      <c r="S42" s="52" t="s">
        <v>85</v>
      </c>
      <c r="T42" s="35">
        <v>5600507</v>
      </c>
    </row>
    <row r="43" spans="7:20" x14ac:dyDescent="0.25">
      <c r="G43" s="52" t="s">
        <v>113</v>
      </c>
      <c r="H43" s="51" t="s">
        <v>113</v>
      </c>
      <c r="I43" s="35">
        <v>25719699</v>
      </c>
      <c r="L43" s="52" t="s">
        <v>86</v>
      </c>
      <c r="M43" s="35">
        <v>-701431</v>
      </c>
      <c r="S43" s="52" t="s">
        <v>86</v>
      </c>
      <c r="T43" s="35">
        <v>6123695</v>
      </c>
    </row>
    <row r="44" spans="7:20" x14ac:dyDescent="0.25">
      <c r="G44" s="52" t="s">
        <v>114</v>
      </c>
      <c r="H44" s="51" t="s">
        <v>114</v>
      </c>
      <c r="I44" s="35">
        <v>27585846.789999999</v>
      </c>
      <c r="L44" s="37" t="s">
        <v>51</v>
      </c>
      <c r="M44" s="35"/>
      <c r="S44" s="37" t="s">
        <v>51</v>
      </c>
      <c r="T44" s="35"/>
    </row>
    <row r="45" spans="7:20" x14ac:dyDescent="0.25">
      <c r="G45" s="52" t="s">
        <v>115</v>
      </c>
      <c r="H45" s="51" t="s">
        <v>115</v>
      </c>
      <c r="I45" s="35">
        <v>31117460.349999998</v>
      </c>
      <c r="L45" s="52" t="s">
        <v>60</v>
      </c>
      <c r="M45" s="35">
        <v>-1650328.1099999999</v>
      </c>
      <c r="S45" s="52" t="s">
        <v>60</v>
      </c>
      <c r="T45" s="35">
        <v>4783739</v>
      </c>
    </row>
    <row r="46" spans="7:20" x14ac:dyDescent="0.25">
      <c r="G46" s="52" t="s">
        <v>116</v>
      </c>
      <c r="H46" s="51" t="s">
        <v>116</v>
      </c>
      <c r="I46" s="35">
        <v>31772150.07</v>
      </c>
      <c r="L46" s="52" t="s">
        <v>76</v>
      </c>
      <c r="M46" s="35">
        <v>-822213.9299999997</v>
      </c>
      <c r="S46" s="52" t="s">
        <v>76</v>
      </c>
      <c r="T46" s="35">
        <v>4714552</v>
      </c>
    </row>
    <row r="47" spans="7:20" x14ac:dyDescent="0.25">
      <c r="G47" s="52" t="s">
        <v>117</v>
      </c>
      <c r="H47" s="51" t="s">
        <v>117</v>
      </c>
      <c r="I47" s="35">
        <v>31515133</v>
      </c>
      <c r="L47" s="52" t="s">
        <v>77</v>
      </c>
      <c r="M47" s="35">
        <v>1719340.04</v>
      </c>
      <c r="S47" s="52" t="s">
        <v>77</v>
      </c>
      <c r="T47" s="35">
        <v>4295637</v>
      </c>
    </row>
    <row r="48" spans="7:20" x14ac:dyDescent="0.25">
      <c r="G48" s="52" t="s">
        <v>118</v>
      </c>
      <c r="H48" s="51" t="s">
        <v>118</v>
      </c>
      <c r="I48" s="35">
        <v>33086875</v>
      </c>
      <c r="L48" s="52" t="s">
        <v>78</v>
      </c>
      <c r="M48" s="35">
        <v>2234452.66</v>
      </c>
      <c r="S48" s="52" t="s">
        <v>78</v>
      </c>
      <c r="T48" s="35">
        <v>4179731.69</v>
      </c>
    </row>
    <row r="49" spans="7:20" x14ac:dyDescent="0.25">
      <c r="G49" s="52" t="s">
        <v>119</v>
      </c>
      <c r="H49" s="51" t="s">
        <v>119</v>
      </c>
      <c r="I49" s="35">
        <v>32989602</v>
      </c>
      <c r="L49" s="52" t="s">
        <v>79</v>
      </c>
      <c r="M49" s="35">
        <v>2797861.6900000004</v>
      </c>
      <c r="S49" s="52" t="s">
        <v>79</v>
      </c>
      <c r="T49" s="35">
        <v>4511100.72</v>
      </c>
    </row>
    <row r="50" spans="7:20" x14ac:dyDescent="0.25">
      <c r="G50" s="52" t="s">
        <v>120</v>
      </c>
      <c r="H50" s="51" t="s">
        <v>120</v>
      </c>
      <c r="I50" s="35">
        <v>34286781</v>
      </c>
      <c r="L50" s="52" t="s">
        <v>80</v>
      </c>
      <c r="M50" s="35">
        <v>2186096.6099999994</v>
      </c>
      <c r="S50" s="52" t="s">
        <v>80</v>
      </c>
      <c r="T50" s="35">
        <v>4291480.7</v>
      </c>
    </row>
    <row r="51" spans="7:20" x14ac:dyDescent="0.25">
      <c r="G51" s="52" t="s">
        <v>121</v>
      </c>
      <c r="H51" s="51" t="s">
        <v>121</v>
      </c>
      <c r="I51" s="35">
        <v>32222159</v>
      </c>
      <c r="L51" s="52" t="s">
        <v>81</v>
      </c>
      <c r="M51" s="35">
        <v>1906860.4000000004</v>
      </c>
      <c r="S51" s="52" t="s">
        <v>81</v>
      </c>
      <c r="T51" s="35">
        <v>4388811</v>
      </c>
    </row>
    <row r="52" spans="7:20" x14ac:dyDescent="0.25">
      <c r="G52" s="52" t="s">
        <v>122</v>
      </c>
      <c r="H52" s="51" t="s">
        <v>122</v>
      </c>
      <c r="I52" s="35">
        <v>32758587</v>
      </c>
      <c r="L52" s="52" t="s">
        <v>82</v>
      </c>
      <c r="M52" s="35">
        <v>1811411.79</v>
      </c>
      <c r="S52" s="52" t="s">
        <v>82</v>
      </c>
      <c r="T52" s="35">
        <v>4701126</v>
      </c>
    </row>
    <row r="53" spans="7:20" x14ac:dyDescent="0.25">
      <c r="H53" s="51" t="s">
        <v>23</v>
      </c>
      <c r="I53" s="35">
        <v>363799126.20999998</v>
      </c>
      <c r="L53" s="52" t="s">
        <v>83</v>
      </c>
      <c r="M53" s="35">
        <v>1425791.6600000001</v>
      </c>
      <c r="S53" s="52" t="s">
        <v>83</v>
      </c>
      <c r="T53" s="35">
        <v>4273476</v>
      </c>
    </row>
    <row r="54" spans="7:20" x14ac:dyDescent="0.25">
      <c r="L54" s="52" t="s">
        <v>84</v>
      </c>
      <c r="M54" s="35">
        <v>2442178.41</v>
      </c>
      <c r="S54" s="52" t="s">
        <v>84</v>
      </c>
      <c r="T54" s="35">
        <v>4615869</v>
      </c>
    </row>
    <row r="55" spans="7:20" x14ac:dyDescent="0.25">
      <c r="L55" s="52" t="s">
        <v>85</v>
      </c>
      <c r="M55" s="35">
        <v>2343681.5999999996</v>
      </c>
      <c r="S55" s="52" t="s">
        <v>85</v>
      </c>
      <c r="T55" s="35">
        <v>4838977</v>
      </c>
    </row>
    <row r="56" spans="7:20" x14ac:dyDescent="0.25">
      <c r="L56" s="52" t="s">
        <v>86</v>
      </c>
      <c r="M56" s="35">
        <v>2210709.8099999996</v>
      </c>
      <c r="S56" s="52" t="s">
        <v>86</v>
      </c>
      <c r="T56" s="35">
        <v>4724136</v>
      </c>
    </row>
    <row r="57" spans="7:20" x14ac:dyDescent="0.25">
      <c r="L57" s="37" t="s">
        <v>52</v>
      </c>
      <c r="M57" s="35"/>
      <c r="S57" s="37" t="s">
        <v>52</v>
      </c>
      <c r="T57" s="35"/>
    </row>
    <row r="58" spans="7:20" x14ac:dyDescent="0.25">
      <c r="G58" s="36" t="s">
        <v>22</v>
      </c>
      <c r="H58" t="s">
        <v>131</v>
      </c>
      <c r="I58" t="s">
        <v>132</v>
      </c>
      <c r="J58" t="s">
        <v>133</v>
      </c>
      <c r="K58" t="s">
        <v>96</v>
      </c>
      <c r="L58" s="52" t="s">
        <v>60</v>
      </c>
      <c r="M58" s="35">
        <v>-576984.60999999987</v>
      </c>
      <c r="S58" s="52" t="s">
        <v>60</v>
      </c>
      <c r="T58" s="35">
        <v>4268079</v>
      </c>
    </row>
    <row r="59" spans="7:20" x14ac:dyDescent="0.25">
      <c r="G59" s="51" t="s">
        <v>111</v>
      </c>
      <c r="H59" s="35">
        <v>23408195.07</v>
      </c>
      <c r="I59" s="35">
        <v>42453885.280000001</v>
      </c>
      <c r="J59" s="35">
        <v>-4238609.93</v>
      </c>
      <c r="K59" s="53">
        <v>0.55664122020882145</v>
      </c>
      <c r="L59" s="52" t="s">
        <v>76</v>
      </c>
      <c r="M59" s="35">
        <v>337840.21999999974</v>
      </c>
      <c r="S59" s="52" t="s">
        <v>76</v>
      </c>
      <c r="T59" s="35">
        <v>4129333</v>
      </c>
    </row>
    <row r="60" spans="7:20" x14ac:dyDescent="0.25">
      <c r="G60" s="51" t="s">
        <v>112</v>
      </c>
      <c r="H60" s="35">
        <v>27654983.289999999</v>
      </c>
      <c r="I60" s="35">
        <v>50056592.769999996</v>
      </c>
      <c r="J60" s="35">
        <v>-431087.39999999997</v>
      </c>
      <c r="K60" s="53">
        <v>0.55490449316250845</v>
      </c>
      <c r="L60" s="52" t="s">
        <v>77</v>
      </c>
      <c r="M60" s="35">
        <v>1461862.13</v>
      </c>
      <c r="S60" s="52" t="s">
        <v>77</v>
      </c>
      <c r="T60" s="35">
        <v>4603275</v>
      </c>
    </row>
    <row r="61" spans="7:20" x14ac:dyDescent="0.25">
      <c r="G61" s="51" t="s">
        <v>113</v>
      </c>
      <c r="H61" s="35">
        <v>37789010.210000001</v>
      </c>
      <c r="I61" s="35">
        <v>71245023.560000002</v>
      </c>
      <c r="J61" s="35">
        <v>9294900.2299999986</v>
      </c>
      <c r="K61" s="53">
        <v>0.53342192750737016</v>
      </c>
      <c r="L61" s="52" t="s">
        <v>78</v>
      </c>
      <c r="M61" s="35">
        <v>2161583.7400000002</v>
      </c>
      <c r="S61" s="52" t="s">
        <v>78</v>
      </c>
      <c r="T61" s="35">
        <v>5300007.0999999996</v>
      </c>
    </row>
    <row r="62" spans="7:20" x14ac:dyDescent="0.25">
      <c r="G62" s="51" t="s">
        <v>114</v>
      </c>
      <c r="H62" s="35">
        <v>43271781.479999997</v>
      </c>
      <c r="I62" s="35">
        <v>76230292.219999999</v>
      </c>
      <c r="J62" s="35">
        <v>11990855.460000001</v>
      </c>
      <c r="K62" s="53">
        <v>0.56583379107864762</v>
      </c>
      <c r="L62" s="52" t="s">
        <v>79</v>
      </c>
      <c r="M62" s="35">
        <v>980925.99000000022</v>
      </c>
      <c r="S62" s="52" t="s">
        <v>79</v>
      </c>
      <c r="T62" s="35">
        <v>5224551</v>
      </c>
    </row>
    <row r="63" spans="7:20" x14ac:dyDescent="0.25">
      <c r="G63" s="51" t="s">
        <v>115</v>
      </c>
      <c r="H63" s="35">
        <v>44737347.469999999</v>
      </c>
      <c r="I63" s="35">
        <v>78200669.989999995</v>
      </c>
      <c r="J63" s="35">
        <v>11112761.59</v>
      </c>
      <c r="K63" s="53">
        <v>0.57291318945372771</v>
      </c>
      <c r="L63" s="52" t="s">
        <v>80</v>
      </c>
      <c r="M63" s="35">
        <v>460364.19000000041</v>
      </c>
      <c r="S63" s="52" t="s">
        <v>80</v>
      </c>
      <c r="T63" s="35">
        <v>5578424.0499999998</v>
      </c>
    </row>
    <row r="64" spans="7:20" x14ac:dyDescent="0.25">
      <c r="G64" s="51" t="s">
        <v>116</v>
      </c>
      <c r="H64" s="35">
        <v>41719909.439999998</v>
      </c>
      <c r="I64" s="35">
        <v>72991971.849999994</v>
      </c>
      <c r="J64" s="35">
        <v>8053333.9199999999</v>
      </c>
      <c r="K64" s="53">
        <v>0.57240536236223793</v>
      </c>
      <c r="L64" s="52" t="s">
        <v>81</v>
      </c>
      <c r="M64" s="35">
        <v>350152.37000000011</v>
      </c>
      <c r="S64" s="52" t="s">
        <v>81</v>
      </c>
      <c r="T64" s="35">
        <v>5125862</v>
      </c>
    </row>
    <row r="65" spans="7:20" x14ac:dyDescent="0.25">
      <c r="G65" s="51" t="s">
        <v>117</v>
      </c>
      <c r="H65" s="35">
        <v>44672668.309999995</v>
      </c>
      <c r="I65" s="35">
        <v>76321721.810000002</v>
      </c>
      <c r="J65" s="35">
        <v>9697370.0899999999</v>
      </c>
      <c r="K65" s="53">
        <v>0.58346190608367665</v>
      </c>
      <c r="L65" s="52" t="s">
        <v>82</v>
      </c>
      <c r="M65" s="35">
        <v>857090.05999999959</v>
      </c>
      <c r="S65" s="52" t="s">
        <v>82</v>
      </c>
      <c r="T65" s="35">
        <v>5058719</v>
      </c>
    </row>
    <row r="66" spans="7:20" x14ac:dyDescent="0.25">
      <c r="G66" s="51" t="s">
        <v>118</v>
      </c>
      <c r="H66" s="35">
        <v>42024052.890000001</v>
      </c>
      <c r="I66" s="35">
        <v>73842328.590000004</v>
      </c>
      <c r="J66" s="35">
        <v>6582944.3599999994</v>
      </c>
      <c r="K66" s="53">
        <v>0.57001083077668324</v>
      </c>
      <c r="L66" s="52" t="s">
        <v>83</v>
      </c>
      <c r="M66" s="35">
        <v>884190.21999999974</v>
      </c>
      <c r="S66" s="52" t="s">
        <v>83</v>
      </c>
      <c r="T66" s="35">
        <v>5426905</v>
      </c>
    </row>
    <row r="67" spans="7:20" x14ac:dyDescent="0.25">
      <c r="G67" s="51" t="s">
        <v>119</v>
      </c>
      <c r="H67" s="35">
        <v>43588660.850000001</v>
      </c>
      <c r="I67" s="35">
        <v>78914842.890000001</v>
      </c>
      <c r="J67" s="35">
        <v>7770752.1399999997</v>
      </c>
      <c r="K67" s="53">
        <v>0.55340320620575756</v>
      </c>
      <c r="L67" s="52" t="s">
        <v>84</v>
      </c>
      <c r="M67" s="35">
        <v>556173.29</v>
      </c>
      <c r="S67" s="52" t="s">
        <v>84</v>
      </c>
      <c r="T67" s="35">
        <v>5585503</v>
      </c>
    </row>
    <row r="68" spans="7:20" x14ac:dyDescent="0.25">
      <c r="G68" s="51" t="s">
        <v>120</v>
      </c>
      <c r="H68" s="35">
        <v>45532370.930000007</v>
      </c>
      <c r="I68" s="35">
        <v>78444070.400000006</v>
      </c>
      <c r="J68" s="35">
        <v>7768519.4600000009</v>
      </c>
      <c r="K68" s="53">
        <v>0.57891572046120265</v>
      </c>
      <c r="L68" s="52" t="s">
        <v>85</v>
      </c>
      <c r="M68" s="35">
        <v>-472362.55999999959</v>
      </c>
      <c r="S68" s="52" t="s">
        <v>85</v>
      </c>
      <c r="T68" s="35">
        <v>5310032</v>
      </c>
    </row>
    <row r="69" spans="7:20" x14ac:dyDescent="0.25">
      <c r="G69" s="51" t="s">
        <v>121</v>
      </c>
      <c r="H69" s="35">
        <v>38343162.43</v>
      </c>
      <c r="I69" s="35">
        <v>66328264.289999999</v>
      </c>
      <c r="J69" s="35">
        <v>2997840.5800000005</v>
      </c>
      <c r="K69" s="53">
        <v>0.57716429068205577</v>
      </c>
      <c r="L69" s="52" t="s">
        <v>86</v>
      </c>
      <c r="M69" s="35">
        <v>6085063.0899999999</v>
      </c>
      <c r="S69" s="52" t="s">
        <v>86</v>
      </c>
      <c r="T69" s="35">
        <v>4822542</v>
      </c>
    </row>
    <row r="70" spans="7:20" x14ac:dyDescent="0.25">
      <c r="G70" s="51" t="s">
        <v>122</v>
      </c>
      <c r="H70" s="35">
        <v>47978451.369999997</v>
      </c>
      <c r="I70" s="35">
        <v>88518218.019999996</v>
      </c>
      <c r="J70" s="35">
        <v>12132193.179999998</v>
      </c>
      <c r="K70" s="53">
        <v>0.5453709041903515</v>
      </c>
      <c r="L70" s="37" t="s">
        <v>53</v>
      </c>
      <c r="M70" s="35"/>
      <c r="S70" s="37" t="s">
        <v>53</v>
      </c>
      <c r="T70" s="35"/>
    </row>
    <row r="71" spans="7:20" x14ac:dyDescent="0.25">
      <c r="G71" s="51" t="s">
        <v>23</v>
      </c>
      <c r="H71" s="35">
        <v>480720593.74000031</v>
      </c>
      <c r="I71" s="35">
        <v>853547881.66999996</v>
      </c>
      <c r="J71" s="35">
        <v>82731773.679999992</v>
      </c>
      <c r="K71" s="53">
        <v>0.56370390351442012</v>
      </c>
      <c r="L71" s="52" t="s">
        <v>60</v>
      </c>
      <c r="M71" s="35">
        <v>-1095686.21</v>
      </c>
      <c r="S71" s="52" t="s">
        <v>60</v>
      </c>
      <c r="T71" s="35">
        <v>4426734</v>
      </c>
    </row>
    <row r="72" spans="7:20" x14ac:dyDescent="0.25">
      <c r="L72" s="52" t="s">
        <v>76</v>
      </c>
      <c r="M72" s="35">
        <v>390140.31</v>
      </c>
      <c r="S72" s="52" t="s">
        <v>76</v>
      </c>
      <c r="T72" s="35">
        <v>3998447</v>
      </c>
    </row>
    <row r="73" spans="7:20" x14ac:dyDescent="0.25">
      <c r="L73" s="52" t="s">
        <v>77</v>
      </c>
      <c r="M73" s="35">
        <v>4171072.7099999995</v>
      </c>
      <c r="S73" s="52" t="s">
        <v>77</v>
      </c>
      <c r="T73" s="35">
        <v>4316014</v>
      </c>
    </row>
    <row r="74" spans="7:20" x14ac:dyDescent="0.25">
      <c r="L74" s="52" t="s">
        <v>78</v>
      </c>
      <c r="M74" s="35">
        <v>3143212.4800000004</v>
      </c>
      <c r="S74" s="52" t="s">
        <v>78</v>
      </c>
      <c r="T74" s="35">
        <v>5696313</v>
      </c>
    </row>
    <row r="75" spans="7:20" x14ac:dyDescent="0.25">
      <c r="L75" s="52" t="s">
        <v>79</v>
      </c>
      <c r="M75" s="35">
        <v>2311797.1100000003</v>
      </c>
      <c r="S75" s="52" t="s">
        <v>79</v>
      </c>
      <c r="T75" s="35">
        <v>5782425</v>
      </c>
    </row>
    <row r="76" spans="7:20" x14ac:dyDescent="0.25">
      <c r="L76" s="52" t="s">
        <v>80</v>
      </c>
      <c r="M76" s="35">
        <v>2201789.79</v>
      </c>
      <c r="S76" s="52" t="s">
        <v>80</v>
      </c>
      <c r="T76" s="35">
        <v>5868170</v>
      </c>
    </row>
    <row r="77" spans="7:20" x14ac:dyDescent="0.25">
      <c r="L77" s="52" t="s">
        <v>81</v>
      </c>
      <c r="M77" s="35">
        <v>1217007.9999999998</v>
      </c>
      <c r="S77" s="52" t="s">
        <v>81</v>
      </c>
      <c r="T77" s="35">
        <v>5754502</v>
      </c>
    </row>
    <row r="78" spans="7:20" x14ac:dyDescent="0.25">
      <c r="L78" s="52" t="s">
        <v>82</v>
      </c>
      <c r="M78" s="35">
        <v>1579434.5400000003</v>
      </c>
      <c r="S78" s="52" t="s">
        <v>82</v>
      </c>
      <c r="T78" s="35">
        <v>5793847</v>
      </c>
    </row>
    <row r="79" spans="7:20" x14ac:dyDescent="0.25">
      <c r="L79" s="52" t="s">
        <v>83</v>
      </c>
      <c r="M79" s="35">
        <v>1165574.2599999998</v>
      </c>
      <c r="S79" s="52" t="s">
        <v>83</v>
      </c>
      <c r="T79" s="35">
        <v>5941806</v>
      </c>
    </row>
    <row r="80" spans="7:20" x14ac:dyDescent="0.25">
      <c r="L80" s="52" t="s">
        <v>84</v>
      </c>
      <c r="M80" s="35">
        <v>3408355.5100000007</v>
      </c>
      <c r="S80" s="52" t="s">
        <v>84</v>
      </c>
      <c r="T80" s="35">
        <v>5617857</v>
      </c>
    </row>
    <row r="81" spans="12:20" x14ac:dyDescent="0.25">
      <c r="L81" s="52" t="s">
        <v>85</v>
      </c>
      <c r="M81" s="35">
        <v>463572.81000000017</v>
      </c>
      <c r="S81" s="52" t="s">
        <v>85</v>
      </c>
      <c r="T81" s="35">
        <v>5515873</v>
      </c>
    </row>
    <row r="82" spans="12:20" x14ac:dyDescent="0.25">
      <c r="L82" s="52" t="s">
        <v>86</v>
      </c>
      <c r="M82" s="35">
        <v>2236010.2799999998</v>
      </c>
      <c r="S82" s="52" t="s">
        <v>86</v>
      </c>
      <c r="T82" s="35">
        <v>5500235</v>
      </c>
    </row>
    <row r="83" spans="12:20" x14ac:dyDescent="0.25">
      <c r="L83" s="37" t="s">
        <v>23</v>
      </c>
      <c r="M83" s="35">
        <v>82731773.680000037</v>
      </c>
      <c r="S83" s="37" t="s">
        <v>23</v>
      </c>
      <c r="T83" s="35">
        <v>363799126.20999998</v>
      </c>
    </row>
  </sheetData>
  <pageMargins left="0.7" right="0.7" top="0.75" bottom="0.75" header="0.3" footer="0.3"/>
  <pageSetup paperSize="9" orientation="portrait" r:id="rId7"/>
  <drawing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0532-EA21-44BB-A025-F7C1E8AA186C}">
  <sheetPr codeName="Sheet14"/>
  <dimension ref="B2:P39"/>
  <sheetViews>
    <sheetView workbookViewId="0">
      <selection activeCell="U46" sqref="U46"/>
    </sheetView>
  </sheetViews>
  <sheetFormatPr defaultRowHeight="15" x14ac:dyDescent="0.25"/>
  <cols>
    <col min="2" max="2" width="13.140625" bestFit="1" customWidth="1"/>
    <col min="3" max="3" width="22.85546875" bestFit="1" customWidth="1"/>
    <col min="4" max="4" width="13.140625" bestFit="1" customWidth="1"/>
    <col min="6" max="7" width="14" bestFit="1" customWidth="1"/>
    <col min="10" max="11" width="24.140625" bestFit="1" customWidth="1"/>
    <col min="14" max="15" width="14.140625" bestFit="1" customWidth="1"/>
    <col min="16" max="16" width="26" bestFit="1" customWidth="1"/>
  </cols>
  <sheetData>
    <row r="2" spans="2:16" x14ac:dyDescent="0.25">
      <c r="B2" t="s">
        <v>25</v>
      </c>
      <c r="F2" t="s">
        <v>88</v>
      </c>
      <c r="J2" t="s">
        <v>26</v>
      </c>
      <c r="N2" s="44" t="s">
        <v>27</v>
      </c>
      <c r="P2" s="44"/>
    </row>
    <row r="3" spans="2:16" x14ac:dyDescent="0.25">
      <c r="B3" s="48">
        <v>853547881.6700002</v>
      </c>
      <c r="F3" s="48">
        <v>372827287.93000001</v>
      </c>
      <c r="J3" s="48">
        <v>480720593.74000001</v>
      </c>
      <c r="N3" s="54">
        <v>363799126.21000004</v>
      </c>
      <c r="P3" s="44"/>
    </row>
    <row r="4" spans="2:16" x14ac:dyDescent="0.25">
      <c r="P4" s="44"/>
    </row>
    <row r="5" spans="2:16" x14ac:dyDescent="0.25">
      <c r="P5" s="44"/>
    </row>
    <row r="16" spans="2:16" x14ac:dyDescent="0.25">
      <c r="F16" t="s">
        <v>97</v>
      </c>
    </row>
    <row r="17" spans="2:14" x14ac:dyDescent="0.25">
      <c r="B17" t="s">
        <v>28</v>
      </c>
      <c r="F17" s="39">
        <v>0.56320284317202118</v>
      </c>
      <c r="N17" t="s">
        <v>31</v>
      </c>
    </row>
    <row r="18" spans="2:14" x14ac:dyDescent="0.25">
      <c r="B18" s="48">
        <v>82731773.680000007</v>
      </c>
      <c r="N18" s="48">
        <v>34189693.849999994</v>
      </c>
    </row>
    <row r="26" spans="2:14" x14ac:dyDescent="0.25">
      <c r="B26" s="36" t="s">
        <v>22</v>
      </c>
      <c r="C26" t="s">
        <v>28</v>
      </c>
    </row>
    <row r="27" spans="2:14" x14ac:dyDescent="0.25">
      <c r="B27" s="37" t="s">
        <v>48</v>
      </c>
      <c r="C27" s="35"/>
    </row>
    <row r="28" spans="2:14" x14ac:dyDescent="0.25">
      <c r="B28" s="66" t="s">
        <v>60</v>
      </c>
      <c r="C28" s="35">
        <v>10367015</v>
      </c>
    </row>
    <row r="29" spans="2:14" x14ac:dyDescent="0.25">
      <c r="B29" s="37" t="s">
        <v>49</v>
      </c>
      <c r="C29" s="35"/>
    </row>
    <row r="30" spans="2:14" x14ac:dyDescent="0.25">
      <c r="B30" s="66" t="s">
        <v>60</v>
      </c>
      <c r="C30" s="35">
        <v>13422428</v>
      </c>
    </row>
    <row r="31" spans="2:14" x14ac:dyDescent="0.25">
      <c r="B31" s="37" t="s">
        <v>50</v>
      </c>
      <c r="C31" s="35"/>
    </row>
    <row r="32" spans="2:14" x14ac:dyDescent="0.25">
      <c r="B32" s="66" t="s">
        <v>60</v>
      </c>
      <c r="C32" s="35">
        <v>6058308.3300000001</v>
      </c>
    </row>
    <row r="33" spans="2:3" x14ac:dyDescent="0.25">
      <c r="B33" s="37" t="s">
        <v>51</v>
      </c>
      <c r="C33" s="35"/>
    </row>
    <row r="34" spans="2:3" x14ac:dyDescent="0.25">
      <c r="B34" s="66" t="s">
        <v>60</v>
      </c>
      <c r="C34" s="35">
        <v>18605842.630000003</v>
      </c>
    </row>
    <row r="35" spans="2:3" x14ac:dyDescent="0.25">
      <c r="B35" s="37" t="s">
        <v>52</v>
      </c>
      <c r="C35" s="35"/>
    </row>
    <row r="36" spans="2:3" x14ac:dyDescent="0.25">
      <c r="B36" s="66" t="s">
        <v>60</v>
      </c>
      <c r="C36" s="35">
        <v>13085898.130000001</v>
      </c>
    </row>
    <row r="37" spans="2:3" x14ac:dyDescent="0.25">
      <c r="B37" s="37" t="s">
        <v>53</v>
      </c>
      <c r="C37" s="35"/>
    </row>
    <row r="38" spans="2:3" x14ac:dyDescent="0.25">
      <c r="B38" s="66" t="s">
        <v>60</v>
      </c>
      <c r="C38" s="35">
        <v>21192281.590000004</v>
      </c>
    </row>
    <row r="39" spans="2:3" x14ac:dyDescent="0.25">
      <c r="B39" s="37" t="s">
        <v>23</v>
      </c>
      <c r="C39" s="48">
        <v>82731773.680000007</v>
      </c>
    </row>
  </sheetData>
  <pageMargins left="0.7" right="0.7" top="0.75" bottom="0.75" header="0.3" footer="0.3"/>
  <pageSetup paperSize="9" orientation="portrait" r:id="rId9"/>
  <drawing r:id="rId10"/>
  <extLst>
    <ext xmlns:x14="http://schemas.microsoft.com/office/spreadsheetml/2009/9/main" uri="{A8765BA9-456A-4dab-B4F3-ACF838C121DE}">
      <x14:slicerList>
        <x14:slicer r:id="rId11"/>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86746-3CA5-49A9-9F72-B1391A76E0CA}">
  <sheetPr codeName="Sheet15"/>
  <dimension ref="C6:L39"/>
  <sheetViews>
    <sheetView topLeftCell="B7" workbookViewId="0">
      <selection activeCell="U46" sqref="U46"/>
    </sheetView>
  </sheetViews>
  <sheetFormatPr defaultRowHeight="15" x14ac:dyDescent="0.25"/>
  <cols>
    <col min="3" max="3" width="15.5703125" bestFit="1" customWidth="1"/>
    <col min="4" max="4" width="14.140625" bestFit="1" customWidth="1"/>
    <col min="5" max="6" width="22" bestFit="1" customWidth="1"/>
    <col min="7" max="7" width="13.140625" bestFit="1" customWidth="1"/>
    <col min="8" max="8" width="22.85546875" bestFit="1" customWidth="1"/>
    <col min="9" max="9" width="24" bestFit="1" customWidth="1"/>
    <col min="10" max="10" width="26" bestFit="1" customWidth="1"/>
    <col min="11" max="11" width="13.140625" bestFit="1" customWidth="1"/>
    <col min="12" max="12" width="26" bestFit="1" customWidth="1"/>
    <col min="13" max="14" width="24" bestFit="1" customWidth="1"/>
    <col min="15" max="15" width="22.85546875" bestFit="1" customWidth="1"/>
  </cols>
  <sheetData>
    <row r="6" spans="3:11" x14ac:dyDescent="0.25">
      <c r="C6" s="67"/>
      <c r="D6" s="67"/>
      <c r="G6" t="s">
        <v>25</v>
      </c>
      <c r="K6" t="s">
        <v>88</v>
      </c>
    </row>
    <row r="7" spans="3:11" x14ac:dyDescent="0.25">
      <c r="C7" s="67"/>
      <c r="D7" s="67"/>
      <c r="G7" s="48">
        <v>140746374</v>
      </c>
      <c r="K7" s="48">
        <v>67758349</v>
      </c>
    </row>
    <row r="8" spans="3:11" x14ac:dyDescent="0.25">
      <c r="C8" s="67"/>
      <c r="D8" s="67"/>
    </row>
    <row r="9" spans="3:11" x14ac:dyDescent="0.25">
      <c r="C9" s="67"/>
      <c r="D9" s="67"/>
    </row>
    <row r="10" spans="3:11" x14ac:dyDescent="0.25">
      <c r="C10" s="67"/>
      <c r="D10" s="67"/>
      <c r="G10" t="s">
        <v>26</v>
      </c>
      <c r="K10" t="s">
        <v>31</v>
      </c>
    </row>
    <row r="11" spans="3:11" x14ac:dyDescent="0.25">
      <c r="C11" s="67"/>
      <c r="D11" s="67"/>
      <c r="G11" s="48">
        <v>72988025</v>
      </c>
      <c r="K11" s="48">
        <v>5092962</v>
      </c>
    </row>
    <row r="12" spans="3:11" x14ac:dyDescent="0.25">
      <c r="C12" s="67"/>
      <c r="D12" s="67"/>
    </row>
    <row r="13" spans="3:11" x14ac:dyDescent="0.25">
      <c r="C13" s="67"/>
      <c r="D13" s="67"/>
    </row>
    <row r="14" spans="3:11" x14ac:dyDescent="0.25">
      <c r="C14" s="67"/>
      <c r="D14" s="67"/>
    </row>
    <row r="15" spans="3:11" x14ac:dyDescent="0.25">
      <c r="C15" s="67"/>
      <c r="D15" s="67"/>
    </row>
    <row r="16" spans="3:11" x14ac:dyDescent="0.25">
      <c r="C16" s="67"/>
      <c r="D16" s="67"/>
    </row>
    <row r="17" spans="3:12" x14ac:dyDescent="0.25">
      <c r="C17" s="67"/>
      <c r="D17" s="67"/>
    </row>
    <row r="19" spans="3:12" x14ac:dyDescent="0.25">
      <c r="G19" t="s">
        <v>28</v>
      </c>
      <c r="I19" t="s">
        <v>96</v>
      </c>
      <c r="K19" t="s">
        <v>27</v>
      </c>
    </row>
    <row r="20" spans="3:12" x14ac:dyDescent="0.25">
      <c r="G20" s="48">
        <v>10367015</v>
      </c>
      <c r="I20" s="39">
        <v>0.51091155126629628</v>
      </c>
      <c r="K20" s="48">
        <v>57528048</v>
      </c>
    </row>
    <row r="24" spans="3:12" x14ac:dyDescent="0.25">
      <c r="K24" s="36" t="s">
        <v>22</v>
      </c>
      <c r="L24" t="s">
        <v>27</v>
      </c>
    </row>
    <row r="25" spans="3:12" x14ac:dyDescent="0.25">
      <c r="G25" s="36" t="s">
        <v>22</v>
      </c>
      <c r="H25" t="s">
        <v>28</v>
      </c>
      <c r="I25" t="s">
        <v>30</v>
      </c>
      <c r="K25" s="37" t="s">
        <v>48</v>
      </c>
      <c r="L25" s="48"/>
    </row>
    <row r="26" spans="3:12" x14ac:dyDescent="0.25">
      <c r="G26" s="37" t="s">
        <v>48</v>
      </c>
      <c r="H26" s="48"/>
      <c r="I26" s="53"/>
      <c r="K26" s="52" t="s">
        <v>111</v>
      </c>
      <c r="L26" s="48">
        <v>2440127</v>
      </c>
    </row>
    <row r="27" spans="3:12" x14ac:dyDescent="0.25">
      <c r="G27" s="52" t="s">
        <v>111</v>
      </c>
      <c r="H27" s="48">
        <v>584513</v>
      </c>
      <c r="I27" s="53">
        <v>0.43263455806371032</v>
      </c>
      <c r="K27" s="52" t="s">
        <v>112</v>
      </c>
      <c r="L27" s="48">
        <v>3074358</v>
      </c>
    </row>
    <row r="28" spans="3:12" x14ac:dyDescent="0.25">
      <c r="G28" s="52" t="s">
        <v>112</v>
      </c>
      <c r="H28" s="48">
        <v>226660</v>
      </c>
      <c r="I28" s="53">
        <v>0.38825087051509349</v>
      </c>
      <c r="K28" s="52" t="s">
        <v>113</v>
      </c>
      <c r="L28" s="48">
        <v>3423016</v>
      </c>
    </row>
    <row r="29" spans="3:12" x14ac:dyDescent="0.25">
      <c r="G29" s="52" t="s">
        <v>113</v>
      </c>
      <c r="H29" s="48">
        <v>790968</v>
      </c>
      <c r="I29" s="53">
        <v>0.45185212607043912</v>
      </c>
      <c r="K29" s="52" t="s">
        <v>114</v>
      </c>
      <c r="L29" s="48">
        <v>4356975</v>
      </c>
    </row>
    <row r="30" spans="3:12" x14ac:dyDescent="0.25">
      <c r="G30" s="52" t="s">
        <v>114</v>
      </c>
      <c r="H30" s="48">
        <v>-534814</v>
      </c>
      <c r="I30" s="53">
        <v>0.47258909237782515</v>
      </c>
      <c r="K30" s="52" t="s">
        <v>115</v>
      </c>
      <c r="L30" s="48">
        <v>4780952</v>
      </c>
    </row>
    <row r="31" spans="3:12" x14ac:dyDescent="0.25">
      <c r="G31" s="52" t="s">
        <v>115</v>
      </c>
      <c r="H31" s="48">
        <v>1845483</v>
      </c>
      <c r="I31" s="53">
        <v>0.52259083922726846</v>
      </c>
      <c r="K31" s="52" t="s">
        <v>116</v>
      </c>
      <c r="L31" s="48">
        <v>5154070</v>
      </c>
    </row>
    <row r="32" spans="3:12" x14ac:dyDescent="0.25">
      <c r="G32" s="52" t="s">
        <v>116</v>
      </c>
      <c r="H32" s="48">
        <v>1622107</v>
      </c>
      <c r="I32" s="53">
        <v>0.5402158507169128</v>
      </c>
      <c r="K32" s="52" t="s">
        <v>117</v>
      </c>
      <c r="L32" s="48">
        <v>4549423</v>
      </c>
    </row>
    <row r="33" spans="7:12" x14ac:dyDescent="0.25">
      <c r="G33" s="52" t="s">
        <v>117</v>
      </c>
      <c r="H33" s="48">
        <v>2100689</v>
      </c>
      <c r="I33" s="53">
        <v>0.54638345170128721</v>
      </c>
      <c r="K33" s="52" t="s">
        <v>118</v>
      </c>
      <c r="L33" s="48">
        <v>5663979</v>
      </c>
    </row>
    <row r="34" spans="7:12" x14ac:dyDescent="0.25">
      <c r="G34" s="52" t="s">
        <v>118</v>
      </c>
      <c r="H34" s="48">
        <v>1205797</v>
      </c>
      <c r="I34" s="53">
        <v>0.57914097597648551</v>
      </c>
      <c r="K34" s="52" t="s">
        <v>119</v>
      </c>
      <c r="L34" s="48">
        <v>5837142</v>
      </c>
    </row>
    <row r="35" spans="7:12" x14ac:dyDescent="0.25">
      <c r="G35" s="52" t="s">
        <v>119</v>
      </c>
      <c r="H35" s="48">
        <v>1656975</v>
      </c>
      <c r="I35" s="53">
        <v>0.55410900571361443</v>
      </c>
      <c r="K35" s="52" t="s">
        <v>120</v>
      </c>
      <c r="L35" s="48">
        <v>6752826</v>
      </c>
    </row>
    <row r="36" spans="7:12" x14ac:dyDescent="0.25">
      <c r="G36" s="52" t="s">
        <v>120</v>
      </c>
      <c r="H36" s="48">
        <v>-160741</v>
      </c>
      <c r="I36" s="53">
        <v>0.5630887532476293</v>
      </c>
      <c r="K36" s="52" t="s">
        <v>121</v>
      </c>
      <c r="L36" s="48">
        <v>5464864</v>
      </c>
    </row>
    <row r="37" spans="7:12" x14ac:dyDescent="0.25">
      <c r="G37" s="52" t="s">
        <v>121</v>
      </c>
      <c r="H37" s="48">
        <v>-73376</v>
      </c>
      <c r="I37" s="53">
        <v>0.54694260139584994</v>
      </c>
      <c r="K37" s="52" t="s">
        <v>122</v>
      </c>
      <c r="L37" s="48">
        <v>6030316</v>
      </c>
    </row>
    <row r="38" spans="7:12" x14ac:dyDescent="0.25">
      <c r="G38" s="52" t="s">
        <v>122</v>
      </c>
      <c r="H38" s="48">
        <v>1102754</v>
      </c>
      <c r="I38" s="53">
        <v>0.53314049018943932</v>
      </c>
      <c r="K38" s="37" t="s">
        <v>134</v>
      </c>
      <c r="L38" s="48">
        <v>57528048</v>
      </c>
    </row>
    <row r="39" spans="7:12" x14ac:dyDescent="0.25">
      <c r="G39" s="37" t="s">
        <v>134</v>
      </c>
      <c r="H39" s="48">
        <v>10367015</v>
      </c>
      <c r="I39" s="53">
        <v>6.1309386151955554</v>
      </c>
    </row>
  </sheetData>
  <pageMargins left="0.7" right="0.7" top="0.75" bottom="0.75" header="0.3" footer="0.3"/>
  <pageSetup paperSize="9" orientation="portrait" r:id="rId10"/>
  <drawing r:id="rId11"/>
  <extLst>
    <ext xmlns:x14="http://schemas.microsoft.com/office/spreadsheetml/2009/9/main" uri="{A8765BA9-456A-4dab-B4F3-ACF838C121DE}">
      <x14:slicerList>
        <x14:slicer r:id="rId12"/>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A7C1F-F499-43A5-A5FC-6CAE6B479A6B}">
  <sheetPr codeName="Sheet17"/>
  <dimension ref="B3:J68"/>
  <sheetViews>
    <sheetView workbookViewId="0">
      <selection activeCell="U46" sqref="U46"/>
    </sheetView>
  </sheetViews>
  <sheetFormatPr defaultRowHeight="15" x14ac:dyDescent="0.25"/>
  <cols>
    <col min="2" max="2" width="20.140625" bestFit="1" customWidth="1"/>
    <col min="3" max="3" width="13.28515625" bestFit="1" customWidth="1"/>
    <col min="5" max="5" width="40.42578125" bestFit="1" customWidth="1"/>
    <col min="6" max="6" width="12.7109375" bestFit="1" customWidth="1"/>
    <col min="8" max="8" width="40.42578125" bestFit="1" customWidth="1"/>
  </cols>
  <sheetData>
    <row r="3" spans="2:10" x14ac:dyDescent="0.25">
      <c r="B3" s="36" t="s">
        <v>99</v>
      </c>
      <c r="I3" t="s">
        <v>123</v>
      </c>
      <c r="J3" t="s">
        <v>124</v>
      </c>
    </row>
    <row r="4" spans="2:10" x14ac:dyDescent="0.25">
      <c r="B4" s="37" t="s">
        <v>105</v>
      </c>
      <c r="C4" s="73">
        <v>30562705</v>
      </c>
      <c r="E4" s="37" t="s">
        <v>33</v>
      </c>
      <c r="F4" s="48">
        <v>226135511.26999998</v>
      </c>
      <c r="H4" s="37" t="s">
        <v>33</v>
      </c>
      <c r="I4">
        <v>50</v>
      </c>
      <c r="J4">
        <v>50</v>
      </c>
    </row>
    <row r="5" spans="2:10" x14ac:dyDescent="0.25">
      <c r="B5" s="37" t="s">
        <v>106</v>
      </c>
      <c r="C5" s="73">
        <v>8619489</v>
      </c>
      <c r="E5" s="37" t="s">
        <v>32</v>
      </c>
      <c r="F5" s="48">
        <v>44528134.600000001</v>
      </c>
      <c r="H5" s="37" t="s">
        <v>32</v>
      </c>
      <c r="I5">
        <v>66</v>
      </c>
      <c r="J5">
        <v>23</v>
      </c>
    </row>
    <row r="6" spans="2:10" x14ac:dyDescent="0.25">
      <c r="B6" s="37" t="s">
        <v>128</v>
      </c>
      <c r="C6" s="73">
        <v>5092962</v>
      </c>
      <c r="E6" s="37" t="s">
        <v>31</v>
      </c>
      <c r="F6" s="48">
        <v>34189693.849999994</v>
      </c>
      <c r="H6" s="37" t="s">
        <v>31</v>
      </c>
      <c r="I6">
        <v>34</v>
      </c>
      <c r="J6">
        <v>24</v>
      </c>
    </row>
    <row r="7" spans="2:10" x14ac:dyDescent="0.25">
      <c r="B7" s="37" t="s">
        <v>125</v>
      </c>
      <c r="C7" s="73">
        <v>6268715</v>
      </c>
      <c r="E7" s="37" t="s">
        <v>34</v>
      </c>
      <c r="F7" s="48">
        <v>26903288.059999999</v>
      </c>
      <c r="H7" s="37" t="s">
        <v>34</v>
      </c>
      <c r="I7">
        <v>72</v>
      </c>
      <c r="J7">
        <v>47</v>
      </c>
    </row>
    <row r="8" spans="2:10" x14ac:dyDescent="0.25">
      <c r="B8" s="37" t="s">
        <v>129</v>
      </c>
      <c r="C8" s="73">
        <v>4464712</v>
      </c>
      <c r="E8" s="37" t="s">
        <v>36</v>
      </c>
      <c r="F8" s="48">
        <v>26224811.710000001</v>
      </c>
      <c r="H8" s="37" t="s">
        <v>36</v>
      </c>
      <c r="I8">
        <v>33</v>
      </c>
      <c r="J8">
        <v>77</v>
      </c>
    </row>
    <row r="9" spans="2:10" x14ac:dyDescent="0.25">
      <c r="B9" s="37" t="s">
        <v>127</v>
      </c>
      <c r="C9" s="73">
        <v>2308141</v>
      </c>
      <c r="E9" s="37" t="s">
        <v>35</v>
      </c>
      <c r="F9" s="48">
        <v>18166400.590000004</v>
      </c>
      <c r="H9" s="37" t="s">
        <v>35</v>
      </c>
      <c r="I9">
        <v>60.5</v>
      </c>
      <c r="J9">
        <v>80</v>
      </c>
    </row>
    <row r="10" spans="2:10" x14ac:dyDescent="0.25">
      <c r="B10" s="37" t="s">
        <v>130</v>
      </c>
      <c r="C10" s="73">
        <v>893801</v>
      </c>
      <c r="E10" s="37" t="s">
        <v>38</v>
      </c>
      <c r="F10" s="48">
        <v>10979730.98</v>
      </c>
      <c r="H10" s="37" t="s">
        <v>38</v>
      </c>
      <c r="I10">
        <v>49</v>
      </c>
      <c r="J10">
        <v>79</v>
      </c>
    </row>
    <row r="11" spans="2:10" x14ac:dyDescent="0.25">
      <c r="B11" s="37" t="s">
        <v>126</v>
      </c>
      <c r="C11" s="73">
        <v>4410485</v>
      </c>
      <c r="E11" s="37" t="s">
        <v>37</v>
      </c>
      <c r="F11" s="48">
        <v>10861249</v>
      </c>
      <c r="H11" s="37" t="s">
        <v>37</v>
      </c>
      <c r="I11">
        <v>69</v>
      </c>
      <c r="J11">
        <v>66.5</v>
      </c>
    </row>
    <row r="12" spans="2:10" x14ac:dyDescent="0.25">
      <c r="J12">
        <v>66.5</v>
      </c>
    </row>
    <row r="60" spans="2:3" x14ac:dyDescent="0.25">
      <c r="B60" s="36" t="s">
        <v>99</v>
      </c>
    </row>
    <row r="61" spans="2:3" x14ac:dyDescent="0.25">
      <c r="B61" s="37" t="s">
        <v>126</v>
      </c>
      <c r="C61" s="72">
        <v>4410485</v>
      </c>
    </row>
    <row r="62" spans="2:3" x14ac:dyDescent="0.25">
      <c r="B62" s="37" t="s">
        <v>130</v>
      </c>
      <c r="C62" s="72">
        <v>893801</v>
      </c>
    </row>
    <row r="63" spans="2:3" x14ac:dyDescent="0.25">
      <c r="B63" s="37" t="s">
        <v>127</v>
      </c>
      <c r="C63" s="72">
        <v>2308141</v>
      </c>
    </row>
    <row r="64" spans="2:3" x14ac:dyDescent="0.25">
      <c r="B64" s="37" t="s">
        <v>129</v>
      </c>
      <c r="C64" s="72">
        <v>4464712</v>
      </c>
    </row>
    <row r="65" spans="2:3" x14ac:dyDescent="0.25">
      <c r="B65" s="37" t="s">
        <v>125</v>
      </c>
      <c r="C65" s="72">
        <v>6268715</v>
      </c>
    </row>
    <row r="66" spans="2:3" x14ac:dyDescent="0.25">
      <c r="B66" s="37" t="s">
        <v>128</v>
      </c>
      <c r="C66" s="72">
        <v>5092962</v>
      </c>
    </row>
    <row r="67" spans="2:3" x14ac:dyDescent="0.25">
      <c r="B67" s="37" t="s">
        <v>106</v>
      </c>
      <c r="C67" s="72">
        <v>8619489</v>
      </c>
    </row>
    <row r="68" spans="2:3" x14ac:dyDescent="0.25">
      <c r="B68" s="37" t="s">
        <v>105</v>
      </c>
      <c r="C68" s="72">
        <v>30562705</v>
      </c>
    </row>
  </sheetData>
  <autoFilter ref="E3:F11" xr:uid="{6BBA7C1F-F499-43A5-A5FC-6CAE6B479A6B}">
    <sortState xmlns:xlrd2="http://schemas.microsoft.com/office/spreadsheetml/2017/richdata2" ref="E4:F11">
      <sortCondition descending="1" ref="F3:F11"/>
    </sortState>
  </autoFilter>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Dashboard</vt:lpstr>
      <vt:lpstr>Original Data</vt:lpstr>
      <vt:lpstr>Long Data</vt:lpstr>
      <vt:lpstr>Forecasts</vt:lpstr>
      <vt:lpstr>Forecasts 2</vt:lpstr>
      <vt:lpstr>Forecasts 3</vt:lpstr>
      <vt:lpstr>Forecasts 4</vt:lpstr>
      <vt:lpstr>Forecast 5</vt:lpstr>
      <vt:lpstr>Forecast 6</vt:lpstr>
      <vt:lpstr>Forecast 7</vt:lpstr>
      <vt:lpstr>No Totals</vt:lpstr>
      <vt:lpstr>forecast margin</vt:lpstr>
      <vt:lpstr>cogs forecast</vt:lpstr>
      <vt:lpstr>Only Totals</vt:lpstr>
      <vt:lpstr>Pivot Tables</vt:lpstr>
      <vt:lpstr>Pivot Tables 2</vt:lpstr>
      <vt:lpstr>Pivot Tables 3</vt:lpstr>
      <vt:lpstr>Pivot Tables 4</vt:lpstr>
      <vt:lpstr>Pivot Tables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ecosam Семён Шемчук</dc:creator>
  <cp:lastModifiedBy>Eugene Arkhipov</cp:lastModifiedBy>
  <dcterms:created xsi:type="dcterms:W3CDTF">2023-01-11T09:48:33Z</dcterms:created>
  <dcterms:modified xsi:type="dcterms:W3CDTF">2023-01-20T15:36:09Z</dcterms:modified>
</cp:coreProperties>
</file>