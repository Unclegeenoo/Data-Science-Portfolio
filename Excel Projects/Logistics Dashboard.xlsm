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1ff4aa6c8da940f8/Desktop/Capstone Data/Excel Projects/"/>
    </mc:Choice>
  </mc:AlternateContent>
  <xr:revisionPtr revIDLastSave="3" documentId="13_ncr:1_{9BFA11A6-1FB1-4DF6-B475-99C5D118E3D2}" xr6:coauthVersionLast="47" xr6:coauthVersionMax="47" xr10:uidLastSave="{96EA55ED-005E-4C12-965D-AAA57362DDD5}"/>
  <bookViews>
    <workbookView xWindow="-120" yWindow="-120" windowWidth="29040" windowHeight="15840" xr2:uid="{DF08BCE9-890A-3941-8C5A-795D1E6F1FC0}"/>
  </bookViews>
  <sheets>
    <sheet name="Dashboard" sheetId="4" r:id="rId1"/>
    <sheet name="Workdesk" sheetId="9" r:id="rId2"/>
    <sheet name="Database" sheetId="3" r:id="rId3"/>
    <sheet name="Pivot Tables" sheetId="5" r:id="rId4"/>
    <sheet name="Schedule" sheetId="10" r:id="rId5"/>
  </sheets>
  <definedNames>
    <definedName name="Slicer_Driver">#N/A</definedName>
    <definedName name="Slicer_Month">#N/A</definedName>
  </definedNames>
  <calcPr calcId="181029"/>
  <pivotCaches>
    <pivotCache cacheId="5" r:id="rId6"/>
    <pivotCache cacheId="49" r:id="rId7"/>
    <pivotCache cacheId="35"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7" i="5" l="1"/>
  <c r="R8" i="5"/>
  <c r="R6" i="5"/>
  <c r="H6" i="5"/>
  <c r="AC15" i="5"/>
  <c r="AC12" i="5"/>
  <c r="AC16" i="5"/>
  <c r="AC11" i="5"/>
  <c r="AC13" i="5" l="1"/>
  <c r="AE12" i="5" s="1"/>
  <c r="AE13" i="5" l="1"/>
</calcChain>
</file>

<file path=xl/sharedStrings.xml><?xml version="1.0" encoding="utf-8"?>
<sst xmlns="http://schemas.openxmlformats.org/spreadsheetml/2006/main" count="567" uniqueCount="107">
  <si>
    <t>N</t>
  </si>
  <si>
    <t>Date</t>
  </si>
  <si>
    <t>Year</t>
  </si>
  <si>
    <t>Month</t>
  </si>
  <si>
    <t>Day</t>
  </si>
  <si>
    <t>Driver</t>
  </si>
  <si>
    <t>Buddy</t>
  </si>
  <si>
    <t>Vehicle</t>
  </si>
  <si>
    <t>Distance (km)</t>
  </si>
  <si>
    <t>Trip Classify</t>
  </si>
  <si>
    <t>Distance Traveled</t>
  </si>
  <si>
    <t>From</t>
  </si>
  <si>
    <t>To</t>
  </si>
  <si>
    <t>Goods</t>
  </si>
  <si>
    <t>Driver wage/trip</t>
  </si>
  <si>
    <t>Buddy wage/trip</t>
  </si>
  <si>
    <t>Driver Salary</t>
  </si>
  <si>
    <t>Buddy Salary</t>
  </si>
  <si>
    <t>Weight (Tons)</t>
  </si>
  <si>
    <t>Hired Transportation</t>
  </si>
  <si>
    <t>Saturday, January 01, 2022</t>
  </si>
  <si>
    <t>Jan</t>
  </si>
  <si>
    <t>Antoni</t>
  </si>
  <si>
    <t>Mike</t>
  </si>
  <si>
    <t>72-0466/0467</t>
  </si>
  <si>
    <t>Close</t>
  </si>
  <si>
    <t>Return</t>
  </si>
  <si>
    <t>Xunthai</t>
  </si>
  <si>
    <t>Gidec</t>
  </si>
  <si>
    <t>Woodchip</t>
  </si>
  <si>
    <t>No</t>
  </si>
  <si>
    <t>Tuesday, February 01, 2022</t>
  </si>
  <si>
    <t>Feb</t>
  </si>
  <si>
    <t>Jaison</t>
  </si>
  <si>
    <t>72-1001/1002</t>
  </si>
  <si>
    <t>Port Said</t>
  </si>
  <si>
    <t>Safeskin</t>
  </si>
  <si>
    <t>Woodpellet</t>
  </si>
  <si>
    <t>Tuesday, March 01, 2022</t>
  </si>
  <si>
    <t>Mar</t>
  </si>
  <si>
    <t>Far</t>
  </si>
  <si>
    <t>Suies</t>
  </si>
  <si>
    <t>Friday, April 01, 2022</t>
  </si>
  <si>
    <t>Apr</t>
  </si>
  <si>
    <t>Regular</t>
  </si>
  <si>
    <t>One-Way</t>
  </si>
  <si>
    <t>X1 Port</t>
  </si>
  <si>
    <t>Sunday, May 01, 2022</t>
  </si>
  <si>
    <t>May</t>
  </si>
  <si>
    <t>Lee</t>
  </si>
  <si>
    <t>Top glove</t>
  </si>
  <si>
    <t>Wednesday, June 01, 2022</t>
  </si>
  <si>
    <t>Jun</t>
  </si>
  <si>
    <t>Alex</t>
  </si>
  <si>
    <t>Friday, July 01, 2022</t>
  </si>
  <si>
    <t>Jul</t>
  </si>
  <si>
    <t>Giza</t>
  </si>
  <si>
    <t>Monday, August 01, 2022</t>
  </si>
  <si>
    <t>Aug</t>
  </si>
  <si>
    <t>Yes</t>
  </si>
  <si>
    <t>Thursday, September 01, 2022</t>
  </si>
  <si>
    <t>Sep</t>
  </si>
  <si>
    <t>Mina</t>
  </si>
  <si>
    <t>Saturday, October 01, 2022</t>
  </si>
  <si>
    <t>Oct</t>
  </si>
  <si>
    <t>Air Port</t>
  </si>
  <si>
    <t>Tuesday, November 01, 2022</t>
  </si>
  <si>
    <t>Nov</t>
  </si>
  <si>
    <t>Thursday, December 01, 2022</t>
  </si>
  <si>
    <t>Dec</t>
  </si>
  <si>
    <t>PT</t>
  </si>
  <si>
    <t>Count of N</t>
  </si>
  <si>
    <t>Total Trips</t>
  </si>
  <si>
    <t>Row Labels</t>
  </si>
  <si>
    <t>Grand Total</t>
  </si>
  <si>
    <t>Count of Hired Transportation</t>
  </si>
  <si>
    <t>Count of Trip Classify</t>
  </si>
  <si>
    <t>Sum of Driver wage/trip</t>
  </si>
  <si>
    <t>Sum of Buddy wage/trip</t>
  </si>
  <si>
    <t>Cargo Types</t>
  </si>
  <si>
    <t>Count of Goods</t>
  </si>
  <si>
    <t>Total Expenses</t>
  </si>
  <si>
    <t>Sum of Total Expenses</t>
  </si>
  <si>
    <t>Total Salaries</t>
  </si>
  <si>
    <t>Sum of Total Salaries</t>
  </si>
  <si>
    <t>Total Wages</t>
  </si>
  <si>
    <t>Sum of Total Wages</t>
  </si>
  <si>
    <t>Salaries</t>
  </si>
  <si>
    <t>Wages</t>
  </si>
  <si>
    <t xml:space="preserve">Wages </t>
  </si>
  <si>
    <t>sum</t>
  </si>
  <si>
    <t>Wage/trip</t>
  </si>
  <si>
    <t>Expenses by Month</t>
  </si>
  <si>
    <t>Total Distance</t>
  </si>
  <si>
    <t>Count of Distance Traveled</t>
  </si>
  <si>
    <t>Trip Type</t>
  </si>
  <si>
    <t>Sum of Distance (km)</t>
  </si>
  <si>
    <t>Total Trips by Month</t>
  </si>
  <si>
    <t>Count of Month</t>
  </si>
  <si>
    <t>Driver Salary and Wages</t>
  </si>
  <si>
    <t>Sum of Driver Salary</t>
  </si>
  <si>
    <t>Buddy Salary and Wages</t>
  </si>
  <si>
    <t>Sum of Buddy Salary</t>
  </si>
  <si>
    <t>Driver wages per month</t>
  </si>
  <si>
    <t>Buddy Wages per month</t>
  </si>
  <si>
    <t>(All)</t>
  </si>
  <si>
    <t>Column10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</si>
</sst>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F800]dddd\,\ mmmm\ dd\,\ yyyy"/>
    <numFmt numFmtId="165" formatCode="mmm"/>
    <numFmt numFmtId="166" formatCode="_-[$฿-41E]* #,##0_-;\-[$฿-41E]* #,##0_-;_-[$฿-41E]* &quot;-&quot;??_-;_-@_-"/>
    <numFmt numFmtId="167" formatCode="_-[$฿-41E]* #,##0_-;\-[$฿-41E]* #,##0_-;_-[$฿-41E]* &quot;-&quot;_-;_-@_-"/>
  </numFmts>
  <fonts count="5" x14ac:knownFonts="1">
    <font>
      <sz val="12"/>
      <color theme="1"/>
      <name val="Calibri"/>
      <family val="2"/>
      <scheme val="minor"/>
    </font>
    <font>
      <sz val="12"/>
      <color theme="1"/>
      <name val="Calibri"/>
      <family val="2"/>
      <scheme val="minor"/>
    </font>
    <font>
      <sz val="11"/>
      <color theme="1"/>
      <name val="Calibri"/>
      <family val="2"/>
      <scheme val="minor"/>
    </font>
    <font>
      <b/>
      <sz val="11"/>
      <color theme="0"/>
      <name val="Arial"/>
      <family val="2"/>
    </font>
    <font>
      <sz val="12"/>
      <color theme="1" tint="0.34998626667073579"/>
      <name val="Arial"/>
      <family val="2"/>
    </font>
  </fonts>
  <fills count="7">
    <fill>
      <patternFill patternType="none"/>
    </fill>
    <fill>
      <patternFill patternType="gray125"/>
    </fill>
    <fill>
      <patternFill patternType="solid">
        <fgColor rgb="FF48515F"/>
        <bgColor indexed="64"/>
      </patternFill>
    </fill>
    <fill>
      <patternFill patternType="solid">
        <fgColor theme="6" tint="0.79998168889431442"/>
        <bgColor theme="6" tint="0.79998168889431442"/>
      </patternFill>
    </fill>
    <fill>
      <patternFill patternType="solid">
        <fgColor rgb="FFE4E6ED"/>
        <bgColor indexed="64"/>
      </patternFill>
    </fill>
    <fill>
      <patternFill patternType="solid">
        <fgColor theme="0"/>
        <bgColor indexed="64"/>
      </patternFill>
    </fill>
    <fill>
      <patternFill patternType="solid">
        <fgColor theme="0"/>
        <bgColor theme="6" tint="0.79998168889431442"/>
      </patternFill>
    </fill>
  </fills>
  <borders count="2">
    <border>
      <left/>
      <right/>
      <top/>
      <bottom/>
      <diagonal/>
    </border>
    <border>
      <left/>
      <right/>
      <top/>
      <bottom style="thin">
        <color theme="6"/>
      </bottom>
      <diagonal/>
    </border>
  </borders>
  <cellStyleXfs count="2">
    <xf numFmtId="0" fontId="0" fillId="0" borderId="0"/>
    <xf numFmtId="44" fontId="1" fillId="0" borderId="0" applyFont="0" applyFill="0" applyBorder="0" applyAlignment="0" applyProtection="0"/>
  </cellStyleXfs>
  <cellXfs count="27">
    <xf numFmtId="0" fontId="0" fillId="0" borderId="0" xfId="0"/>
    <xf numFmtId="0" fontId="0" fillId="0" borderId="0" xfId="0" applyAlignment="1">
      <alignment wrapText="1"/>
    </xf>
    <xf numFmtId="0" fontId="2" fillId="0" borderId="0" xfId="0" applyFont="1" applyAlignment="1">
      <alignment wrapText="1"/>
    </xf>
    <xf numFmtId="0" fontId="3" fillId="2" borderId="1" xfId="0" applyFont="1" applyFill="1" applyBorder="1" applyAlignment="1">
      <alignment horizontal="center" vertical="center" wrapText="1"/>
    </xf>
    <xf numFmtId="1" fontId="4" fillId="3" borderId="0" xfId="1" applyNumberFormat="1" applyFont="1" applyFill="1" applyBorder="1" applyAlignment="1">
      <alignment horizontal="center" vertical="center" wrapText="1"/>
    </xf>
    <xf numFmtId="164" fontId="4" fillId="3" borderId="0" xfId="0" applyNumberFormat="1" applyFont="1" applyFill="1" applyAlignment="1">
      <alignment horizontal="left" vertical="center" wrapText="1"/>
    </xf>
    <xf numFmtId="0" fontId="4" fillId="3" borderId="0" xfId="0" applyFont="1" applyFill="1" applyAlignment="1">
      <alignment horizontal="center" vertical="center" wrapText="1"/>
    </xf>
    <xf numFmtId="165" fontId="4" fillId="3" borderId="0" xfId="0" applyNumberFormat="1" applyFont="1" applyFill="1" applyAlignment="1">
      <alignment horizontal="center" vertical="center" wrapText="1"/>
    </xf>
    <xf numFmtId="166" fontId="4" fillId="3" borderId="0" xfId="1" applyNumberFormat="1" applyFont="1" applyFill="1" applyBorder="1" applyAlignment="1">
      <alignment horizontal="center" vertical="center" wrapText="1"/>
    </xf>
    <xf numFmtId="1" fontId="4" fillId="0" borderId="0" xfId="1" applyNumberFormat="1" applyFont="1" applyBorder="1" applyAlignment="1">
      <alignment horizontal="center" vertical="center" wrapText="1"/>
    </xf>
    <xf numFmtId="164" fontId="4" fillId="0" borderId="0" xfId="0" applyNumberFormat="1" applyFont="1" applyAlignment="1">
      <alignment horizontal="left" vertical="center" wrapText="1"/>
    </xf>
    <xf numFmtId="0" fontId="4" fillId="0" borderId="0" xfId="0" applyFont="1" applyAlignment="1">
      <alignment horizontal="center" vertical="center" wrapText="1"/>
    </xf>
    <xf numFmtId="165" fontId="4" fillId="0" borderId="0" xfId="0" applyNumberFormat="1" applyFont="1" applyAlignment="1">
      <alignment horizontal="center" vertical="center" wrapText="1"/>
    </xf>
    <xf numFmtId="166" fontId="4" fillId="0" borderId="0" xfId="1" applyNumberFormat="1" applyFont="1" applyBorder="1" applyAlignment="1">
      <alignment horizontal="center" vertical="center" wrapText="1"/>
    </xf>
    <xf numFmtId="0" fontId="0" fillId="4" borderId="0" xfId="0" applyFill="1"/>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center" vertical="center"/>
    </xf>
    <xf numFmtId="166" fontId="0" fillId="0" borderId="0" xfId="0" applyNumberFormat="1"/>
    <xf numFmtId="167" fontId="0" fillId="0" borderId="0" xfId="0" applyNumberFormat="1"/>
    <xf numFmtId="9" fontId="0" fillId="0" borderId="0" xfId="0" applyNumberFormat="1"/>
    <xf numFmtId="164" fontId="4" fillId="5" borderId="0" xfId="0" applyNumberFormat="1" applyFont="1" applyFill="1" applyBorder="1" applyAlignment="1">
      <alignment horizontal="left" vertical="center" wrapText="1"/>
    </xf>
    <xf numFmtId="0" fontId="4" fillId="5" borderId="0" xfId="0" applyFont="1" applyFill="1" applyBorder="1" applyAlignment="1">
      <alignment horizontal="center" vertical="center" wrapText="1"/>
    </xf>
    <xf numFmtId="0" fontId="3" fillId="2" borderId="0" xfId="0" applyFont="1" applyFill="1" applyBorder="1" applyAlignment="1">
      <alignment horizontal="center" vertical="center" wrapText="1"/>
    </xf>
    <xf numFmtId="164" fontId="4" fillId="6" borderId="0" xfId="0" applyNumberFormat="1" applyFont="1" applyFill="1" applyBorder="1" applyAlignment="1">
      <alignment horizontal="left" vertical="center" wrapText="1"/>
    </xf>
    <xf numFmtId="0" fontId="4" fillId="6" borderId="0" xfId="0" applyFont="1" applyFill="1" applyBorder="1" applyAlignment="1">
      <alignment horizontal="center" vertical="center" wrapText="1"/>
    </xf>
  </cellXfs>
  <cellStyles count="2">
    <cellStyle name="Currency" xfId="1" builtinId="4"/>
    <cellStyle name="Normal" xfId="0" builtinId="0"/>
  </cellStyles>
  <dxfs count="43">
    <dxf>
      <font>
        <b val="0"/>
        <i val="0"/>
        <strike val="0"/>
        <condense val="0"/>
        <extend val="0"/>
        <outline val="0"/>
        <shadow val="0"/>
        <u val="none"/>
        <vertAlign val="baseline"/>
        <sz val="12"/>
        <color theme="1" tint="0.34998626667073579"/>
        <name val="Arial"/>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fill>
        <patternFill>
          <bgColor theme="0"/>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4" formatCode="[$-F800]dddd\,\ mmmm\ dd\,\ yyyy"/>
      <fill>
        <patternFill>
          <bgColor theme="0"/>
        </patternFill>
      </fill>
      <alignment horizontal="left" vertical="center" textRotation="0" wrapText="1" indent="0" justifyLastLine="0" shrinkToFit="0" readingOrder="0"/>
    </dxf>
    <dxf>
      <border diagonalUp="0" diagonalDown="0">
        <left style="thin">
          <color indexed="64"/>
        </left>
        <right style="thin">
          <color indexed="64"/>
        </right>
        <top/>
        <bottom/>
        <vertical style="thin">
          <color indexed="64"/>
        </vertical>
        <horizontal style="thin">
          <color indexed="64"/>
        </horizontal>
      </border>
    </dxf>
    <dxf>
      <font>
        <b/>
        <i val="0"/>
        <strike val="0"/>
        <condense val="0"/>
        <extend val="0"/>
        <outline val="0"/>
        <shadow val="0"/>
        <u val="none"/>
        <vertAlign val="baseline"/>
        <sz val="11"/>
        <color theme="0"/>
        <name val="Arial"/>
        <family val="2"/>
        <scheme val="none"/>
      </font>
      <fill>
        <patternFill patternType="solid">
          <fgColor indexed="64"/>
          <bgColor rgb="FF48515F"/>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2"/>
        <color theme="1" tint="0.34998626667073579"/>
        <name val="Arial"/>
        <family val="2"/>
        <scheme val="none"/>
      </font>
      <fill>
        <patternFill>
          <bgColor theme="0"/>
        </patternFill>
      </fill>
      <alignment horizontal="center" vertical="center" textRotation="0" wrapText="1" indent="0" justifyLastLine="0" shrinkToFit="0" readingOrder="0"/>
    </dxf>
    <dxf>
      <numFmt numFmtId="167" formatCode="_-[$฿-41E]* #,##0_-;\-[$฿-41E]* #,##0_-;_-[$฿-41E]* &quot;-&quot;_-;_-@_-"/>
    </dxf>
    <dxf>
      <numFmt numFmtId="167" formatCode="_-[$฿-41E]* #,##0_-;\-[$฿-41E]* #,##0_-;_-[$฿-41E]* &quot;-&quot;_-;_-@_-"/>
    </dxf>
    <dxf>
      <numFmt numFmtId="167" formatCode="_-[$฿-41E]* #,##0_-;\-[$฿-41E]* #,##0_-;_-[$฿-41E]* &quot;-&quot;_-;_-@_-"/>
    </dxf>
    <dxf>
      <numFmt numFmtId="167" formatCode="_-[$฿-41E]* #,##0_-;\-[$฿-41E]* #,##0_-;_-[$฿-41E]* &quot;-&quot;_-;_-@_-"/>
    </dxf>
    <dxf>
      <font>
        <b val="0"/>
        <i val="0"/>
        <strike val="0"/>
        <condense val="0"/>
        <extend val="0"/>
        <outline val="0"/>
        <shadow val="0"/>
        <u val="none"/>
        <vertAlign val="baseline"/>
        <sz val="12"/>
        <color theme="1" tint="0.34998626667073579"/>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6" formatCode="_-[$฿-41E]* #,##0_-;\-[$฿-41E]* #,##0_-;_-[$฿-41E]* &quot;-&quot;??_-;_-@_-"/>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 formatCode="0"/>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6" formatCode="_-[$฿-41E]* #,##0_-;\-[$฿-41E]* #,##0_-;_-[$฿-41E]* &quot;-&quot;??_-;_-@_-"/>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6" formatCode="_-[$฿-41E]* #,##0_-;\-[$฿-41E]* #,##0_-;_-[$฿-41E]* &quot;-&quot;??_-;_-@_-"/>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6" formatCode="_-[$฿-41E]* #,##0_-;\-[$฿-41E]* #,##0_-;_-[$฿-41E]* &quot;-&quot;??_-;_-@_-"/>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6" formatCode="_-[$฿-41E]* #,##0_-;\-[$฿-41E]* #,##0_-;_-[$฿-41E]* &quot;-&quot;??_-;_-@_-"/>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6" formatCode="_-[$฿-41E]* #,##0_-;\-[$฿-41E]* #,##0_-;_-[$฿-41E]* &quot;-&quot;??_-;_-@_-"/>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5" formatCode="mmm"/>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64" formatCode="[$-F800]dddd\,\ mmmm\ dd\,\ yyyy"/>
      <alignment horizontal="left" vertical="center" textRotation="0" wrapText="1" indent="0" justifyLastLine="0" shrinkToFit="0" readingOrder="0"/>
    </dxf>
    <dxf>
      <font>
        <b val="0"/>
        <i val="0"/>
        <strike val="0"/>
        <condense val="0"/>
        <extend val="0"/>
        <outline val="0"/>
        <shadow val="0"/>
        <u val="none"/>
        <vertAlign val="baseline"/>
        <sz val="12"/>
        <color theme="1" tint="0.34998626667073579"/>
        <name val="Arial"/>
        <family val="2"/>
        <scheme val="none"/>
      </font>
      <numFmt numFmtId="1" formatCode="0"/>
      <alignment horizontal="center" vertical="center" textRotation="0" wrapText="1" indent="0" justifyLastLine="0" shrinkToFit="0" readingOrder="0"/>
    </dxf>
    <dxf>
      <border outline="0">
        <top style="thin">
          <color theme="6"/>
        </top>
        <bottom style="thin">
          <color theme="6"/>
        </bottom>
      </border>
    </dxf>
    <dxf>
      <font>
        <b val="0"/>
        <i val="0"/>
        <strike val="0"/>
        <condense val="0"/>
        <extend val="0"/>
        <outline val="0"/>
        <shadow val="0"/>
        <u val="none"/>
        <vertAlign val="baseline"/>
        <sz val="12"/>
        <color theme="1" tint="0.34998626667073579"/>
        <name val="Arial"/>
        <family val="2"/>
        <scheme val="none"/>
      </font>
      <alignment horizontal="center" vertical="center" textRotation="0" wrapText="1" indent="0" justifyLastLine="0" shrinkToFit="0" readingOrder="0"/>
    </dxf>
    <dxf>
      <border outline="0">
        <bottom style="thin">
          <color theme="6"/>
        </bottom>
      </border>
    </dxf>
    <dxf>
      <font>
        <b/>
        <i val="0"/>
        <strike val="0"/>
        <condense val="0"/>
        <extend val="0"/>
        <outline val="0"/>
        <shadow val="0"/>
        <u val="none"/>
        <vertAlign val="baseline"/>
        <sz val="11"/>
        <color theme="0"/>
        <name val="Arial"/>
        <family val="2"/>
        <scheme val="none"/>
      </font>
      <fill>
        <patternFill patternType="solid">
          <fgColor indexed="64"/>
          <bgColor rgb="FF48515F"/>
        </patternFill>
      </fill>
      <alignment horizontal="center" vertical="center" textRotation="0" wrapText="1" indent="0" justifyLastLine="0" shrinkToFit="0" readingOrder="0"/>
    </dxf>
    <dxf>
      <font>
        <b/>
        <i val="0"/>
        <sz val="12"/>
        <color theme="2"/>
        <name val="Calibri"/>
        <family val="2"/>
        <scheme val="minor"/>
      </font>
      <fill>
        <patternFill patternType="none">
          <bgColor auto="1"/>
        </patternFill>
      </fill>
    </dxf>
    <dxf>
      <fill>
        <patternFill patternType="solid">
          <bgColor theme="0"/>
        </patternFill>
      </fill>
    </dxf>
  </dxfs>
  <tableStyles count="1" defaultTableStyle="TableStyleMedium2" defaultPivotStyle="PivotStyleLight16">
    <tableStyle name="Slicer Style 1 2 3" pivot="0" table="0" count="9" xr9:uid="{0102E2EA-E98C-3844-85BE-58E24DC99221}">
      <tableStyleElement type="wholeTable" dxfId="42"/>
      <tableStyleElement type="headerRow" dxfId="41"/>
    </tableStyle>
  </tableStyles>
  <colors>
    <mruColors>
      <color rgb="FF42494F"/>
      <color rgb="FF48515F"/>
      <color rgb="FFCF5C4A"/>
      <color rgb="FFFCF9F8"/>
      <color rgb="FFFAF4DF"/>
      <color rgb="FFECCD59"/>
      <color rgb="FFE8E9EC"/>
      <color rgb="FFFDFDFD"/>
      <color rgb="FFF6F6F6"/>
      <color rgb="FFFAF9F9"/>
    </mruColors>
  </colors>
  <extLst>
    <ext xmlns:x14="http://schemas.microsoft.com/office/spreadsheetml/2009/9/main" uri="{46F421CA-312F-682f-3DD2-61675219B42D}">
      <x14:dxfs count="7">
        <dxf>
          <font>
            <b/>
            <i val="0"/>
            <sz val="11"/>
            <color theme="0"/>
            <name val="Arial"/>
            <family val="2"/>
            <scheme val="none"/>
          </font>
        </dxf>
        <dxf>
          <font>
            <b/>
            <i val="0"/>
            <sz val="12"/>
            <color theme="0"/>
            <name val="Abadi"/>
            <family val="2"/>
            <scheme val="none"/>
          </font>
          <fill>
            <gradientFill degree="90">
              <stop position="0">
                <color rgb="FFECCD59"/>
              </stop>
              <stop position="1">
                <color rgb="FFECCD59"/>
              </stop>
            </gradientFill>
          </fill>
        </dxf>
        <dxf>
          <font>
            <b/>
            <i val="0"/>
            <sz val="12"/>
            <color theme="0"/>
            <name val="Calibri"/>
            <family val="2"/>
            <scheme val="minor"/>
          </font>
          <fill>
            <gradientFill degree="90">
              <stop position="0">
                <color rgb="FFECCD59"/>
              </stop>
              <stop position="1">
                <color rgb="FFECCD59"/>
              </stop>
            </gradientFill>
          </fill>
        </dxf>
        <dxf>
          <font>
            <b/>
            <i val="0"/>
            <sz val="11"/>
            <color theme="0"/>
            <name val="Arial"/>
            <family val="2"/>
            <scheme val="none"/>
          </font>
          <fill>
            <patternFill>
              <bgColor theme="0"/>
            </patternFill>
          </fill>
        </dxf>
        <dxf>
          <font>
            <b/>
            <i val="0"/>
            <sz val="12"/>
            <color theme="1" tint="0.499984740745262"/>
            <name val="Abadi"/>
            <family val="2"/>
            <scheme val="none"/>
          </font>
          <fill>
            <patternFill patternType="solid">
              <fgColor auto="1"/>
              <bgColor theme="0" tint="-4.9989318521683403E-2"/>
            </patternFill>
          </fill>
          <border diagonalUp="0" diagonalDown="0">
            <left/>
            <right/>
            <top/>
            <bottom/>
            <vertical/>
            <horizontal/>
          </border>
        </dxf>
        <dxf>
          <font>
            <b val="0"/>
            <i val="0"/>
            <sz val="11"/>
            <color theme="9" tint="-0.499984740745262"/>
            <name val="Calibri"/>
            <family val="2"/>
            <scheme val="minor"/>
          </font>
          <fill>
            <patternFill>
              <bgColor theme="0" tint="-4.9989318521683403E-2"/>
            </patternFill>
          </fill>
        </dxf>
        <dxf>
          <font>
            <b/>
            <i val="0"/>
            <sz val="12"/>
            <color theme="0" tint="-0.34998626667073579"/>
            <name val="Abadi"/>
            <family val="2"/>
            <scheme val="none"/>
          </font>
          <fill>
            <patternFill patternType="solid">
              <bgColor theme="0"/>
            </patternFill>
          </fill>
        </dxf>
      </x14:dxfs>
    </ext>
    <ext xmlns:x14="http://schemas.microsoft.com/office/spreadsheetml/2009/9/main" uri="{EB79DEF2-80B8-43e5-95BD-54CBDDF9020C}">
      <x14:slicerStyles defaultSlicerStyle="SlicerStyleLight1">
        <x14:slicerStyle name="Slicer Style 1 2 3">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CF5C4A"/>
              </a:solidFill>
              <a:ln w="19050">
                <a:solidFill>
                  <a:schemeClr val="lt1"/>
                </a:solidFill>
              </a:ln>
              <a:effectLst/>
            </c:spPr>
            <c:extLst>
              <c:ext xmlns:c16="http://schemas.microsoft.com/office/drawing/2014/chart" uri="{C3380CC4-5D6E-409C-BE32-E72D297353CC}">
                <c16:uniqueId val="{00000001-66B2-4ACC-9670-010BE88A15C8}"/>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66B2-4ACC-9670-010BE88A15C8}"/>
              </c:ext>
            </c:extLst>
          </c:dPt>
          <c:cat>
            <c:strRef>
              <c:f>'Pivot Tables'!$AB$11:$AB$12</c:f>
              <c:strCache>
                <c:ptCount val="2"/>
                <c:pt idx="0">
                  <c:v>Salaries</c:v>
                </c:pt>
                <c:pt idx="1">
                  <c:v>Wages</c:v>
                </c:pt>
              </c:strCache>
            </c:strRef>
          </c:cat>
          <c:val>
            <c:numRef>
              <c:f>'Pivot Tables'!$AC$11:$AC$12</c:f>
              <c:numCache>
                <c:formatCode>General</c:formatCode>
                <c:ptCount val="2"/>
                <c:pt idx="0">
                  <c:v>12100</c:v>
                </c:pt>
                <c:pt idx="1">
                  <c:v>15100</c:v>
                </c:pt>
              </c:numCache>
            </c:numRef>
          </c:val>
          <c:extLst>
            <c:ext xmlns:c16="http://schemas.microsoft.com/office/drawing/2014/chart" uri="{C3380CC4-5D6E-409C-BE32-E72D297353CC}">
              <c16:uniqueId val="{00000004-66B2-4ACC-9670-010BE88A15C8}"/>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solidFill>
                <a:schemeClr val="bg1"/>
              </a:solidFill>
            </a:ln>
          </c:spPr>
          <c:dPt>
            <c:idx val="0"/>
            <c:bubble3D val="0"/>
            <c:spPr>
              <a:solidFill>
                <a:srgbClr val="CF5C4A"/>
              </a:solidFill>
              <a:ln w="19050">
                <a:solidFill>
                  <a:schemeClr val="bg1"/>
                </a:solidFill>
              </a:ln>
              <a:effectLst/>
            </c:spPr>
            <c:extLst>
              <c:ext xmlns:c16="http://schemas.microsoft.com/office/drawing/2014/chart" uri="{C3380CC4-5D6E-409C-BE32-E72D297353CC}">
                <c16:uniqueId val="{00000001-F1EE-4E93-AAE4-FF368EBB6966}"/>
              </c:ext>
            </c:extLst>
          </c:dPt>
          <c:dPt>
            <c:idx val="1"/>
            <c:bubble3D val="0"/>
            <c:spPr>
              <a:solidFill>
                <a:schemeClr val="bg2">
                  <a:lumMod val="90000"/>
                </a:schemeClr>
              </a:solidFill>
              <a:ln w="19050">
                <a:solidFill>
                  <a:schemeClr val="bg1"/>
                </a:solidFill>
              </a:ln>
              <a:effectLst/>
            </c:spPr>
            <c:extLst>
              <c:ext xmlns:c16="http://schemas.microsoft.com/office/drawing/2014/chart" uri="{C3380CC4-5D6E-409C-BE32-E72D297353CC}">
                <c16:uniqueId val="{00000003-F1EE-4E93-AAE4-FF368EBB6966}"/>
              </c:ext>
            </c:extLst>
          </c:dPt>
          <c:cat>
            <c:strRef>
              <c:f>'Pivot Tables'!$AB$15:$AB$16</c:f>
              <c:strCache>
                <c:ptCount val="2"/>
                <c:pt idx="0">
                  <c:v>Wages </c:v>
                </c:pt>
                <c:pt idx="1">
                  <c:v>Salaries</c:v>
                </c:pt>
              </c:strCache>
            </c:strRef>
          </c:cat>
          <c:val>
            <c:numRef>
              <c:f>'Pivot Tables'!$AC$15:$AC$16</c:f>
              <c:numCache>
                <c:formatCode>General</c:formatCode>
                <c:ptCount val="2"/>
                <c:pt idx="0">
                  <c:v>15100</c:v>
                </c:pt>
                <c:pt idx="1">
                  <c:v>12100</c:v>
                </c:pt>
              </c:numCache>
            </c:numRef>
          </c:val>
          <c:extLst>
            <c:ext xmlns:c16="http://schemas.microsoft.com/office/drawing/2014/chart" uri="{C3380CC4-5D6E-409C-BE32-E72D297353CC}">
              <c16:uniqueId val="{00000004-F1EE-4E93-AAE4-FF368EBB6966}"/>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Bahnschrift SemiBold" panose="020B0502040204020203"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Tables!Expenses by Month</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numFmt formatCode="_-[$฿-41E]* #,##0_-;\-[$฿-41E]* #,##0_-;_-[$฿-41E]*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Tables'!$AI$7</c:f>
              <c:strCache>
                <c:ptCount val="1"/>
                <c:pt idx="0">
                  <c:v>Total</c:v>
                </c:pt>
              </c:strCache>
            </c:strRef>
          </c:tx>
          <c:spPr>
            <a:solidFill>
              <a:schemeClr val="bg1">
                <a:lumMod val="65000"/>
              </a:schemeClr>
            </a:solidFill>
            <a:ln>
              <a:noFill/>
            </a:ln>
            <a:effectLst/>
          </c:spPr>
          <c:invertIfNegative val="0"/>
          <c:dLbls>
            <c:numFmt formatCode="_-[$฿-41E]* #,##0_-;\-[$฿-41E]* #,##0_-;_-[$฿-41E]*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Tables'!$AH$8:$AH$20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Tables'!$AI$8:$AI$20</c:f>
              <c:numCache>
                <c:formatCode>_-[$฿-41E]* #,##0_-;\-[$฿-41E]* #,##0_-;_-[$฿-41E]* "-"??_-;_-@_-</c:formatCode>
                <c:ptCount val="12"/>
                <c:pt idx="0">
                  <c:v>3200</c:v>
                </c:pt>
                <c:pt idx="1">
                  <c:v>2000</c:v>
                </c:pt>
                <c:pt idx="2">
                  <c:v>4000</c:v>
                </c:pt>
                <c:pt idx="3">
                  <c:v>1000</c:v>
                </c:pt>
                <c:pt idx="4">
                  <c:v>1400</c:v>
                </c:pt>
                <c:pt idx="5">
                  <c:v>3600</c:v>
                </c:pt>
                <c:pt idx="6">
                  <c:v>2200</c:v>
                </c:pt>
                <c:pt idx="7">
                  <c:v>2500</c:v>
                </c:pt>
                <c:pt idx="8">
                  <c:v>1000</c:v>
                </c:pt>
                <c:pt idx="9">
                  <c:v>3700</c:v>
                </c:pt>
                <c:pt idx="10">
                  <c:v>1600</c:v>
                </c:pt>
                <c:pt idx="11">
                  <c:v>1000</c:v>
                </c:pt>
              </c:numCache>
            </c:numRef>
          </c:val>
          <c:extLst>
            <c:ext xmlns:c16="http://schemas.microsoft.com/office/drawing/2014/chart" uri="{C3380CC4-5D6E-409C-BE32-E72D297353CC}">
              <c16:uniqueId val="{00000000-0EE5-4C9A-AA3E-33975CA43D7D}"/>
            </c:ext>
          </c:extLst>
        </c:ser>
        <c:dLbls>
          <c:showLegendKey val="0"/>
          <c:showVal val="0"/>
          <c:showCatName val="0"/>
          <c:showSerName val="0"/>
          <c:showPercent val="0"/>
          <c:showBubbleSize val="0"/>
        </c:dLbls>
        <c:gapWidth val="109"/>
        <c:overlap val="-27"/>
        <c:axId val="1630732943"/>
        <c:axId val="1630733359"/>
      </c:barChart>
      <c:catAx>
        <c:axId val="1630732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1630733359"/>
        <c:crosses val="autoZero"/>
        <c:auto val="1"/>
        <c:lblAlgn val="ctr"/>
        <c:lblOffset val="100"/>
        <c:noMultiLvlLbl val="0"/>
      </c:catAx>
      <c:valAx>
        <c:axId val="1630733359"/>
        <c:scaling>
          <c:orientation val="minMax"/>
        </c:scaling>
        <c:delete val="1"/>
        <c:axPos val="l"/>
        <c:numFmt formatCode="_-[$฿-41E]* #,##0_-;\-[$฿-41E]* #,##0_-;_-[$฿-41E]* &quot;-&quot;??_-;_-@_-" sourceLinked="1"/>
        <c:majorTickMark val="none"/>
        <c:minorTickMark val="none"/>
        <c:tickLblPos val="nextTo"/>
        <c:crossAx val="1630732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Tables!Total Trips by Month</c:name>
    <c:fmtId val="21"/>
  </c:pivotSource>
  <c:chart>
    <c:autoTitleDeleted val="1"/>
    <c:pivotFmts>
      <c:pivotFmt>
        <c:idx val="0"/>
        <c:spPr>
          <a:solidFill>
            <a:schemeClr val="accent1"/>
          </a:solidFill>
          <a:ln w="15875" cap="rnd">
            <a:solidFill>
              <a:srgbClr val="CF5C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5875" cap="rnd">
            <a:solidFill>
              <a:srgbClr val="CF5C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5875" cap="rnd">
            <a:solidFill>
              <a:srgbClr val="CF5C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BBF69769-CF5D-4984-B7E3-E4418AB44E5B}" type="CELLRANGE">
                  <a:rPr lang="en-US"/>
                  <a:pPr>
                    <a:defRPr sz="1200"/>
                  </a:pPr>
                  <a:t>[CELLRANGE]</a:t>
                </a:fld>
                <a:endParaRPr lang="en-US" baseline="0"/>
              </a:p>
              <a:p>
                <a:pPr>
                  <a:defRPr sz="1200"/>
                </a:pPr>
                <a:fld id="{2193DCBB-AA96-4EA7-9B22-171CBFE15D95}"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5"/>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36A834D5-7C67-4CA9-9B3C-213BFCE7445A}" type="CELLRANGE">
                  <a:rPr lang="en-US"/>
                  <a:pPr>
                    <a:defRPr sz="1200"/>
                  </a:pPr>
                  <a:t>[CELLRANGE]</a:t>
                </a:fld>
                <a:endParaRPr lang="en-US" baseline="0"/>
              </a:p>
              <a:p>
                <a:pPr>
                  <a:defRPr sz="1200"/>
                </a:pPr>
                <a:fld id="{278014C0-1394-4F4B-A90C-8E85D2962361}"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6"/>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7C3C3CA9-4F1C-4EF8-93B1-D2FE1B9CC829}" type="CELLRANGE">
                  <a:rPr lang="en-US"/>
                  <a:pPr>
                    <a:defRPr sz="1200"/>
                  </a:pPr>
                  <a:t>[CELLRANGE]</a:t>
                </a:fld>
                <a:endParaRPr lang="en-US" baseline="0"/>
              </a:p>
              <a:p>
                <a:pPr>
                  <a:defRPr sz="1200"/>
                </a:pPr>
                <a:fld id="{CFB83E6A-41D5-4B68-A4F5-7A45E278F0E0}"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7"/>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9BD339A0-ADE3-4569-B8F8-83491E3FB80E}" type="CELLRANGE">
                  <a:rPr lang="en-US"/>
                  <a:pPr>
                    <a:defRPr sz="1200"/>
                  </a:pPr>
                  <a:t>[CELLRANGE]</a:t>
                </a:fld>
                <a:endParaRPr lang="en-US" baseline="0"/>
              </a:p>
              <a:p>
                <a:pPr>
                  <a:defRPr sz="1200"/>
                </a:pPr>
                <a:fld id="{DECF8619-1515-481D-A253-0CE651E08DAD}"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8"/>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D1AE6058-5C2D-4DD6-882D-EF83A720B91D}" type="CELLRANGE">
                  <a:rPr lang="en-US"/>
                  <a:pPr>
                    <a:defRPr sz="1200"/>
                  </a:pPr>
                  <a:t>[CELLRANGE]</a:t>
                </a:fld>
                <a:endParaRPr lang="en-US" baseline="0"/>
              </a:p>
              <a:p>
                <a:pPr>
                  <a:defRPr sz="1200"/>
                </a:pPr>
                <a:fld id="{C5E9C2B5-17C5-4D16-8840-2EC9682131E1}"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9"/>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AD11CD13-43CA-4B44-AB3B-5BB88099DDC2}" type="CELLRANGE">
                  <a:rPr lang="en-US"/>
                  <a:pPr>
                    <a:defRPr sz="1200"/>
                  </a:pPr>
                  <a:t>[CELLRANGE]</a:t>
                </a:fld>
                <a:endParaRPr lang="en-US" baseline="0"/>
              </a:p>
              <a:p>
                <a:pPr>
                  <a:defRPr sz="1200"/>
                </a:pPr>
                <a:fld id="{1D6383D4-3E3B-433F-991E-AC7A694E409C}"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0"/>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49F532E4-D6B5-49EF-8EE6-6C564EF1486B}" type="CELLRANGE">
                  <a:rPr lang="en-US"/>
                  <a:pPr>
                    <a:defRPr sz="1200"/>
                  </a:pPr>
                  <a:t>[CELLRANGE]</a:t>
                </a:fld>
                <a:endParaRPr lang="en-US" baseline="0"/>
              </a:p>
              <a:p>
                <a:pPr>
                  <a:defRPr sz="1200"/>
                </a:pPr>
                <a:fld id="{4ED31746-DF7A-49C7-8A93-29BE63B23D47}"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1"/>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9D83119E-3764-4891-8F3D-1542FC8C0A4C}" type="CELLRANGE">
                  <a:rPr lang="en-US"/>
                  <a:pPr>
                    <a:defRPr sz="1200"/>
                  </a:pPr>
                  <a:t>[CELLRANGE]</a:t>
                </a:fld>
                <a:endParaRPr lang="en-US" baseline="0"/>
              </a:p>
              <a:p>
                <a:pPr>
                  <a:defRPr sz="1200"/>
                </a:pPr>
                <a:fld id="{27F62E8B-DCC5-496D-B07D-29D36E832ACF}"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2"/>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E5D5FACE-0FDB-4FA2-AC47-5C3F7AE3C827}" type="CELLRANGE">
                  <a:rPr lang="en-US"/>
                  <a:pPr>
                    <a:defRPr sz="1200"/>
                  </a:pPr>
                  <a:t>[CELLRANGE]</a:t>
                </a:fld>
                <a:endParaRPr lang="en-US" baseline="0"/>
              </a:p>
              <a:p>
                <a:pPr>
                  <a:defRPr sz="1200"/>
                </a:pPr>
                <a:fld id="{FA7B8CFD-AD20-4B0D-A139-F308584FFD20}"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3"/>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754E8E66-063E-4FA0-8089-FAFE69BB09DF}" type="CELLRANGE">
                  <a:rPr lang="en-US"/>
                  <a:pPr>
                    <a:defRPr sz="1200"/>
                  </a:pPr>
                  <a:t>[CELLRANGE]</a:t>
                </a:fld>
                <a:endParaRPr lang="en-US" baseline="0"/>
              </a:p>
              <a:p>
                <a:pPr>
                  <a:defRPr sz="1200"/>
                </a:pPr>
                <a:fld id="{05A55816-05A1-4E40-A310-3CDA44D49A61}"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4"/>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EFC2C5C2-D64B-4159-BB13-BDA021BD4D0B}" type="CELLRANGE">
                  <a:rPr lang="en-US"/>
                  <a:pPr>
                    <a:defRPr sz="1200"/>
                  </a:pPr>
                  <a:t>[CELLRANGE]</a:t>
                </a:fld>
                <a:endParaRPr lang="en-US" baseline="0"/>
              </a:p>
              <a:p>
                <a:pPr>
                  <a:defRPr sz="1200"/>
                </a:pPr>
                <a:fld id="{C4A4CBFD-289A-48C7-BC85-69746D60A753}"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5"/>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fld id="{692BEE1D-10B0-4677-B506-A4B92F6C469A}" type="CELLRANGE">
                  <a:rPr lang="en-US"/>
                  <a:pPr>
                    <a:defRPr sz="1200"/>
                  </a:pPr>
                  <a:t>[CELLRANGE]</a:t>
                </a:fld>
                <a:endParaRPr lang="en-US" baseline="0"/>
              </a:p>
              <a:p>
                <a:pPr>
                  <a:defRPr sz="1200"/>
                </a:pPr>
                <a:fld id="{67E01CE9-3281-4F16-A123-CFE1DCB79335}" type="VALUE">
                  <a:rPr lang="en-US"/>
                  <a:pPr>
                    <a:defRPr sz="1200"/>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s>
    <c:plotArea>
      <c:layout/>
      <c:lineChart>
        <c:grouping val="standard"/>
        <c:varyColors val="0"/>
        <c:ser>
          <c:idx val="0"/>
          <c:order val="0"/>
          <c:tx>
            <c:strRef>
              <c:f>'Pivot Tables'!$AU$9:$AU$20</c:f>
              <c:strCache>
                <c:ptCount val="1"/>
                <c:pt idx="0">
                  <c:v>Count of N</c:v>
                </c:pt>
              </c:strCache>
            </c:strRef>
          </c:tx>
          <c:spPr>
            <a:ln w="15875" cap="rnd">
              <a:solidFill>
                <a:srgbClr val="CF5C4A"/>
              </a:solidFill>
              <a:round/>
            </a:ln>
            <a:effectLst/>
          </c:spPr>
          <c:marker>
            <c:symbol val="none"/>
          </c:marker>
          <c:dPt>
            <c:idx val="0"/>
            <c:marker>
              <c:symbol val="none"/>
            </c:marker>
            <c:bubble3D val="0"/>
            <c:spPr>
              <a:ln w="15875" cap="rnd">
                <a:solidFill>
                  <a:srgbClr val="CF5C4A"/>
                </a:solidFill>
                <a:round/>
              </a:ln>
              <a:effectLst/>
            </c:spPr>
            <c:extLst>
              <c:ext xmlns:c16="http://schemas.microsoft.com/office/drawing/2014/chart" uri="{C3380CC4-5D6E-409C-BE32-E72D297353CC}">
                <c16:uniqueId val="{00000004-9AAB-4924-A6D5-66B017C245BB}"/>
              </c:ext>
            </c:extLst>
          </c:dPt>
          <c:dPt>
            <c:idx val="1"/>
            <c:marker>
              <c:symbol val="none"/>
            </c:marker>
            <c:bubble3D val="0"/>
            <c:spPr>
              <a:ln w="15875" cap="rnd">
                <a:solidFill>
                  <a:srgbClr val="CF5C4A"/>
                </a:solidFill>
                <a:round/>
              </a:ln>
              <a:effectLst/>
            </c:spPr>
            <c:extLst>
              <c:ext xmlns:c16="http://schemas.microsoft.com/office/drawing/2014/chart" uri="{C3380CC4-5D6E-409C-BE32-E72D297353CC}">
                <c16:uniqueId val="{00000005-9AAB-4924-A6D5-66B017C245BB}"/>
              </c:ext>
            </c:extLst>
          </c:dPt>
          <c:dPt>
            <c:idx val="2"/>
            <c:marker>
              <c:symbol val="none"/>
            </c:marker>
            <c:bubble3D val="0"/>
            <c:spPr>
              <a:ln w="15875" cap="rnd">
                <a:solidFill>
                  <a:srgbClr val="CF5C4A"/>
                </a:solidFill>
                <a:round/>
              </a:ln>
              <a:effectLst/>
            </c:spPr>
            <c:extLst>
              <c:ext xmlns:c16="http://schemas.microsoft.com/office/drawing/2014/chart" uri="{C3380CC4-5D6E-409C-BE32-E72D297353CC}">
                <c16:uniqueId val="{00000006-9AAB-4924-A6D5-66B017C245BB}"/>
              </c:ext>
            </c:extLst>
          </c:dPt>
          <c:dPt>
            <c:idx val="3"/>
            <c:marker>
              <c:symbol val="none"/>
            </c:marker>
            <c:bubble3D val="0"/>
            <c:spPr>
              <a:ln w="15875" cap="rnd">
                <a:solidFill>
                  <a:srgbClr val="CF5C4A"/>
                </a:solidFill>
                <a:round/>
              </a:ln>
              <a:effectLst/>
            </c:spPr>
            <c:extLst>
              <c:ext xmlns:c16="http://schemas.microsoft.com/office/drawing/2014/chart" uri="{C3380CC4-5D6E-409C-BE32-E72D297353CC}">
                <c16:uniqueId val="{00000007-9AAB-4924-A6D5-66B017C245BB}"/>
              </c:ext>
            </c:extLst>
          </c:dPt>
          <c:dPt>
            <c:idx val="4"/>
            <c:marker>
              <c:symbol val="none"/>
            </c:marker>
            <c:bubble3D val="0"/>
            <c:spPr>
              <a:ln w="15875" cap="rnd">
                <a:solidFill>
                  <a:srgbClr val="CF5C4A"/>
                </a:solidFill>
                <a:round/>
              </a:ln>
              <a:effectLst/>
            </c:spPr>
            <c:extLst>
              <c:ext xmlns:c16="http://schemas.microsoft.com/office/drawing/2014/chart" uri="{C3380CC4-5D6E-409C-BE32-E72D297353CC}">
                <c16:uniqueId val="{00000008-9AAB-4924-A6D5-66B017C245BB}"/>
              </c:ext>
            </c:extLst>
          </c:dPt>
          <c:dPt>
            <c:idx val="5"/>
            <c:marker>
              <c:symbol val="none"/>
            </c:marker>
            <c:bubble3D val="0"/>
            <c:spPr>
              <a:ln w="15875" cap="rnd">
                <a:solidFill>
                  <a:srgbClr val="CF5C4A"/>
                </a:solidFill>
                <a:round/>
              </a:ln>
              <a:effectLst/>
            </c:spPr>
            <c:extLst>
              <c:ext xmlns:c16="http://schemas.microsoft.com/office/drawing/2014/chart" uri="{C3380CC4-5D6E-409C-BE32-E72D297353CC}">
                <c16:uniqueId val="{00000009-9AAB-4924-A6D5-66B017C245BB}"/>
              </c:ext>
            </c:extLst>
          </c:dPt>
          <c:dPt>
            <c:idx val="6"/>
            <c:marker>
              <c:symbol val="none"/>
            </c:marker>
            <c:bubble3D val="0"/>
            <c:spPr>
              <a:ln w="15875" cap="rnd">
                <a:solidFill>
                  <a:srgbClr val="CF5C4A"/>
                </a:solidFill>
                <a:round/>
              </a:ln>
              <a:effectLst/>
            </c:spPr>
            <c:extLst>
              <c:ext xmlns:c16="http://schemas.microsoft.com/office/drawing/2014/chart" uri="{C3380CC4-5D6E-409C-BE32-E72D297353CC}">
                <c16:uniqueId val="{0000000A-9AAB-4924-A6D5-66B017C245BB}"/>
              </c:ext>
            </c:extLst>
          </c:dPt>
          <c:dPt>
            <c:idx val="7"/>
            <c:marker>
              <c:symbol val="none"/>
            </c:marker>
            <c:bubble3D val="0"/>
            <c:spPr>
              <a:ln w="15875" cap="rnd">
                <a:solidFill>
                  <a:srgbClr val="CF5C4A"/>
                </a:solidFill>
                <a:round/>
              </a:ln>
              <a:effectLst/>
            </c:spPr>
            <c:extLst>
              <c:ext xmlns:c16="http://schemas.microsoft.com/office/drawing/2014/chart" uri="{C3380CC4-5D6E-409C-BE32-E72D297353CC}">
                <c16:uniqueId val="{0000000B-9AAB-4924-A6D5-66B017C245BB}"/>
              </c:ext>
            </c:extLst>
          </c:dPt>
          <c:dPt>
            <c:idx val="8"/>
            <c:marker>
              <c:symbol val="none"/>
            </c:marker>
            <c:bubble3D val="0"/>
            <c:spPr>
              <a:ln w="15875" cap="rnd">
                <a:solidFill>
                  <a:srgbClr val="CF5C4A"/>
                </a:solidFill>
                <a:round/>
              </a:ln>
              <a:effectLst/>
            </c:spPr>
          </c:dPt>
          <c:dPt>
            <c:idx val="9"/>
            <c:marker>
              <c:symbol val="none"/>
            </c:marker>
            <c:bubble3D val="0"/>
            <c:spPr>
              <a:ln w="15875" cap="rnd">
                <a:solidFill>
                  <a:srgbClr val="CF5C4A"/>
                </a:solidFill>
                <a:round/>
              </a:ln>
              <a:effectLst/>
            </c:spPr>
          </c:dPt>
          <c:dPt>
            <c:idx val="10"/>
            <c:marker>
              <c:symbol val="none"/>
            </c:marker>
            <c:bubble3D val="0"/>
            <c:spPr>
              <a:ln w="15875" cap="rnd">
                <a:solidFill>
                  <a:srgbClr val="CF5C4A"/>
                </a:solidFill>
                <a:round/>
              </a:ln>
              <a:effectLst/>
            </c:spPr>
          </c:dPt>
          <c:dPt>
            <c:idx val="11"/>
            <c:marker>
              <c:symbol val="none"/>
            </c:marker>
            <c:bubble3D val="0"/>
            <c:spPr>
              <a:ln w="15875" cap="rnd">
                <a:solidFill>
                  <a:srgbClr val="CF5C4A"/>
                </a:solidFill>
                <a:round/>
              </a:ln>
              <a:effectLst/>
            </c:spPr>
          </c:dPt>
          <c:dLbls>
            <c:dLbl>
              <c:idx val="0"/>
              <c:tx>
                <c:rich>
                  <a:bodyPr/>
                  <a:lstStyle/>
                  <a:p>
                    <a:fld id="{BBF69769-CF5D-4984-B7E3-E4418AB44E5B}" type="CELLRANGE">
                      <a:rPr lang="en-US"/>
                      <a:pPr/>
                      <a:t>[CELLRANGE]</a:t>
                    </a:fld>
                    <a:endParaRPr lang="en-US" baseline="0"/>
                  </a:p>
                  <a:p>
                    <a:fld id="{2193DCBB-AA96-4EA7-9B22-171CBFE15D9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9AAB-4924-A6D5-66B017C245BB}"/>
                </c:ext>
              </c:extLst>
            </c:dLbl>
            <c:dLbl>
              <c:idx val="1"/>
              <c:tx>
                <c:rich>
                  <a:bodyPr/>
                  <a:lstStyle/>
                  <a:p>
                    <a:fld id="{36A834D5-7C67-4CA9-9B3C-213BFCE7445A}" type="CELLRANGE">
                      <a:rPr lang="en-US"/>
                      <a:pPr/>
                      <a:t>[CELLRANGE]</a:t>
                    </a:fld>
                    <a:endParaRPr lang="en-US" baseline="0"/>
                  </a:p>
                  <a:p>
                    <a:fld id="{278014C0-1394-4F4B-A90C-8E85D2962361}"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9AAB-4924-A6D5-66B017C245BB}"/>
                </c:ext>
              </c:extLst>
            </c:dLbl>
            <c:dLbl>
              <c:idx val="2"/>
              <c:tx>
                <c:rich>
                  <a:bodyPr/>
                  <a:lstStyle/>
                  <a:p>
                    <a:fld id="{7C3C3CA9-4F1C-4EF8-93B1-D2FE1B9CC829}" type="CELLRANGE">
                      <a:rPr lang="en-US"/>
                      <a:pPr/>
                      <a:t>[CELLRANGE]</a:t>
                    </a:fld>
                    <a:endParaRPr lang="en-US" baseline="0"/>
                  </a:p>
                  <a:p>
                    <a:fld id="{CFB83E6A-41D5-4B68-A4F5-7A45E278F0E0}"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9AAB-4924-A6D5-66B017C245BB}"/>
                </c:ext>
              </c:extLst>
            </c:dLbl>
            <c:dLbl>
              <c:idx val="3"/>
              <c:tx>
                <c:rich>
                  <a:bodyPr/>
                  <a:lstStyle/>
                  <a:p>
                    <a:fld id="{9BD339A0-ADE3-4569-B8F8-83491E3FB80E}" type="CELLRANGE">
                      <a:rPr lang="en-US"/>
                      <a:pPr/>
                      <a:t>[CELLRANGE]</a:t>
                    </a:fld>
                    <a:endParaRPr lang="en-US" baseline="0"/>
                  </a:p>
                  <a:p>
                    <a:fld id="{DECF8619-1515-481D-A253-0CE651E08DAD}"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9AAB-4924-A6D5-66B017C245BB}"/>
                </c:ext>
              </c:extLst>
            </c:dLbl>
            <c:dLbl>
              <c:idx val="4"/>
              <c:tx>
                <c:rich>
                  <a:bodyPr/>
                  <a:lstStyle/>
                  <a:p>
                    <a:fld id="{D1AE6058-5C2D-4DD6-882D-EF83A720B91D}" type="CELLRANGE">
                      <a:rPr lang="en-US"/>
                      <a:pPr/>
                      <a:t>[CELLRANGE]</a:t>
                    </a:fld>
                    <a:endParaRPr lang="en-US" baseline="0"/>
                  </a:p>
                  <a:p>
                    <a:fld id="{C5E9C2B5-17C5-4D16-8840-2EC9682131E1}"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9AAB-4924-A6D5-66B017C245BB}"/>
                </c:ext>
              </c:extLst>
            </c:dLbl>
            <c:dLbl>
              <c:idx val="5"/>
              <c:tx>
                <c:rich>
                  <a:bodyPr/>
                  <a:lstStyle/>
                  <a:p>
                    <a:fld id="{AD11CD13-43CA-4B44-AB3B-5BB88099DDC2}" type="CELLRANGE">
                      <a:rPr lang="en-US"/>
                      <a:pPr/>
                      <a:t>[CELLRANGE]</a:t>
                    </a:fld>
                    <a:endParaRPr lang="en-US" baseline="0"/>
                  </a:p>
                  <a:p>
                    <a:fld id="{1D6383D4-3E3B-433F-991E-AC7A694E409C}"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9AAB-4924-A6D5-66B017C245BB}"/>
                </c:ext>
              </c:extLst>
            </c:dLbl>
            <c:dLbl>
              <c:idx val="6"/>
              <c:tx>
                <c:rich>
                  <a:bodyPr/>
                  <a:lstStyle/>
                  <a:p>
                    <a:fld id="{49F532E4-D6B5-49EF-8EE6-6C564EF1486B}" type="CELLRANGE">
                      <a:rPr lang="en-US"/>
                      <a:pPr/>
                      <a:t>[CELLRANGE]</a:t>
                    </a:fld>
                    <a:endParaRPr lang="en-US" baseline="0"/>
                  </a:p>
                  <a:p>
                    <a:fld id="{4ED31746-DF7A-49C7-8A93-29BE63B23D47}"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9AAB-4924-A6D5-66B017C245BB}"/>
                </c:ext>
              </c:extLst>
            </c:dLbl>
            <c:dLbl>
              <c:idx val="7"/>
              <c:tx>
                <c:rich>
                  <a:bodyPr/>
                  <a:lstStyle/>
                  <a:p>
                    <a:fld id="{9D83119E-3764-4891-8F3D-1542FC8C0A4C}" type="CELLRANGE">
                      <a:rPr lang="en-US"/>
                      <a:pPr/>
                      <a:t>[CELLRANGE]</a:t>
                    </a:fld>
                    <a:endParaRPr lang="en-US" baseline="0"/>
                  </a:p>
                  <a:p>
                    <a:fld id="{27F62E8B-DCC5-496D-B07D-29D36E832ACF}"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9AAB-4924-A6D5-66B017C245BB}"/>
                </c:ext>
              </c:extLst>
            </c:dLbl>
            <c:dLbl>
              <c:idx val="8"/>
              <c:tx>
                <c:rich>
                  <a:bodyPr/>
                  <a:lstStyle/>
                  <a:p>
                    <a:fld id="{E5D5FACE-0FDB-4FA2-AC47-5C3F7AE3C827}" type="CELLRANGE">
                      <a:rPr lang="en-US"/>
                      <a:pPr/>
                      <a:t>[CELLRANGE]</a:t>
                    </a:fld>
                    <a:endParaRPr lang="en-US" baseline="0"/>
                  </a:p>
                  <a:p>
                    <a:fld id="{FA7B8CFD-AD20-4B0D-A139-F308584FFD20}"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9"/>
              <c:tx>
                <c:rich>
                  <a:bodyPr/>
                  <a:lstStyle/>
                  <a:p>
                    <a:fld id="{754E8E66-063E-4FA0-8089-FAFE69BB09DF}" type="CELLRANGE">
                      <a:rPr lang="en-US"/>
                      <a:pPr/>
                      <a:t>[CELLRANGE]</a:t>
                    </a:fld>
                    <a:endParaRPr lang="en-US" baseline="0"/>
                  </a:p>
                  <a:p>
                    <a:fld id="{05A55816-05A1-4E40-A310-3CDA44D49A61}"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0"/>
              <c:tx>
                <c:rich>
                  <a:bodyPr/>
                  <a:lstStyle/>
                  <a:p>
                    <a:fld id="{EFC2C5C2-D64B-4159-BB13-BDA021BD4D0B}" type="CELLRANGE">
                      <a:rPr lang="en-US"/>
                      <a:pPr/>
                      <a:t>[CELLRANGE]</a:t>
                    </a:fld>
                    <a:endParaRPr lang="en-US" baseline="0"/>
                  </a:p>
                  <a:p>
                    <a:fld id="{C4A4CBFD-289A-48C7-BC85-69746D60A753}"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1"/>
              <c:tx>
                <c:rich>
                  <a:bodyPr/>
                  <a:lstStyle/>
                  <a:p>
                    <a:fld id="{692BEE1D-10B0-4677-B506-A4B92F6C469A}" type="CELLRANGE">
                      <a:rPr lang="en-US"/>
                      <a:pPr/>
                      <a:t>[CELLRANGE]</a:t>
                    </a:fld>
                    <a:endParaRPr lang="en-US" baseline="0"/>
                  </a:p>
                  <a:p>
                    <a:fld id="{67E01CE9-3281-4F16-A123-CFE1DCB7933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Tables'!$AU$9:$AU$20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Tables'!$AU$9:$AU$20</c:f>
              <c:numCache>
                <c:formatCode>General</c:formatCode>
                <c:ptCount val="12"/>
                <c:pt idx="0">
                  <c:v>2</c:v>
                </c:pt>
                <c:pt idx="1">
                  <c:v>2</c:v>
                </c:pt>
                <c:pt idx="2">
                  <c:v>4</c:v>
                </c:pt>
                <c:pt idx="3">
                  <c:v>1</c:v>
                </c:pt>
                <c:pt idx="4">
                  <c:v>1</c:v>
                </c:pt>
                <c:pt idx="5">
                  <c:v>2</c:v>
                </c:pt>
                <c:pt idx="6">
                  <c:v>2</c:v>
                </c:pt>
                <c:pt idx="7">
                  <c:v>3</c:v>
                </c:pt>
                <c:pt idx="8">
                  <c:v>1</c:v>
                </c:pt>
                <c:pt idx="9">
                  <c:v>4</c:v>
                </c:pt>
                <c:pt idx="10">
                  <c:v>1</c:v>
                </c:pt>
                <c:pt idx="11">
                  <c:v>1</c:v>
                </c:pt>
              </c:numCache>
            </c:numRef>
          </c:val>
          <c:smooth val="1"/>
          <c:extLst>
            <c:ext xmlns:c15="http://schemas.microsoft.com/office/drawing/2012/chart" uri="{02D57815-91ED-43cb-92C2-25804820EDAC}">
              <c15:datalabelsRange>
                <c15:f>'Pivot Tables'!$AU$9:$AU$20</c15:f>
                <c15:dlblRangeCache>
                  <c:ptCount val="12"/>
                  <c:pt idx="1">
                    <c:v>0%</c:v>
                  </c:pt>
                  <c:pt idx="2">
                    <c:v>100%</c:v>
                  </c:pt>
                  <c:pt idx="3">
                    <c:v>-75%</c:v>
                  </c:pt>
                  <c:pt idx="4">
                    <c:v>0%</c:v>
                  </c:pt>
                  <c:pt idx="5">
                    <c:v>100%</c:v>
                  </c:pt>
                  <c:pt idx="6">
                    <c:v>0%</c:v>
                  </c:pt>
                  <c:pt idx="7">
                    <c:v>50%</c:v>
                  </c:pt>
                  <c:pt idx="8">
                    <c:v>-67%</c:v>
                  </c:pt>
                  <c:pt idx="9">
                    <c:v>300%</c:v>
                  </c:pt>
                  <c:pt idx="10">
                    <c:v>-75%</c:v>
                  </c:pt>
                  <c:pt idx="11">
                    <c:v>0%</c:v>
                  </c:pt>
                </c15:dlblRangeCache>
              </c15:datalabelsRange>
            </c:ext>
            <c:ext xmlns:c16="http://schemas.microsoft.com/office/drawing/2014/chart" uri="{C3380CC4-5D6E-409C-BE32-E72D297353CC}">
              <c16:uniqueId val="{00000000-9AAB-4924-A6D5-66B017C245BB}"/>
            </c:ext>
          </c:extLst>
        </c:ser>
        <c:ser>
          <c:idx val="1"/>
          <c:order val="1"/>
          <c:tx>
            <c:strRef>
              <c:f>'Pivot Tables'!$AU$9:$AU$20</c:f>
              <c:strCache>
                <c:ptCount val="1"/>
                <c:pt idx="0">
                  <c:v>Count of Month</c:v>
                </c:pt>
              </c:strCache>
            </c:strRef>
          </c:tx>
          <c:spPr>
            <a:ln w="28575" cap="rnd">
              <a:noFill/>
              <a:round/>
            </a:ln>
            <a:effectLst/>
          </c:spPr>
          <c:marker>
            <c:symbol val="none"/>
          </c:marker>
          <c:dLbls>
            <c:delete val="1"/>
          </c:dLbls>
          <c:cat>
            <c:strRef>
              <c:f>'Pivot Tables'!$AU$9:$AU$20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Tables'!$AU$9:$AU$20</c:f>
              <c:numCache>
                <c:formatCode>0%</c:formatCode>
                <c:ptCount val="12"/>
                <c:pt idx="1">
                  <c:v>0</c:v>
                </c:pt>
                <c:pt idx="2">
                  <c:v>1</c:v>
                </c:pt>
                <c:pt idx="3">
                  <c:v>-0.75</c:v>
                </c:pt>
                <c:pt idx="4">
                  <c:v>0</c:v>
                </c:pt>
                <c:pt idx="5">
                  <c:v>1</c:v>
                </c:pt>
                <c:pt idx="6">
                  <c:v>0</c:v>
                </c:pt>
                <c:pt idx="7">
                  <c:v>0.5</c:v>
                </c:pt>
                <c:pt idx="8">
                  <c:v>-0.66666666666666663</c:v>
                </c:pt>
                <c:pt idx="9">
                  <c:v>3</c:v>
                </c:pt>
                <c:pt idx="10">
                  <c:v>-0.75</c:v>
                </c:pt>
                <c:pt idx="11">
                  <c:v>0</c:v>
                </c:pt>
              </c:numCache>
            </c:numRef>
          </c:val>
          <c:smooth val="0"/>
          <c:extLst>
            <c:ext xmlns:c16="http://schemas.microsoft.com/office/drawing/2014/chart" uri="{C3380CC4-5D6E-409C-BE32-E72D297353CC}">
              <c16:uniqueId val="{00000003-9AAB-4924-A6D5-66B017C245BB}"/>
            </c:ext>
          </c:extLst>
        </c:ser>
        <c:dLbls>
          <c:dLblPos val="t"/>
          <c:showLegendKey val="0"/>
          <c:showVal val="1"/>
          <c:showCatName val="0"/>
          <c:showSerName val="0"/>
          <c:showPercent val="0"/>
          <c:showBubbleSize val="0"/>
        </c:dLbls>
        <c:smooth val="0"/>
        <c:axId val="1412274656"/>
        <c:axId val="1412270912"/>
      </c:lineChart>
      <c:catAx>
        <c:axId val="141227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270912"/>
        <c:crosses val="autoZero"/>
        <c:auto val="1"/>
        <c:lblAlgn val="ctr"/>
        <c:lblOffset val="100"/>
        <c:noMultiLvlLbl val="0"/>
      </c:catAx>
      <c:valAx>
        <c:axId val="1412270912"/>
        <c:scaling>
          <c:orientation val="minMax"/>
        </c:scaling>
        <c:delete val="1"/>
        <c:axPos val="l"/>
        <c:numFmt formatCode="General" sourceLinked="1"/>
        <c:majorTickMark val="out"/>
        <c:minorTickMark val="none"/>
        <c:tickLblPos val="nextTo"/>
        <c:crossAx val="1412274656"/>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5875" cap="rnd"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Tables!Buddy Wages per month</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2700" cap="rnd">
            <a:solidFill>
              <a:srgbClr val="CF5C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Tables'!$BC$16</c:f>
              <c:strCache>
                <c:ptCount val="1"/>
                <c:pt idx="0">
                  <c:v>Total</c:v>
                </c:pt>
              </c:strCache>
            </c:strRef>
          </c:tx>
          <c:spPr>
            <a:ln w="12700" cap="rnd">
              <a:solidFill>
                <a:srgbClr val="CF5C4A"/>
              </a:solidFill>
              <a:round/>
            </a:ln>
            <a:effectLst/>
          </c:spPr>
          <c:marker>
            <c:symbol val="none"/>
          </c:marker>
          <c:cat>
            <c:strRef>
              <c:f>'Pivot Tables'!$BB$17:$BB$29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Tables'!$BC$17:$BC$29</c:f>
              <c:numCache>
                <c:formatCode>General</c:formatCode>
                <c:ptCount val="12"/>
                <c:pt idx="0">
                  <c:v>800</c:v>
                </c:pt>
                <c:pt idx="1">
                  <c:v>200</c:v>
                </c:pt>
                <c:pt idx="2">
                  <c:v>400</c:v>
                </c:pt>
                <c:pt idx="3">
                  <c:v>100</c:v>
                </c:pt>
                <c:pt idx="4">
                  <c:v>100</c:v>
                </c:pt>
                <c:pt idx="5">
                  <c:v>200</c:v>
                </c:pt>
                <c:pt idx="6">
                  <c:v>300</c:v>
                </c:pt>
                <c:pt idx="7">
                  <c:v>300</c:v>
                </c:pt>
                <c:pt idx="8">
                  <c:v>100</c:v>
                </c:pt>
                <c:pt idx="9">
                  <c:v>900</c:v>
                </c:pt>
                <c:pt idx="10">
                  <c:v>400</c:v>
                </c:pt>
                <c:pt idx="11">
                  <c:v>100</c:v>
                </c:pt>
              </c:numCache>
            </c:numRef>
          </c:val>
          <c:smooth val="0"/>
          <c:extLst>
            <c:ext xmlns:c16="http://schemas.microsoft.com/office/drawing/2014/chart" uri="{C3380CC4-5D6E-409C-BE32-E72D297353CC}">
              <c16:uniqueId val="{00000000-C341-49BD-A5B9-4AAF28B00B64}"/>
            </c:ext>
          </c:extLst>
        </c:ser>
        <c:dLbls>
          <c:showLegendKey val="0"/>
          <c:showVal val="0"/>
          <c:showCatName val="0"/>
          <c:showSerName val="0"/>
          <c:showPercent val="0"/>
          <c:showBubbleSize val="0"/>
        </c:dLbls>
        <c:smooth val="0"/>
        <c:axId val="1682362639"/>
        <c:axId val="1682350575"/>
      </c:lineChart>
      <c:catAx>
        <c:axId val="1682362639"/>
        <c:scaling>
          <c:orientation val="minMax"/>
        </c:scaling>
        <c:delete val="1"/>
        <c:axPos val="b"/>
        <c:numFmt formatCode="General" sourceLinked="1"/>
        <c:majorTickMark val="none"/>
        <c:minorTickMark val="none"/>
        <c:tickLblPos val="nextTo"/>
        <c:crossAx val="1682350575"/>
        <c:crosses val="autoZero"/>
        <c:auto val="1"/>
        <c:lblAlgn val="ctr"/>
        <c:lblOffset val="100"/>
        <c:noMultiLvlLbl val="0"/>
      </c:catAx>
      <c:valAx>
        <c:axId val="1682350575"/>
        <c:scaling>
          <c:orientation val="minMax"/>
        </c:scaling>
        <c:delete val="1"/>
        <c:axPos val="l"/>
        <c:numFmt formatCode="General" sourceLinked="1"/>
        <c:majorTickMark val="none"/>
        <c:minorTickMark val="none"/>
        <c:tickLblPos val="nextTo"/>
        <c:crossAx val="16823626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Tables!Driver Wages per month</c:name>
    <c:fmtId val="2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12700" cap="rnd">
            <a:solidFill>
              <a:srgbClr val="CF5C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Tables'!$AY$16</c:f>
              <c:strCache>
                <c:ptCount val="1"/>
                <c:pt idx="0">
                  <c:v>Total</c:v>
                </c:pt>
              </c:strCache>
            </c:strRef>
          </c:tx>
          <c:spPr>
            <a:ln w="12700" cap="rnd">
              <a:solidFill>
                <a:srgbClr val="CF5C4A"/>
              </a:solidFill>
              <a:round/>
            </a:ln>
            <a:effectLst/>
          </c:spPr>
          <c:marker>
            <c:symbol val="none"/>
          </c:marker>
          <c:cat>
            <c:strRef>
              <c:f>'Pivot Tables'!$AX$17:$AX$29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Tables'!$AY$17:$AY$29</c:f>
              <c:numCache>
                <c:formatCode>General</c:formatCode>
                <c:ptCount val="12"/>
                <c:pt idx="0">
                  <c:v>800</c:v>
                </c:pt>
                <c:pt idx="1">
                  <c:v>800</c:v>
                </c:pt>
                <c:pt idx="2">
                  <c:v>2200</c:v>
                </c:pt>
                <c:pt idx="3">
                  <c:v>400</c:v>
                </c:pt>
                <c:pt idx="4">
                  <c:v>600</c:v>
                </c:pt>
                <c:pt idx="5">
                  <c:v>1600</c:v>
                </c:pt>
                <c:pt idx="6">
                  <c:v>800</c:v>
                </c:pt>
                <c:pt idx="7">
                  <c:v>1200</c:v>
                </c:pt>
                <c:pt idx="8">
                  <c:v>400</c:v>
                </c:pt>
                <c:pt idx="9">
                  <c:v>1600</c:v>
                </c:pt>
                <c:pt idx="10">
                  <c:v>400</c:v>
                </c:pt>
                <c:pt idx="11">
                  <c:v>400</c:v>
                </c:pt>
              </c:numCache>
            </c:numRef>
          </c:val>
          <c:smooth val="0"/>
          <c:extLst>
            <c:ext xmlns:c16="http://schemas.microsoft.com/office/drawing/2014/chart" uri="{C3380CC4-5D6E-409C-BE32-E72D297353CC}">
              <c16:uniqueId val="{00000000-5565-445A-8F4D-DBF840D65A8E}"/>
            </c:ext>
          </c:extLst>
        </c:ser>
        <c:dLbls>
          <c:showLegendKey val="0"/>
          <c:showVal val="0"/>
          <c:showCatName val="0"/>
          <c:showSerName val="0"/>
          <c:showPercent val="0"/>
          <c:showBubbleSize val="0"/>
        </c:dLbls>
        <c:smooth val="0"/>
        <c:axId val="1803562831"/>
        <c:axId val="1803565327"/>
      </c:lineChart>
      <c:catAx>
        <c:axId val="1803562831"/>
        <c:scaling>
          <c:orientation val="minMax"/>
        </c:scaling>
        <c:delete val="1"/>
        <c:axPos val="b"/>
        <c:numFmt formatCode="General" sourceLinked="1"/>
        <c:majorTickMark val="none"/>
        <c:minorTickMark val="none"/>
        <c:tickLblPos val="nextTo"/>
        <c:crossAx val="1803565327"/>
        <c:crosses val="autoZero"/>
        <c:auto val="1"/>
        <c:lblAlgn val="ctr"/>
        <c:lblOffset val="100"/>
        <c:noMultiLvlLbl val="0"/>
      </c:catAx>
      <c:valAx>
        <c:axId val="1803565327"/>
        <c:scaling>
          <c:orientation val="minMax"/>
        </c:scaling>
        <c:delete val="1"/>
        <c:axPos val="l"/>
        <c:numFmt formatCode="General" sourceLinked="1"/>
        <c:majorTickMark val="none"/>
        <c:minorTickMark val="none"/>
        <c:tickLblPos val="nextTo"/>
        <c:crossAx val="180356283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[Logistics Dashboard.xlsm]Pivot Tables!Trip Classify</c:name>
    <c:fmtId val="3"/>
  </c:pivotSource>
  <c:chart>
    <c:autoTitleDeleted val="1"/>
    <c:pivotFmts>
      <c:pivotFmt>
        <c:idx val="0"/>
        <c:spPr>
          <a:solidFill>
            <a:schemeClr val="dk1">
              <a:tint val="88500"/>
            </a:schemeClr>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w="19050">
            <a:solidFill>
              <a:schemeClr val="lt1"/>
            </a:solidFill>
          </a:ln>
          <a:effectLst/>
        </c:spPr>
      </c:pivotFmt>
      <c:pivotFmt>
        <c:idx val="3"/>
        <c:spPr>
          <a:solidFill>
            <a:schemeClr val="dk1">
              <a:tint val="88500"/>
            </a:schemeClr>
          </a:solidFill>
          <a:ln w="19050">
            <a:solidFill>
              <a:schemeClr val="lt1"/>
            </a:solidFill>
          </a:ln>
          <a:effectLst/>
        </c:spPr>
      </c:pivotFmt>
      <c:pivotFmt>
        <c:idx val="4"/>
        <c:spPr>
          <a:solidFill>
            <a:schemeClr val="dk1">
              <a:tint val="88500"/>
            </a:schemeClr>
          </a:solidFill>
          <a:ln w="19050">
            <a:solidFill>
              <a:schemeClr val="lt1"/>
            </a:solidFill>
          </a:ln>
          <a:effectLst/>
        </c:spPr>
      </c:pivotFmt>
      <c:pivotFmt>
        <c:idx val="5"/>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dk1">
              <a:tint val="88500"/>
            </a:schemeClr>
          </a:solidFill>
          <a:ln w="19050">
            <a:solidFill>
              <a:schemeClr val="lt1"/>
            </a:solidFill>
          </a:ln>
          <a:effectLst/>
        </c:spPr>
      </c:pivotFmt>
      <c:pivotFmt>
        <c:idx val="7"/>
        <c:spPr>
          <a:solidFill>
            <a:schemeClr val="accent1">
              <a:lumMod val="50000"/>
            </a:schemeClr>
          </a:solidFill>
          <a:ln w="19050">
            <a:solidFill>
              <a:schemeClr val="lt1"/>
            </a:solidFill>
          </a:ln>
          <a:effectLst/>
        </c:spPr>
      </c:pivotFmt>
      <c:pivotFmt>
        <c:idx val="8"/>
        <c:spPr>
          <a:solidFill>
            <a:srgbClr val="CF5C4A"/>
          </a:solidFill>
          <a:ln w="19050">
            <a:solidFill>
              <a:schemeClr val="lt1"/>
            </a:solidFill>
          </a:ln>
          <a:effectLst/>
        </c:spPr>
      </c:pivotFmt>
    </c:pivotFmts>
    <c:plotArea>
      <c:layout/>
      <c:pieChart>
        <c:varyColors val="1"/>
        <c:ser>
          <c:idx val="0"/>
          <c:order val="0"/>
          <c:tx>
            <c:strRef>
              <c:f>'Pivot Tables'!$O$5</c:f>
              <c:strCache>
                <c:ptCount val="1"/>
                <c:pt idx="0">
                  <c:v>Total</c:v>
                </c:pt>
              </c:strCache>
            </c:strRef>
          </c:tx>
          <c:dPt>
            <c:idx val="0"/>
            <c:bubble3D val="0"/>
            <c:spPr>
              <a:solidFill>
                <a:schemeClr val="dk1">
                  <a:tint val="88500"/>
                </a:schemeClr>
              </a:solidFill>
              <a:ln w="19050">
                <a:solidFill>
                  <a:schemeClr val="lt1"/>
                </a:solidFill>
              </a:ln>
              <a:effectLst/>
            </c:spPr>
            <c:extLst>
              <c:ext xmlns:c16="http://schemas.microsoft.com/office/drawing/2014/chart" uri="{C3380CC4-5D6E-409C-BE32-E72D297353CC}">
                <c16:uniqueId val="{00000001-CCE1-4D98-A3BA-BF5B1FFD4BA2}"/>
              </c:ext>
            </c:extLst>
          </c:dPt>
          <c:dPt>
            <c:idx val="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3-CCE1-4D98-A3BA-BF5B1FFD4BA2}"/>
              </c:ext>
            </c:extLst>
          </c:dPt>
          <c:dPt>
            <c:idx val="2"/>
            <c:bubble3D val="0"/>
            <c:spPr>
              <a:solidFill>
                <a:srgbClr val="CF5C4A"/>
              </a:solidFill>
              <a:ln w="19050">
                <a:solidFill>
                  <a:schemeClr val="lt1"/>
                </a:solidFill>
              </a:ln>
              <a:effectLst/>
            </c:spPr>
            <c:extLst>
              <c:ext xmlns:c16="http://schemas.microsoft.com/office/drawing/2014/chart" uri="{C3380CC4-5D6E-409C-BE32-E72D297353CC}">
                <c16:uniqueId val="{00000005-CCE1-4D98-A3BA-BF5B1FFD4BA2}"/>
              </c:ext>
            </c:extLst>
          </c:dPt>
          <c:cat>
            <c:strRef>
              <c:f>'Pivot Tables'!$N$6:$N$9</c:f>
              <c:strCache>
                <c:ptCount val="3"/>
                <c:pt idx="0">
                  <c:v>Close</c:v>
                </c:pt>
                <c:pt idx="1">
                  <c:v>Far</c:v>
                </c:pt>
                <c:pt idx="2">
                  <c:v>Regular</c:v>
                </c:pt>
              </c:strCache>
            </c:strRef>
          </c:cat>
          <c:val>
            <c:numRef>
              <c:f>'Pivot Tables'!$O$6:$O$9</c:f>
              <c:numCache>
                <c:formatCode>General</c:formatCode>
                <c:ptCount val="3"/>
                <c:pt idx="0">
                  <c:v>16</c:v>
                </c:pt>
                <c:pt idx="1">
                  <c:v>6</c:v>
                </c:pt>
                <c:pt idx="2">
                  <c:v>2</c:v>
                </c:pt>
              </c:numCache>
            </c:numRef>
          </c:val>
          <c:extLst>
            <c:ext xmlns:c16="http://schemas.microsoft.com/office/drawing/2014/chart" uri="{C3380CC4-5D6E-409C-BE32-E72D297353CC}">
              <c16:uniqueId val="{00000006-CCE1-4D98-A3BA-BF5B1FFD4BA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Tables!Wage/Trip</c:name>
    <c:fmtId val="7"/>
  </c:pivotSource>
  <c:chart>
    <c:autoTitleDeleted val="0"/>
    <c:pivotFmts>
      <c:pivotFmt>
        <c:idx val="0"/>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F5C4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Tables'!$V$5</c:f>
              <c:strCache>
                <c:ptCount val="1"/>
                <c:pt idx="0">
                  <c:v>Sum of Driver wage/trip</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Tables'!$U$6:$U$9</c:f>
              <c:strCache>
                <c:ptCount val="3"/>
                <c:pt idx="0">
                  <c:v>Close</c:v>
                </c:pt>
                <c:pt idx="1">
                  <c:v>Far</c:v>
                </c:pt>
                <c:pt idx="2">
                  <c:v>Regular</c:v>
                </c:pt>
              </c:strCache>
            </c:strRef>
          </c:cat>
          <c:val>
            <c:numRef>
              <c:f>'Pivot Tables'!$V$6:$V$9</c:f>
              <c:numCache>
                <c:formatCode>General</c:formatCode>
                <c:ptCount val="3"/>
                <c:pt idx="0">
                  <c:v>6400</c:v>
                </c:pt>
                <c:pt idx="1">
                  <c:v>4000</c:v>
                </c:pt>
                <c:pt idx="2">
                  <c:v>800</c:v>
                </c:pt>
              </c:numCache>
            </c:numRef>
          </c:val>
          <c:extLst>
            <c:ext xmlns:c16="http://schemas.microsoft.com/office/drawing/2014/chart" uri="{C3380CC4-5D6E-409C-BE32-E72D297353CC}">
              <c16:uniqueId val="{00000000-AA02-48CB-9766-A3766F0A921C}"/>
            </c:ext>
          </c:extLst>
        </c:ser>
        <c:ser>
          <c:idx val="1"/>
          <c:order val="1"/>
          <c:tx>
            <c:strRef>
              <c:f>'Pivot Tables'!$W$5</c:f>
              <c:strCache>
                <c:ptCount val="1"/>
                <c:pt idx="0">
                  <c:v>Sum of Buddy wage/trip</c:v>
                </c:pt>
              </c:strCache>
            </c:strRef>
          </c:tx>
          <c:spPr>
            <a:solidFill>
              <a:srgbClr val="CF5C4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Tables'!$U$6:$U$9</c:f>
              <c:strCache>
                <c:ptCount val="3"/>
                <c:pt idx="0">
                  <c:v>Close</c:v>
                </c:pt>
                <c:pt idx="1">
                  <c:v>Far</c:v>
                </c:pt>
                <c:pt idx="2">
                  <c:v>Regular</c:v>
                </c:pt>
              </c:strCache>
            </c:strRef>
          </c:cat>
          <c:val>
            <c:numRef>
              <c:f>'Pivot Tables'!$W$6:$W$9</c:f>
              <c:numCache>
                <c:formatCode>General</c:formatCode>
                <c:ptCount val="3"/>
                <c:pt idx="0">
                  <c:v>3100</c:v>
                </c:pt>
                <c:pt idx="1">
                  <c:v>600</c:v>
                </c:pt>
                <c:pt idx="2">
                  <c:v>200</c:v>
                </c:pt>
              </c:numCache>
            </c:numRef>
          </c:val>
          <c:extLst>
            <c:ext xmlns:c16="http://schemas.microsoft.com/office/drawing/2014/chart" uri="{C3380CC4-5D6E-409C-BE32-E72D297353CC}">
              <c16:uniqueId val="{00000001-AA02-48CB-9766-A3766F0A921C}"/>
            </c:ext>
          </c:extLst>
        </c:ser>
        <c:dLbls>
          <c:dLblPos val="outEnd"/>
          <c:showLegendKey val="0"/>
          <c:showVal val="1"/>
          <c:showCatName val="0"/>
          <c:showSerName val="0"/>
          <c:showPercent val="0"/>
          <c:showBubbleSize val="0"/>
        </c:dLbls>
        <c:gapWidth val="219"/>
        <c:overlap val="-27"/>
        <c:axId val="1689418607"/>
        <c:axId val="1689420687"/>
      </c:barChart>
      <c:catAx>
        <c:axId val="16894186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689420687"/>
        <c:crosses val="autoZero"/>
        <c:auto val="1"/>
        <c:lblAlgn val="ctr"/>
        <c:lblOffset val="100"/>
        <c:noMultiLvlLbl val="0"/>
      </c:catAx>
      <c:valAx>
        <c:axId val="1689420687"/>
        <c:scaling>
          <c:orientation val="minMax"/>
        </c:scaling>
        <c:delete val="1"/>
        <c:axPos val="l"/>
        <c:numFmt formatCode="General" sourceLinked="1"/>
        <c:majorTickMark val="none"/>
        <c:minorTickMark val="none"/>
        <c:tickLblPos val="nextTo"/>
        <c:crossAx val="168941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Tables!CargoTypes</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CF5C4A"/>
          </a:solidFill>
          <a:ln>
            <a:noFill/>
          </a:ln>
          <a:effectLst/>
        </c:spPr>
      </c:pivotFmt>
      <c:pivotFmt>
        <c:idx val="4"/>
        <c:spPr>
          <a:solidFill>
            <a:schemeClr val="bg1">
              <a:lumMod val="50000"/>
            </a:schemeClr>
          </a:solidFill>
          <a:ln>
            <a:noFill/>
          </a:ln>
          <a:effectLst/>
        </c:spPr>
      </c:pivotFmt>
    </c:pivotFmts>
    <c:plotArea>
      <c:layout/>
      <c:barChart>
        <c:barDir val="bar"/>
        <c:grouping val="stacked"/>
        <c:varyColors val="0"/>
        <c:ser>
          <c:idx val="0"/>
          <c:order val="0"/>
          <c:tx>
            <c:strRef>
              <c:f>'Pivot Tables'!$W$21</c:f>
              <c:strCache>
                <c:ptCount val="1"/>
                <c:pt idx="0">
                  <c:v>Total</c:v>
                </c:pt>
              </c:strCache>
            </c:strRef>
          </c:tx>
          <c:spPr>
            <a:solidFill>
              <a:schemeClr val="accent1"/>
            </a:solidFill>
            <a:ln>
              <a:noFill/>
            </a:ln>
            <a:effectLst/>
          </c:spPr>
          <c:invertIfNegative val="0"/>
          <c:dPt>
            <c:idx val="0"/>
            <c:invertIfNegative val="0"/>
            <c:bubble3D val="0"/>
            <c:spPr>
              <a:solidFill>
                <a:srgbClr val="CF5C4A"/>
              </a:solidFill>
              <a:ln>
                <a:noFill/>
              </a:ln>
              <a:effectLst/>
            </c:spPr>
            <c:extLst>
              <c:ext xmlns:c16="http://schemas.microsoft.com/office/drawing/2014/chart" uri="{C3380CC4-5D6E-409C-BE32-E72D297353CC}">
                <c16:uniqueId val="{00000002-D9BE-4926-9B55-0D83FDB646AA}"/>
              </c:ext>
            </c:extLst>
          </c:dPt>
          <c:dPt>
            <c:idx val="1"/>
            <c:invertIfNegative val="0"/>
            <c:bubble3D val="0"/>
            <c:spPr>
              <a:solidFill>
                <a:schemeClr val="bg1">
                  <a:lumMod val="50000"/>
                </a:schemeClr>
              </a:solidFill>
              <a:ln>
                <a:noFill/>
              </a:ln>
              <a:effectLst/>
            </c:spPr>
            <c:extLst>
              <c:ext xmlns:c16="http://schemas.microsoft.com/office/drawing/2014/chart" uri="{C3380CC4-5D6E-409C-BE32-E72D297353CC}">
                <c16:uniqueId val="{00000003-D9BE-4926-9B55-0D83FDB646AA}"/>
              </c:ext>
            </c:extLst>
          </c:dPt>
          <c:cat>
            <c:strRef>
              <c:f>'Pivot Tables'!$V$22:$V$24</c:f>
              <c:strCache>
                <c:ptCount val="2"/>
                <c:pt idx="0">
                  <c:v>Woodchip</c:v>
                </c:pt>
                <c:pt idx="1">
                  <c:v>Woodpellet</c:v>
                </c:pt>
              </c:strCache>
            </c:strRef>
          </c:cat>
          <c:val>
            <c:numRef>
              <c:f>'Pivot Tables'!$W$22:$W$24</c:f>
              <c:numCache>
                <c:formatCode>General</c:formatCode>
                <c:ptCount val="2"/>
                <c:pt idx="0">
                  <c:v>12</c:v>
                </c:pt>
                <c:pt idx="1">
                  <c:v>12</c:v>
                </c:pt>
              </c:numCache>
            </c:numRef>
          </c:val>
          <c:extLst>
            <c:ext xmlns:c16="http://schemas.microsoft.com/office/drawing/2014/chart" uri="{C3380CC4-5D6E-409C-BE32-E72D297353CC}">
              <c16:uniqueId val="{00000000-D9BE-4926-9B55-0D83FDB646AA}"/>
            </c:ext>
          </c:extLst>
        </c:ser>
        <c:dLbls>
          <c:showLegendKey val="0"/>
          <c:showVal val="0"/>
          <c:showCatName val="0"/>
          <c:showSerName val="0"/>
          <c:showPercent val="0"/>
          <c:showBubbleSize val="0"/>
        </c:dLbls>
        <c:gapWidth val="150"/>
        <c:overlap val="100"/>
        <c:axId val="13534719"/>
        <c:axId val="13536383"/>
      </c:barChart>
      <c:catAx>
        <c:axId val="1353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3536383"/>
        <c:crosses val="autoZero"/>
        <c:auto val="1"/>
        <c:lblAlgn val="ctr"/>
        <c:lblOffset val="100"/>
        <c:noMultiLvlLbl val="0"/>
      </c:catAx>
      <c:valAx>
        <c:axId val="135363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Tables!Trip Classify</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'Pivot Tables'!$O$5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BF-4438-B47A-016AB196A27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6BF-4438-B47A-016AB196A27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6BF-4438-B47A-016AB196A27E}"/>
              </c:ext>
            </c:extLst>
          </c:dPt>
          <c:cat>
            <c:strRef>
              <c:f>'Pivot Tables'!$N$6:$N$9</c:f>
              <c:strCache>
                <c:ptCount val="3"/>
                <c:pt idx="0">
                  <c:v>Close</c:v>
                </c:pt>
                <c:pt idx="1">
                  <c:v>Far</c:v>
                </c:pt>
                <c:pt idx="2">
                  <c:v>Regular</c:v>
                </c:pt>
              </c:strCache>
            </c:strRef>
          </c:cat>
          <c:val>
            <c:numRef>
              <c:f>'Pivot Tables'!$O$6:$O$9</c:f>
              <c:numCache>
                <c:formatCode>General</c:formatCode>
                <c:ptCount val="3"/>
                <c:pt idx="0">
                  <c:v>16</c:v>
                </c:pt>
                <c:pt idx="1">
                  <c:v>6</c:v>
                </c:pt>
                <c:pt idx="2">
                  <c:v>2</c:v>
                </c:pt>
              </c:numCache>
            </c:numRef>
          </c:val>
          <c:extLst>
            <c:ext xmlns:c16="http://schemas.microsoft.com/office/drawing/2014/chart" uri="{C3380CC4-5D6E-409C-BE32-E72D297353CC}">
              <c16:uniqueId val="{00000000-4AF9-48C5-BA2D-7C7FE733AD7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Tables!Wage/Trip</c:name>
    <c:fmtId val="5"/>
  </c:pivotSource>
  <c:chart>
    <c:autoTitleDeleted val="0"/>
    <c:pivotFmts>
      <c:pivotFmt>
        <c:idx val="0"/>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Tables'!$V$5</c:f>
              <c:strCache>
                <c:ptCount val="1"/>
                <c:pt idx="0">
                  <c:v>Sum of Driver wage/trip</c:v>
                </c:pt>
              </c:strCache>
            </c:strRef>
          </c:tx>
          <c:spPr>
            <a:solidFill>
              <a:schemeClr val="bg1">
                <a:lumMod val="65000"/>
              </a:schemeClr>
            </a:solidFill>
            <a:ln>
              <a:noFill/>
            </a:ln>
            <a:effectLst/>
          </c:spPr>
          <c:invertIfNegative val="0"/>
          <c:cat>
            <c:strRef>
              <c:f>'Pivot Tables'!$U$6:$U$9</c:f>
              <c:strCache>
                <c:ptCount val="3"/>
                <c:pt idx="0">
                  <c:v>Close</c:v>
                </c:pt>
                <c:pt idx="1">
                  <c:v>Far</c:v>
                </c:pt>
                <c:pt idx="2">
                  <c:v>Regular</c:v>
                </c:pt>
              </c:strCache>
            </c:strRef>
          </c:cat>
          <c:val>
            <c:numRef>
              <c:f>'Pivot Tables'!$V$6:$V$9</c:f>
              <c:numCache>
                <c:formatCode>General</c:formatCode>
                <c:ptCount val="3"/>
                <c:pt idx="0">
                  <c:v>6400</c:v>
                </c:pt>
                <c:pt idx="1">
                  <c:v>4000</c:v>
                </c:pt>
                <c:pt idx="2">
                  <c:v>800</c:v>
                </c:pt>
              </c:numCache>
            </c:numRef>
          </c:val>
          <c:extLst>
            <c:ext xmlns:c16="http://schemas.microsoft.com/office/drawing/2014/chart" uri="{C3380CC4-5D6E-409C-BE32-E72D297353CC}">
              <c16:uniqueId val="{00000000-A004-4682-8C34-A9D5FBF5727B}"/>
            </c:ext>
          </c:extLst>
        </c:ser>
        <c:ser>
          <c:idx val="1"/>
          <c:order val="1"/>
          <c:tx>
            <c:strRef>
              <c:f>'Pivot Tables'!$W$5</c:f>
              <c:strCache>
                <c:ptCount val="1"/>
                <c:pt idx="0">
                  <c:v>Sum of Buddy wage/trip</c:v>
                </c:pt>
              </c:strCache>
            </c:strRef>
          </c:tx>
          <c:spPr>
            <a:solidFill>
              <a:schemeClr val="accent4">
                <a:lumMod val="40000"/>
                <a:lumOff val="60000"/>
              </a:schemeClr>
            </a:solidFill>
            <a:ln>
              <a:noFill/>
            </a:ln>
            <a:effectLst/>
          </c:spPr>
          <c:invertIfNegative val="0"/>
          <c:cat>
            <c:strRef>
              <c:f>'Pivot Tables'!$U$6:$U$9</c:f>
              <c:strCache>
                <c:ptCount val="3"/>
                <c:pt idx="0">
                  <c:v>Close</c:v>
                </c:pt>
                <c:pt idx="1">
                  <c:v>Far</c:v>
                </c:pt>
                <c:pt idx="2">
                  <c:v>Regular</c:v>
                </c:pt>
              </c:strCache>
            </c:strRef>
          </c:cat>
          <c:val>
            <c:numRef>
              <c:f>'Pivot Tables'!$W$6:$W$9</c:f>
              <c:numCache>
                <c:formatCode>General</c:formatCode>
                <c:ptCount val="3"/>
                <c:pt idx="0">
                  <c:v>3100</c:v>
                </c:pt>
                <c:pt idx="1">
                  <c:v>600</c:v>
                </c:pt>
                <c:pt idx="2">
                  <c:v>200</c:v>
                </c:pt>
              </c:numCache>
            </c:numRef>
          </c:val>
          <c:extLst>
            <c:ext xmlns:c16="http://schemas.microsoft.com/office/drawing/2014/chart" uri="{C3380CC4-5D6E-409C-BE32-E72D297353CC}">
              <c16:uniqueId val="{00000001-A004-4682-8C34-A9D5FBF5727B}"/>
            </c:ext>
          </c:extLst>
        </c:ser>
        <c:dLbls>
          <c:showLegendKey val="0"/>
          <c:showVal val="0"/>
          <c:showCatName val="0"/>
          <c:showSerName val="0"/>
          <c:showPercent val="0"/>
          <c:showBubbleSize val="0"/>
        </c:dLbls>
        <c:gapWidth val="219"/>
        <c:overlap val="-27"/>
        <c:axId val="1689418607"/>
        <c:axId val="1689420687"/>
      </c:barChart>
      <c:catAx>
        <c:axId val="168941860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9420687"/>
        <c:crosses val="autoZero"/>
        <c:auto val="1"/>
        <c:lblAlgn val="ctr"/>
        <c:lblOffset val="100"/>
        <c:noMultiLvlLbl val="0"/>
      </c:catAx>
      <c:valAx>
        <c:axId val="1689420687"/>
        <c:scaling>
          <c:orientation val="minMax"/>
        </c:scaling>
        <c:delete val="1"/>
        <c:axPos val="l"/>
        <c:numFmt formatCode="General" sourceLinked="1"/>
        <c:majorTickMark val="none"/>
        <c:minorTickMark val="none"/>
        <c:tickLblPos val="nextTo"/>
        <c:crossAx val="16894186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Tables!CargoTypes</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Tables'!$W$21</c:f>
              <c:strCache>
                <c:ptCount val="1"/>
                <c:pt idx="0">
                  <c:v>Total</c:v>
                </c:pt>
              </c:strCache>
            </c:strRef>
          </c:tx>
          <c:spPr>
            <a:solidFill>
              <a:schemeClr val="accent1"/>
            </a:solidFill>
            <a:ln>
              <a:noFill/>
            </a:ln>
            <a:effectLst/>
          </c:spPr>
          <c:invertIfNegative val="0"/>
          <c:cat>
            <c:strRef>
              <c:f>'Pivot Tables'!$V$22:$V$24</c:f>
              <c:strCache>
                <c:ptCount val="2"/>
                <c:pt idx="0">
                  <c:v>Woodchip</c:v>
                </c:pt>
                <c:pt idx="1">
                  <c:v>Woodpellet</c:v>
                </c:pt>
              </c:strCache>
            </c:strRef>
          </c:cat>
          <c:val>
            <c:numRef>
              <c:f>'Pivot Tables'!$W$22:$W$24</c:f>
              <c:numCache>
                <c:formatCode>General</c:formatCode>
                <c:ptCount val="2"/>
                <c:pt idx="0">
                  <c:v>12</c:v>
                </c:pt>
                <c:pt idx="1">
                  <c:v>12</c:v>
                </c:pt>
              </c:numCache>
            </c:numRef>
          </c:val>
          <c:extLst>
            <c:ext xmlns:c16="http://schemas.microsoft.com/office/drawing/2014/chart" uri="{C3380CC4-5D6E-409C-BE32-E72D297353CC}">
              <c16:uniqueId val="{00000000-06DA-4E68-981D-A423BF86F467}"/>
            </c:ext>
          </c:extLst>
        </c:ser>
        <c:dLbls>
          <c:showLegendKey val="0"/>
          <c:showVal val="0"/>
          <c:showCatName val="0"/>
          <c:showSerName val="0"/>
          <c:showPercent val="0"/>
          <c:showBubbleSize val="0"/>
        </c:dLbls>
        <c:gapWidth val="150"/>
        <c:overlap val="100"/>
        <c:axId val="13534719"/>
        <c:axId val="13536383"/>
      </c:barChart>
      <c:catAx>
        <c:axId val="135347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6383"/>
        <c:crosses val="autoZero"/>
        <c:auto val="1"/>
        <c:lblAlgn val="ctr"/>
        <c:lblOffset val="100"/>
        <c:noMultiLvlLbl val="0"/>
      </c:catAx>
      <c:valAx>
        <c:axId val="135363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47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CF5C4A"/>
              </a:solidFill>
              <a:ln w="19050">
                <a:solidFill>
                  <a:schemeClr val="lt1"/>
                </a:solidFill>
              </a:ln>
              <a:effectLst/>
            </c:spPr>
            <c:extLst>
              <c:ext xmlns:c16="http://schemas.microsoft.com/office/drawing/2014/chart" uri="{C3380CC4-5D6E-409C-BE32-E72D297353CC}">
                <c16:uniqueId val="{00000002-7701-44DF-B832-FC514DE43F4D}"/>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3-7701-44DF-B832-FC514DE43F4D}"/>
              </c:ext>
            </c:extLst>
          </c:dPt>
          <c:cat>
            <c:strRef>
              <c:f>'Pivot Tables'!$AB$11:$AB$12</c:f>
              <c:strCache>
                <c:ptCount val="2"/>
                <c:pt idx="0">
                  <c:v>Salaries</c:v>
                </c:pt>
                <c:pt idx="1">
                  <c:v>Wages</c:v>
                </c:pt>
              </c:strCache>
            </c:strRef>
          </c:cat>
          <c:val>
            <c:numRef>
              <c:f>'Pivot Tables'!$AC$11:$AC$12</c:f>
              <c:numCache>
                <c:formatCode>General</c:formatCode>
                <c:ptCount val="2"/>
                <c:pt idx="0">
                  <c:v>12100</c:v>
                </c:pt>
                <c:pt idx="1">
                  <c:v>15100</c:v>
                </c:pt>
              </c:numCache>
            </c:numRef>
          </c:val>
          <c:extLst>
            <c:ext xmlns:c16="http://schemas.microsoft.com/office/drawing/2014/chart" uri="{C3380CC4-5D6E-409C-BE32-E72D297353CC}">
              <c16:uniqueId val="{00000000-7701-44DF-B832-FC514DE43F4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CF5C4A"/>
              </a:solidFill>
              <a:ln w="19050">
                <a:solidFill>
                  <a:schemeClr val="lt1"/>
                </a:solidFill>
              </a:ln>
              <a:effectLst/>
            </c:spPr>
            <c:extLst>
              <c:ext xmlns:c16="http://schemas.microsoft.com/office/drawing/2014/chart" uri="{C3380CC4-5D6E-409C-BE32-E72D297353CC}">
                <c16:uniqueId val="{00000003-898A-4B2E-8513-FF1061461EB1}"/>
              </c:ext>
            </c:extLst>
          </c:dPt>
          <c:dPt>
            <c:idx val="1"/>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2-898A-4B2E-8513-FF1061461EB1}"/>
              </c:ext>
            </c:extLst>
          </c:dPt>
          <c:cat>
            <c:strRef>
              <c:f>'Pivot Tables'!$AB$15:$AB$16</c:f>
              <c:strCache>
                <c:ptCount val="2"/>
                <c:pt idx="0">
                  <c:v>Wages </c:v>
                </c:pt>
                <c:pt idx="1">
                  <c:v>Salaries</c:v>
                </c:pt>
              </c:strCache>
            </c:strRef>
          </c:cat>
          <c:val>
            <c:numRef>
              <c:f>'Pivot Tables'!$AC$15:$AC$16</c:f>
              <c:numCache>
                <c:formatCode>General</c:formatCode>
                <c:ptCount val="2"/>
                <c:pt idx="0">
                  <c:v>15100</c:v>
                </c:pt>
                <c:pt idx="1">
                  <c:v>12100</c:v>
                </c:pt>
              </c:numCache>
            </c:numRef>
          </c:val>
          <c:extLst>
            <c:ext xmlns:c16="http://schemas.microsoft.com/office/drawing/2014/chart" uri="{C3380CC4-5D6E-409C-BE32-E72D297353CC}">
              <c16:uniqueId val="{00000000-898A-4B2E-8513-FF1061461EB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Tables!Expenses by Month</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Tables'!$AI$7</c:f>
              <c:strCache>
                <c:ptCount val="1"/>
                <c:pt idx="0">
                  <c:v>Total</c:v>
                </c:pt>
              </c:strCache>
            </c:strRef>
          </c:tx>
          <c:spPr>
            <a:solidFill>
              <a:schemeClr val="accent1"/>
            </a:solidFill>
            <a:ln>
              <a:noFill/>
            </a:ln>
            <a:effectLst/>
          </c:spPr>
          <c:invertIfNegative val="0"/>
          <c:cat>
            <c:strRef>
              <c:f>'Pivot Tables'!$AH$8:$AH$20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Tables'!$AI$8:$AI$20</c:f>
              <c:numCache>
                <c:formatCode>_-[$฿-41E]* #,##0_-;\-[$฿-41E]* #,##0_-;_-[$฿-41E]* "-"??_-;_-@_-</c:formatCode>
                <c:ptCount val="12"/>
                <c:pt idx="0">
                  <c:v>3200</c:v>
                </c:pt>
                <c:pt idx="1">
                  <c:v>2000</c:v>
                </c:pt>
                <c:pt idx="2">
                  <c:v>4000</c:v>
                </c:pt>
                <c:pt idx="3">
                  <c:v>1000</c:v>
                </c:pt>
                <c:pt idx="4">
                  <c:v>1400</c:v>
                </c:pt>
                <c:pt idx="5">
                  <c:v>3600</c:v>
                </c:pt>
                <c:pt idx="6">
                  <c:v>2200</c:v>
                </c:pt>
                <c:pt idx="7">
                  <c:v>2500</c:v>
                </c:pt>
                <c:pt idx="8">
                  <c:v>1000</c:v>
                </c:pt>
                <c:pt idx="9">
                  <c:v>3700</c:v>
                </c:pt>
                <c:pt idx="10">
                  <c:v>1600</c:v>
                </c:pt>
                <c:pt idx="11">
                  <c:v>1000</c:v>
                </c:pt>
              </c:numCache>
            </c:numRef>
          </c:val>
          <c:extLst>
            <c:ext xmlns:c16="http://schemas.microsoft.com/office/drawing/2014/chart" uri="{C3380CC4-5D6E-409C-BE32-E72D297353CC}">
              <c16:uniqueId val="{00000000-3E58-4410-A7A2-8DA75A44A39E}"/>
            </c:ext>
          </c:extLst>
        </c:ser>
        <c:dLbls>
          <c:showLegendKey val="0"/>
          <c:showVal val="0"/>
          <c:showCatName val="0"/>
          <c:showSerName val="0"/>
          <c:showPercent val="0"/>
          <c:showBubbleSize val="0"/>
        </c:dLbls>
        <c:gapWidth val="219"/>
        <c:overlap val="-27"/>
        <c:axId val="1630732943"/>
        <c:axId val="1630733359"/>
      </c:barChart>
      <c:catAx>
        <c:axId val="1630732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33359"/>
        <c:crosses val="autoZero"/>
        <c:auto val="1"/>
        <c:lblAlgn val="ctr"/>
        <c:lblOffset val="100"/>
        <c:noMultiLvlLbl val="0"/>
      </c:catAx>
      <c:valAx>
        <c:axId val="1630733359"/>
        <c:scaling>
          <c:orientation val="minMax"/>
        </c:scaling>
        <c:delete val="0"/>
        <c:axPos val="l"/>
        <c:majorGridlines>
          <c:spPr>
            <a:ln w="9525" cap="flat" cmpd="sng" algn="ctr">
              <a:solidFill>
                <a:schemeClr val="tx1">
                  <a:lumMod val="15000"/>
                  <a:lumOff val="85000"/>
                </a:schemeClr>
              </a:solidFill>
              <a:round/>
            </a:ln>
            <a:effectLst/>
          </c:spPr>
        </c:majorGridlines>
        <c:numFmt formatCode="_-[$฿-41E]* #,##0_-;\-[$฿-41E]* #,##0_-;_-[$฿-41E]*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329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Tables!Total Trips by Month</c:name>
    <c:fmtId val="18"/>
  </c:pivotSource>
  <c:chart>
    <c:autoTitleDeleted val="1"/>
    <c:pivotFmts>
      <c:pivotFmt>
        <c:idx val="0"/>
        <c:spPr>
          <a:ln w="15875" cap="rnd">
            <a:solidFill>
              <a:srgbClr val="CF5C4A"/>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
        <c:spPr>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9CAB1F1-8819-4529-8B87-BEF50C3F7A9F}" type="CELLRANGE">
                  <a:rPr lang="en-US"/>
                  <a:pPr>
                    <a:defRPr/>
                  </a:pPr>
                  <a:t>[CELLRANGE]</a:t>
                </a:fld>
                <a:endParaRPr lang="en-US" baseline="0"/>
              </a:p>
              <a:p>
                <a:pPr>
                  <a:defRPr/>
                </a:pPr>
                <a:fld id="{7196135C-1A07-4384-BCC9-BC3448FA4AF3}"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3"/>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C7DEB37-BD17-4C94-8272-18C930D5CC5A}" type="CELLRANGE">
                  <a:rPr lang="en-US"/>
                  <a:pPr>
                    <a:defRPr/>
                  </a:pPr>
                  <a:t>[CELLRANGE]</a:t>
                </a:fld>
                <a:endParaRPr lang="en-US" baseline="0"/>
              </a:p>
              <a:p>
                <a:pPr>
                  <a:defRPr/>
                </a:pPr>
                <a:fld id="{9C243684-D0F9-48AC-AC6E-7D055A432A65}"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pivotFmt>
      <c:pivotFmt>
        <c:idx val="4"/>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C7DEB37-BD17-4C94-8272-18C930D5CC5A}" type="CELLRANGE">
                  <a:rPr lang="en-US"/>
                  <a:pPr>
                    <a:defRPr/>
                  </a:pPr>
                  <a:t>[CELLRANGE]</a:t>
                </a:fld>
                <a:endParaRPr lang="en-US" baseline="0"/>
              </a:p>
              <a:p>
                <a:pPr>
                  <a:defRPr/>
                </a:pPr>
                <a:fld id="{9C243684-D0F9-48AC-AC6E-7D055A432A65}"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5"/>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4567D40-45B2-4969-B7FA-728051568A1D}" type="CELLRANGE">
                  <a:rPr lang="en-US"/>
                  <a:pPr>
                    <a:defRPr/>
                  </a:pPr>
                  <a:t>[CELLRANGE]</a:t>
                </a:fld>
                <a:endParaRPr lang="en-US" baseline="0"/>
              </a:p>
              <a:p>
                <a:pPr>
                  <a:defRPr/>
                </a:pPr>
                <a:fld id="{D960635B-592B-4965-B119-F44BC433868B}"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pivotFmt>
      <c:pivotFmt>
        <c:idx val="6"/>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6CD447C-CE6E-4468-8020-EBAFE6AF6FF0}" type="CELLRANGE">
                  <a:rPr lang="en-US"/>
                  <a:pPr>
                    <a:defRPr/>
                  </a:pPr>
                  <a:t>[CELLRANGE]</a:t>
                </a:fld>
                <a:endParaRPr lang="en-US" baseline="0"/>
              </a:p>
              <a:p>
                <a:pPr>
                  <a:defRPr/>
                </a:pPr>
                <a:fld id="{F9E1FD2E-861E-4EBF-970D-592471EFB4FE}"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7"/>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E3BE408-2F55-4A6B-95F0-A95D69BA4F22}" type="CELLRANGE">
                  <a:rPr lang="en-US"/>
                  <a:pPr>
                    <a:defRPr/>
                  </a:pPr>
                  <a:t>[CELLRANGE]</a:t>
                </a:fld>
                <a:endParaRPr lang="en-US" baseline="0"/>
              </a:p>
              <a:p>
                <a:pPr>
                  <a:defRPr/>
                </a:pPr>
                <a:fld id="{72A795F4-1FE3-47D6-95EC-89C12A62CFF5}"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pivotFmt>
      <c:pivotFmt>
        <c:idx val="8"/>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74567D40-45B2-4969-B7FA-728051568A1D}" type="CELLRANGE">
                  <a:rPr lang="en-US"/>
                  <a:pPr>
                    <a:defRPr/>
                  </a:pPr>
                  <a:t>[CELLRANGE]</a:t>
                </a:fld>
                <a:endParaRPr lang="en-US" baseline="0"/>
              </a:p>
              <a:p>
                <a:pPr>
                  <a:defRPr/>
                </a:pPr>
                <a:fld id="{D960635B-592B-4965-B119-F44BC433868B}"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9"/>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A61E711-6A71-4B86-8B03-26F4EBD435C8}" type="CELLRANGE">
                  <a:rPr lang="en-US"/>
                  <a:pPr>
                    <a:defRPr/>
                  </a:pPr>
                  <a:t>[CELLRANGE]</a:t>
                </a:fld>
                <a:endParaRPr lang="en-US" baseline="0"/>
              </a:p>
              <a:p>
                <a:pPr>
                  <a:defRPr/>
                </a:pPr>
                <a:fld id="{0762A80B-0EDC-4083-B090-740D71BD14D6}"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0"/>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E3BE408-2F55-4A6B-95F0-A95D69BA4F22}" type="CELLRANGE">
                  <a:rPr lang="en-US"/>
                  <a:pPr>
                    <a:defRPr/>
                  </a:pPr>
                  <a:t>[CELLRANGE]</a:t>
                </a:fld>
                <a:endParaRPr lang="en-US" baseline="0"/>
              </a:p>
              <a:p>
                <a:pPr>
                  <a:defRPr/>
                </a:pPr>
                <a:fld id="{72A795F4-1FE3-47D6-95EC-89C12A62CFF5}"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1"/>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F7194B7-7713-467A-B373-9D70F4B336D3}" type="CELLRANGE">
                  <a:rPr lang="en-US"/>
                  <a:pPr>
                    <a:defRPr/>
                  </a:pPr>
                  <a:t>[CELLRANGE]</a:t>
                </a:fld>
                <a:endParaRPr lang="en-US" baseline="0"/>
              </a:p>
              <a:p>
                <a:pPr>
                  <a:defRPr/>
                </a:pPr>
                <a:fld id="{31CD0D5F-5D17-49D0-9DD4-5EE91A70EE7C}"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2"/>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3968E38-F5F5-48D0-9B12-C77FC7ECC2EF}" type="CELLRANGE">
                  <a:rPr lang="en-US"/>
                  <a:pPr>
                    <a:defRPr/>
                  </a:pPr>
                  <a:t>[CELLRANGE]</a:t>
                </a:fld>
                <a:endParaRPr lang="en-US" baseline="0"/>
              </a:p>
              <a:p>
                <a:pPr>
                  <a:defRPr/>
                </a:pPr>
                <a:fld id="{6A5EB2A5-47CA-48D6-9065-32F63EC860CA}"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pivotFmt>
      <c:pivotFmt>
        <c:idx val="13"/>
        <c:spPr>
          <a:ln w="15875" cap="rnd">
            <a:solidFill>
              <a:srgbClr val="CF5C4A"/>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E813DE0-895B-40FC-A8D5-4AF5C9785DA3}" type="CELLRANGE">
                  <a:rPr lang="en-US"/>
                  <a:pPr>
                    <a:defRPr/>
                  </a:pPr>
                  <a:t>[CELLRANGE]</a:t>
                </a:fld>
                <a:endParaRPr lang="en-US" baseline="0"/>
              </a:p>
              <a:p>
                <a:pPr>
                  <a:defRPr/>
                </a:pPr>
                <a:fld id="{6312277A-B0CD-4492-8EB5-CB9B6EE4BDF1}" type="VALUE">
                  <a:rPr lang="en-US"/>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pivotFmt>
    </c:pivotFmts>
    <c:plotArea>
      <c:layout/>
      <c:lineChart>
        <c:grouping val="standard"/>
        <c:varyColors val="0"/>
        <c:ser>
          <c:idx val="0"/>
          <c:order val="0"/>
          <c:tx>
            <c:strRef>
              <c:f>'Pivot Tables'!$AU$9:$AU$20</c:f>
              <c:strCache>
                <c:ptCount val="1"/>
                <c:pt idx="0">
                  <c:v>Count of N</c:v>
                </c:pt>
              </c:strCache>
            </c:strRef>
          </c:tx>
          <c:spPr>
            <a:ln w="15875" cap="rnd">
              <a:solidFill>
                <a:srgbClr val="CF5C4A"/>
              </a:solidFill>
              <a:round/>
            </a:ln>
            <a:effectLst/>
          </c:spPr>
          <c:marker>
            <c:symbol val="none"/>
          </c:marker>
          <c:dPt>
            <c:idx val="0"/>
            <c:marker>
              <c:symbol val="none"/>
            </c:marker>
            <c:bubble3D val="0"/>
            <c:spPr>
              <a:ln w="15875" cap="rnd">
                <a:solidFill>
                  <a:srgbClr val="CF5C4A"/>
                </a:solidFill>
                <a:round/>
              </a:ln>
              <a:effectLst/>
            </c:spPr>
            <c:extLst>
              <c:ext xmlns:c16="http://schemas.microsoft.com/office/drawing/2014/chart" uri="{C3380CC4-5D6E-409C-BE32-E72D297353CC}">
                <c16:uniqueId val="{00000006-74E3-4E34-9983-F9AE45B960F9}"/>
              </c:ext>
            </c:extLst>
          </c:dPt>
          <c:dPt>
            <c:idx val="1"/>
            <c:marker>
              <c:symbol val="none"/>
            </c:marker>
            <c:bubble3D val="0"/>
            <c:spPr>
              <a:ln w="15875" cap="rnd">
                <a:solidFill>
                  <a:srgbClr val="CF5C4A"/>
                </a:solidFill>
                <a:round/>
              </a:ln>
              <a:effectLst/>
            </c:spPr>
            <c:extLst>
              <c:ext xmlns:c16="http://schemas.microsoft.com/office/drawing/2014/chart" uri="{C3380CC4-5D6E-409C-BE32-E72D297353CC}">
                <c16:uniqueId val="{00000007-74E3-4E34-9983-F9AE45B960F9}"/>
              </c:ext>
            </c:extLst>
          </c:dPt>
          <c:dPt>
            <c:idx val="2"/>
            <c:marker>
              <c:symbol val="none"/>
            </c:marker>
            <c:bubble3D val="0"/>
            <c:spPr>
              <a:ln w="15875" cap="rnd">
                <a:solidFill>
                  <a:srgbClr val="CF5C4A"/>
                </a:solidFill>
                <a:round/>
              </a:ln>
              <a:effectLst/>
            </c:spPr>
            <c:extLst>
              <c:ext xmlns:c16="http://schemas.microsoft.com/office/drawing/2014/chart" uri="{C3380CC4-5D6E-409C-BE32-E72D297353CC}">
                <c16:uniqueId val="{00000008-74E3-4E34-9983-F9AE45B960F9}"/>
              </c:ext>
            </c:extLst>
          </c:dPt>
          <c:dPt>
            <c:idx val="3"/>
            <c:marker>
              <c:symbol val="none"/>
            </c:marker>
            <c:bubble3D val="0"/>
            <c:spPr>
              <a:ln w="15875" cap="rnd">
                <a:solidFill>
                  <a:srgbClr val="CF5C4A"/>
                </a:solidFill>
                <a:round/>
              </a:ln>
              <a:effectLst/>
            </c:spPr>
            <c:extLst>
              <c:ext xmlns:c16="http://schemas.microsoft.com/office/drawing/2014/chart" uri="{C3380CC4-5D6E-409C-BE32-E72D297353CC}">
                <c16:uniqueId val="{00000009-74E3-4E34-9983-F9AE45B960F9}"/>
              </c:ext>
            </c:extLst>
          </c:dPt>
          <c:dPt>
            <c:idx val="4"/>
            <c:marker>
              <c:symbol val="none"/>
            </c:marker>
            <c:bubble3D val="0"/>
            <c:spPr>
              <a:ln w="15875" cap="rnd">
                <a:solidFill>
                  <a:srgbClr val="CF5C4A"/>
                </a:solidFill>
                <a:round/>
              </a:ln>
              <a:effectLst/>
            </c:spPr>
            <c:extLst>
              <c:ext xmlns:c16="http://schemas.microsoft.com/office/drawing/2014/chart" uri="{C3380CC4-5D6E-409C-BE32-E72D297353CC}">
                <c16:uniqueId val="{0000000A-74E3-4E34-9983-F9AE45B960F9}"/>
              </c:ext>
            </c:extLst>
          </c:dPt>
          <c:dPt>
            <c:idx val="5"/>
            <c:marker>
              <c:symbol val="none"/>
            </c:marker>
            <c:bubble3D val="0"/>
            <c:spPr>
              <a:ln w="15875" cap="rnd">
                <a:solidFill>
                  <a:srgbClr val="CF5C4A"/>
                </a:solidFill>
                <a:round/>
              </a:ln>
              <a:effectLst/>
            </c:spPr>
            <c:extLst>
              <c:ext xmlns:c16="http://schemas.microsoft.com/office/drawing/2014/chart" uri="{C3380CC4-5D6E-409C-BE32-E72D297353CC}">
                <c16:uniqueId val="{0000000B-74E3-4E34-9983-F9AE45B960F9}"/>
              </c:ext>
            </c:extLst>
          </c:dPt>
          <c:dPt>
            <c:idx val="6"/>
            <c:marker>
              <c:symbol val="none"/>
            </c:marker>
            <c:bubble3D val="0"/>
            <c:spPr>
              <a:ln w="15875" cap="rnd">
                <a:solidFill>
                  <a:srgbClr val="CF5C4A"/>
                </a:solidFill>
                <a:round/>
              </a:ln>
              <a:effectLst/>
            </c:spPr>
            <c:extLst>
              <c:ext xmlns:c16="http://schemas.microsoft.com/office/drawing/2014/chart" uri="{C3380CC4-5D6E-409C-BE32-E72D297353CC}">
                <c16:uniqueId val="{0000000C-74E3-4E34-9983-F9AE45B960F9}"/>
              </c:ext>
            </c:extLst>
          </c:dPt>
          <c:dPt>
            <c:idx val="7"/>
            <c:marker>
              <c:symbol val="none"/>
            </c:marker>
            <c:bubble3D val="0"/>
            <c:spPr>
              <a:ln w="15875" cap="rnd">
                <a:solidFill>
                  <a:srgbClr val="CF5C4A"/>
                </a:solidFill>
                <a:round/>
              </a:ln>
              <a:effectLst/>
            </c:spPr>
            <c:extLst>
              <c:ext xmlns:c16="http://schemas.microsoft.com/office/drawing/2014/chart" uri="{C3380CC4-5D6E-409C-BE32-E72D297353CC}">
                <c16:uniqueId val="{0000000D-74E3-4E34-9983-F9AE45B960F9}"/>
              </c:ext>
            </c:extLst>
          </c:dPt>
          <c:dPt>
            <c:idx val="8"/>
            <c:marker>
              <c:symbol val="none"/>
            </c:marker>
            <c:bubble3D val="0"/>
            <c:spPr>
              <a:ln w="15875" cap="rnd">
                <a:solidFill>
                  <a:srgbClr val="CF5C4A"/>
                </a:solidFill>
                <a:round/>
              </a:ln>
              <a:effectLst/>
            </c:spPr>
          </c:dPt>
          <c:dPt>
            <c:idx val="9"/>
            <c:marker>
              <c:symbol val="none"/>
            </c:marker>
            <c:bubble3D val="0"/>
            <c:spPr>
              <a:ln w="15875" cap="rnd">
                <a:solidFill>
                  <a:srgbClr val="CF5C4A"/>
                </a:solidFill>
                <a:round/>
              </a:ln>
              <a:effectLst/>
            </c:spPr>
          </c:dPt>
          <c:dPt>
            <c:idx val="10"/>
            <c:marker>
              <c:symbol val="none"/>
            </c:marker>
            <c:bubble3D val="0"/>
            <c:spPr>
              <a:ln w="15875" cap="rnd">
                <a:solidFill>
                  <a:srgbClr val="CF5C4A"/>
                </a:solidFill>
                <a:round/>
              </a:ln>
              <a:effectLst/>
            </c:spPr>
          </c:dPt>
          <c:dPt>
            <c:idx val="11"/>
            <c:marker>
              <c:symbol val="none"/>
            </c:marker>
            <c:bubble3D val="0"/>
            <c:spPr>
              <a:ln w="15875" cap="rnd">
                <a:solidFill>
                  <a:srgbClr val="CF5C4A"/>
                </a:solidFill>
                <a:round/>
              </a:ln>
              <a:effectLst/>
            </c:spPr>
          </c:dPt>
          <c:dLbls>
            <c:dLbl>
              <c:idx val="0"/>
              <c:tx>
                <c:rich>
                  <a:bodyPr/>
                  <a:lstStyle/>
                  <a:p>
                    <a:fld id="{19CAB1F1-8819-4529-8B87-BEF50C3F7A9F}" type="CELLRANGE">
                      <a:rPr lang="en-US"/>
                      <a:pPr/>
                      <a:t>[CELLRANGE]</a:t>
                    </a:fld>
                    <a:endParaRPr lang="en-US" baseline="0"/>
                  </a:p>
                  <a:p>
                    <a:fld id="{7196135C-1A07-4384-BCC9-BC3448FA4AF3}"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74E3-4E34-9983-F9AE45B960F9}"/>
                </c:ext>
              </c:extLst>
            </c:dLbl>
            <c:dLbl>
              <c:idx val="1"/>
              <c:tx>
                <c:rich>
                  <a:bodyPr/>
                  <a:lstStyle/>
                  <a:p>
                    <a:fld id="{1C7DEB37-BD17-4C94-8272-18C930D5CC5A}" type="CELLRANGE">
                      <a:rPr lang="en-US"/>
                      <a:pPr/>
                      <a:t>[CELLRANGE]</a:t>
                    </a:fld>
                    <a:endParaRPr lang="en-US" baseline="0"/>
                  </a:p>
                  <a:p>
                    <a:fld id="{9C243684-D0F9-48AC-AC6E-7D055A432A6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4E3-4E34-9983-F9AE45B960F9}"/>
                </c:ext>
              </c:extLst>
            </c:dLbl>
            <c:dLbl>
              <c:idx val="2"/>
              <c:tx>
                <c:rich>
                  <a:bodyPr/>
                  <a:lstStyle/>
                  <a:p>
                    <a:fld id="{1C7DEB37-BD17-4C94-8272-18C930D5CC5A}" type="CELLRANGE">
                      <a:rPr lang="en-US"/>
                      <a:pPr/>
                      <a:t>[CELLRANGE]</a:t>
                    </a:fld>
                    <a:endParaRPr lang="en-US" baseline="0"/>
                  </a:p>
                  <a:p>
                    <a:fld id="{9C243684-D0F9-48AC-AC6E-7D055A432A6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74E3-4E34-9983-F9AE45B960F9}"/>
                </c:ext>
              </c:extLst>
            </c:dLbl>
            <c:dLbl>
              <c:idx val="3"/>
              <c:tx>
                <c:rich>
                  <a:bodyPr/>
                  <a:lstStyle/>
                  <a:p>
                    <a:fld id="{74567D40-45B2-4969-B7FA-728051568A1D}" type="CELLRANGE">
                      <a:rPr lang="en-US"/>
                      <a:pPr/>
                      <a:t>[CELLRANGE]</a:t>
                    </a:fld>
                    <a:endParaRPr lang="en-US" baseline="0"/>
                  </a:p>
                  <a:p>
                    <a:fld id="{D960635B-592B-4965-B119-F44BC433868B}"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4E3-4E34-9983-F9AE45B960F9}"/>
                </c:ext>
              </c:extLst>
            </c:dLbl>
            <c:dLbl>
              <c:idx val="4"/>
              <c:tx>
                <c:rich>
                  <a:bodyPr/>
                  <a:lstStyle/>
                  <a:p>
                    <a:fld id="{D6CD447C-CE6E-4468-8020-EBAFE6AF6FF0}" type="CELLRANGE">
                      <a:rPr lang="en-US"/>
                      <a:pPr/>
                      <a:t>[CELLRANGE]</a:t>
                    </a:fld>
                    <a:endParaRPr lang="en-US" baseline="0"/>
                  </a:p>
                  <a:p>
                    <a:fld id="{F9E1FD2E-861E-4EBF-970D-592471EFB4FE}"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74E3-4E34-9983-F9AE45B960F9}"/>
                </c:ext>
              </c:extLst>
            </c:dLbl>
            <c:dLbl>
              <c:idx val="5"/>
              <c:tx>
                <c:rich>
                  <a:bodyPr/>
                  <a:lstStyle/>
                  <a:p>
                    <a:fld id="{3E3BE408-2F55-4A6B-95F0-A95D69BA4F22}" type="CELLRANGE">
                      <a:rPr lang="en-US"/>
                      <a:pPr/>
                      <a:t>[CELLRANGE]</a:t>
                    </a:fld>
                    <a:endParaRPr lang="en-US" baseline="0"/>
                  </a:p>
                  <a:p>
                    <a:fld id="{72A795F4-1FE3-47D6-95EC-89C12A62CFF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74E3-4E34-9983-F9AE45B960F9}"/>
                </c:ext>
              </c:extLst>
            </c:dLbl>
            <c:dLbl>
              <c:idx val="6"/>
              <c:tx>
                <c:rich>
                  <a:bodyPr/>
                  <a:lstStyle/>
                  <a:p>
                    <a:fld id="{74567D40-45B2-4969-B7FA-728051568A1D}" type="CELLRANGE">
                      <a:rPr lang="en-US"/>
                      <a:pPr/>
                      <a:t>[CELLRANGE]</a:t>
                    </a:fld>
                    <a:endParaRPr lang="en-US" baseline="0"/>
                  </a:p>
                  <a:p>
                    <a:fld id="{D960635B-592B-4965-B119-F44BC433868B}"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74E3-4E34-9983-F9AE45B960F9}"/>
                </c:ext>
              </c:extLst>
            </c:dLbl>
            <c:dLbl>
              <c:idx val="7"/>
              <c:tx>
                <c:rich>
                  <a:bodyPr/>
                  <a:lstStyle/>
                  <a:p>
                    <a:fld id="{9A61E711-6A71-4B86-8B03-26F4EBD435C8}" type="CELLRANGE">
                      <a:rPr lang="en-US"/>
                      <a:pPr/>
                      <a:t>[CELLRANGE]</a:t>
                    </a:fld>
                    <a:endParaRPr lang="en-US" baseline="0"/>
                  </a:p>
                  <a:p>
                    <a:fld id="{0762A80B-0EDC-4083-B090-740D71BD14D6}"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74E3-4E34-9983-F9AE45B960F9}"/>
                </c:ext>
              </c:extLst>
            </c:dLbl>
            <c:dLbl>
              <c:idx val="8"/>
              <c:tx>
                <c:rich>
                  <a:bodyPr/>
                  <a:lstStyle/>
                  <a:p>
                    <a:fld id="{3E3BE408-2F55-4A6B-95F0-A95D69BA4F22}" type="CELLRANGE">
                      <a:rPr lang="en-US"/>
                      <a:pPr/>
                      <a:t>[CELLRANGE]</a:t>
                    </a:fld>
                    <a:endParaRPr lang="en-US" baseline="0"/>
                  </a:p>
                  <a:p>
                    <a:fld id="{72A795F4-1FE3-47D6-95EC-89C12A62CFF5}"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9"/>
              <c:tx>
                <c:rich>
                  <a:bodyPr/>
                  <a:lstStyle/>
                  <a:p>
                    <a:fld id="{9F7194B7-7713-467A-B373-9D70F4B336D3}" type="CELLRANGE">
                      <a:rPr lang="en-US"/>
                      <a:pPr/>
                      <a:t>[CELLRANGE]</a:t>
                    </a:fld>
                    <a:endParaRPr lang="en-US" baseline="0"/>
                  </a:p>
                  <a:p>
                    <a:fld id="{31CD0D5F-5D17-49D0-9DD4-5EE91A70EE7C}"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0"/>
              <c:tx>
                <c:rich>
                  <a:bodyPr/>
                  <a:lstStyle/>
                  <a:p>
                    <a:fld id="{E3968E38-F5F5-48D0-9B12-C77FC7ECC2EF}" type="CELLRANGE">
                      <a:rPr lang="en-US"/>
                      <a:pPr/>
                      <a:t>[CELLRANGE]</a:t>
                    </a:fld>
                    <a:endParaRPr lang="en-US" baseline="0"/>
                  </a:p>
                  <a:p>
                    <a:fld id="{6A5EB2A5-47CA-48D6-9065-32F63EC860CA}"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Lst>
            </c:dLbl>
            <c:dLbl>
              <c:idx val="11"/>
              <c:tx>
                <c:rich>
                  <a:bodyPr/>
                  <a:lstStyle/>
                  <a:p>
                    <a:fld id="{4E813DE0-895B-40FC-A8D5-4AF5C9785DA3}" type="CELLRANGE">
                      <a:rPr lang="en-US"/>
                      <a:pPr/>
                      <a:t>[CELLRANGE]</a:t>
                    </a:fld>
                    <a:endParaRPr lang="en-US" baseline="0"/>
                  </a:p>
                  <a:p>
                    <a:fld id="{6312277A-B0CD-4492-8EB5-CB9B6EE4BDF1}" type="VALUE">
                      <a:rPr lang="en-US"/>
                      <a:pPr/>
                      <a:t>[VALUE]</a:t>
                    </a:fld>
                    <a:endParaRPr lang="en-US"/>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xForSave val="1"/>
                  <c15:showDataLabelsRange val="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Tables'!$AU$9:$AU$20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Tables'!$AU$9:$AU$20</c:f>
              <c:numCache>
                <c:formatCode>General</c:formatCode>
                <c:ptCount val="12"/>
                <c:pt idx="0">
                  <c:v>2</c:v>
                </c:pt>
                <c:pt idx="1">
                  <c:v>2</c:v>
                </c:pt>
                <c:pt idx="2">
                  <c:v>4</c:v>
                </c:pt>
                <c:pt idx="3">
                  <c:v>1</c:v>
                </c:pt>
                <c:pt idx="4">
                  <c:v>1</c:v>
                </c:pt>
                <c:pt idx="5">
                  <c:v>2</c:v>
                </c:pt>
                <c:pt idx="6">
                  <c:v>2</c:v>
                </c:pt>
                <c:pt idx="7">
                  <c:v>3</c:v>
                </c:pt>
                <c:pt idx="8">
                  <c:v>1</c:v>
                </c:pt>
                <c:pt idx="9">
                  <c:v>4</c:v>
                </c:pt>
                <c:pt idx="10">
                  <c:v>1</c:v>
                </c:pt>
                <c:pt idx="11">
                  <c:v>1</c:v>
                </c:pt>
              </c:numCache>
            </c:numRef>
          </c:val>
          <c:smooth val="1"/>
          <c:extLst>
            <c:ext xmlns:c15="http://schemas.microsoft.com/office/drawing/2012/chart" uri="{02D57815-91ED-43cb-92C2-25804820EDAC}">
              <c15:datalabelsRange>
                <c15:f>'Pivot Tables'!$AU$9:$AU$20</c15:f>
                <c15:dlblRangeCache>
                  <c:ptCount val="12"/>
                  <c:pt idx="1">
                    <c:v>0%</c:v>
                  </c:pt>
                  <c:pt idx="2">
                    <c:v>100%</c:v>
                  </c:pt>
                  <c:pt idx="3">
                    <c:v>-75%</c:v>
                  </c:pt>
                  <c:pt idx="4">
                    <c:v>0%</c:v>
                  </c:pt>
                  <c:pt idx="5">
                    <c:v>100%</c:v>
                  </c:pt>
                  <c:pt idx="6">
                    <c:v>0%</c:v>
                  </c:pt>
                  <c:pt idx="7">
                    <c:v>50%</c:v>
                  </c:pt>
                  <c:pt idx="8">
                    <c:v>-67%</c:v>
                  </c:pt>
                  <c:pt idx="9">
                    <c:v>300%</c:v>
                  </c:pt>
                  <c:pt idx="10">
                    <c:v>-75%</c:v>
                  </c:pt>
                  <c:pt idx="11">
                    <c:v>0%</c:v>
                  </c:pt>
                </c15:dlblRangeCache>
              </c15:datalabelsRange>
            </c:ext>
            <c:ext xmlns:c16="http://schemas.microsoft.com/office/drawing/2014/chart" uri="{C3380CC4-5D6E-409C-BE32-E72D297353CC}">
              <c16:uniqueId val="{00000000-74E3-4E34-9983-F9AE45B960F9}"/>
            </c:ext>
          </c:extLst>
        </c:ser>
        <c:ser>
          <c:idx val="1"/>
          <c:order val="1"/>
          <c:tx>
            <c:strRef>
              <c:f>'Pivot Tables'!$AU$9:$AU$20</c:f>
              <c:strCache>
                <c:ptCount val="1"/>
                <c:pt idx="0">
                  <c:v>Count of Month</c:v>
                </c:pt>
              </c:strCache>
            </c:strRef>
          </c:tx>
          <c:spPr>
            <a:ln w="28575"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Tables'!$AU$9:$AU$20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Tables'!$AU$9:$AU$20</c:f>
              <c:numCache>
                <c:formatCode>0%</c:formatCode>
                <c:ptCount val="12"/>
                <c:pt idx="1">
                  <c:v>0</c:v>
                </c:pt>
                <c:pt idx="2">
                  <c:v>1</c:v>
                </c:pt>
                <c:pt idx="3">
                  <c:v>-0.75</c:v>
                </c:pt>
                <c:pt idx="4">
                  <c:v>0</c:v>
                </c:pt>
                <c:pt idx="5">
                  <c:v>1</c:v>
                </c:pt>
                <c:pt idx="6">
                  <c:v>0</c:v>
                </c:pt>
                <c:pt idx="7">
                  <c:v>0.5</c:v>
                </c:pt>
                <c:pt idx="8">
                  <c:v>-0.66666666666666663</c:v>
                </c:pt>
                <c:pt idx="9">
                  <c:v>3</c:v>
                </c:pt>
                <c:pt idx="10">
                  <c:v>-0.75</c:v>
                </c:pt>
                <c:pt idx="11">
                  <c:v>0</c:v>
                </c:pt>
              </c:numCache>
            </c:numRef>
          </c:val>
          <c:smooth val="0"/>
          <c:extLst>
            <c:ext xmlns:c16="http://schemas.microsoft.com/office/drawing/2014/chart" uri="{C3380CC4-5D6E-409C-BE32-E72D297353CC}">
              <c16:uniqueId val="{00000001-0BED-4EAB-9156-4D23DC04EB53}"/>
            </c:ext>
          </c:extLst>
        </c:ser>
        <c:dLbls>
          <c:showLegendKey val="0"/>
          <c:showVal val="1"/>
          <c:showCatName val="0"/>
          <c:showSerName val="0"/>
          <c:showPercent val="0"/>
          <c:showBubbleSize val="0"/>
        </c:dLbls>
        <c:smooth val="0"/>
        <c:axId val="1412274656"/>
        <c:axId val="1412270912"/>
      </c:lineChart>
      <c:catAx>
        <c:axId val="141227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270912"/>
        <c:crosses val="autoZero"/>
        <c:auto val="1"/>
        <c:lblAlgn val="ctr"/>
        <c:lblOffset val="100"/>
        <c:noMultiLvlLbl val="0"/>
      </c:catAx>
      <c:valAx>
        <c:axId val="1412270912"/>
        <c:scaling>
          <c:orientation val="minMax"/>
        </c:scaling>
        <c:delete val="1"/>
        <c:axPos val="l"/>
        <c:numFmt formatCode="General" sourceLinked="1"/>
        <c:majorTickMark val="out"/>
        <c:minorTickMark val="none"/>
        <c:tickLblPos val="nextTo"/>
        <c:crossAx val="1412274656"/>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5875" cap="rnd"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Tables!Driver Wages per month</c:name>
    <c:fmtId val="2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Tables'!$AY$16</c:f>
              <c:strCache>
                <c:ptCount val="1"/>
                <c:pt idx="0">
                  <c:v>Total</c:v>
                </c:pt>
              </c:strCache>
            </c:strRef>
          </c:tx>
          <c:spPr>
            <a:ln w="28575" cap="rnd">
              <a:solidFill>
                <a:schemeClr val="accent1"/>
              </a:solidFill>
              <a:round/>
            </a:ln>
            <a:effectLst/>
          </c:spPr>
          <c:marker>
            <c:symbol val="none"/>
          </c:marker>
          <c:cat>
            <c:strRef>
              <c:f>'Pivot Tables'!$AX$17:$AX$29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Tables'!$AY$17:$AY$29</c:f>
              <c:numCache>
                <c:formatCode>General</c:formatCode>
                <c:ptCount val="12"/>
                <c:pt idx="0">
                  <c:v>800</c:v>
                </c:pt>
                <c:pt idx="1">
                  <c:v>800</c:v>
                </c:pt>
                <c:pt idx="2">
                  <c:v>2200</c:v>
                </c:pt>
                <c:pt idx="3">
                  <c:v>400</c:v>
                </c:pt>
                <c:pt idx="4">
                  <c:v>600</c:v>
                </c:pt>
                <c:pt idx="5">
                  <c:v>1600</c:v>
                </c:pt>
                <c:pt idx="6">
                  <c:v>800</c:v>
                </c:pt>
                <c:pt idx="7">
                  <c:v>1200</c:v>
                </c:pt>
                <c:pt idx="8">
                  <c:v>400</c:v>
                </c:pt>
                <c:pt idx="9">
                  <c:v>1600</c:v>
                </c:pt>
                <c:pt idx="10">
                  <c:v>400</c:v>
                </c:pt>
                <c:pt idx="11">
                  <c:v>400</c:v>
                </c:pt>
              </c:numCache>
            </c:numRef>
          </c:val>
          <c:smooth val="0"/>
          <c:extLst>
            <c:ext xmlns:c16="http://schemas.microsoft.com/office/drawing/2014/chart" uri="{C3380CC4-5D6E-409C-BE32-E72D297353CC}">
              <c16:uniqueId val="{00000000-F513-4B56-86A9-B1ED2F7E72DB}"/>
            </c:ext>
          </c:extLst>
        </c:ser>
        <c:dLbls>
          <c:showLegendKey val="0"/>
          <c:showVal val="0"/>
          <c:showCatName val="0"/>
          <c:showSerName val="0"/>
          <c:showPercent val="0"/>
          <c:showBubbleSize val="0"/>
        </c:dLbls>
        <c:smooth val="0"/>
        <c:axId val="1803562831"/>
        <c:axId val="1803565327"/>
      </c:lineChart>
      <c:catAx>
        <c:axId val="180356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565327"/>
        <c:crosses val="autoZero"/>
        <c:auto val="1"/>
        <c:lblAlgn val="ctr"/>
        <c:lblOffset val="100"/>
        <c:noMultiLvlLbl val="0"/>
      </c:catAx>
      <c:valAx>
        <c:axId val="1803565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3562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[Logistics Dashboard.xlsm]Pivot Tables!Buddy Wages per month</c:name>
    <c:fmtId val="2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Tables'!$BC$16</c:f>
              <c:strCache>
                <c:ptCount val="1"/>
                <c:pt idx="0">
                  <c:v>Total</c:v>
                </c:pt>
              </c:strCache>
            </c:strRef>
          </c:tx>
          <c:spPr>
            <a:ln w="28575" cap="rnd">
              <a:solidFill>
                <a:schemeClr val="accent1"/>
              </a:solidFill>
              <a:round/>
            </a:ln>
            <a:effectLst/>
          </c:spPr>
          <c:marker>
            <c:symbol val="none"/>
          </c:marker>
          <c:cat>
            <c:strRef>
              <c:f>'Pivot Tables'!$BB$17:$BB$29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Tables'!$BC$17:$BC$29</c:f>
              <c:numCache>
                <c:formatCode>General</c:formatCode>
                <c:ptCount val="12"/>
                <c:pt idx="0">
                  <c:v>800</c:v>
                </c:pt>
                <c:pt idx="1">
                  <c:v>200</c:v>
                </c:pt>
                <c:pt idx="2">
                  <c:v>400</c:v>
                </c:pt>
                <c:pt idx="3">
                  <c:v>100</c:v>
                </c:pt>
                <c:pt idx="4">
                  <c:v>100</c:v>
                </c:pt>
                <c:pt idx="5">
                  <c:v>200</c:v>
                </c:pt>
                <c:pt idx="6">
                  <c:v>300</c:v>
                </c:pt>
                <c:pt idx="7">
                  <c:v>300</c:v>
                </c:pt>
                <c:pt idx="8">
                  <c:v>100</c:v>
                </c:pt>
                <c:pt idx="9">
                  <c:v>900</c:v>
                </c:pt>
                <c:pt idx="10">
                  <c:v>400</c:v>
                </c:pt>
                <c:pt idx="11">
                  <c:v>100</c:v>
                </c:pt>
              </c:numCache>
            </c:numRef>
          </c:val>
          <c:smooth val="0"/>
          <c:extLst>
            <c:ext xmlns:c16="http://schemas.microsoft.com/office/drawing/2014/chart" uri="{C3380CC4-5D6E-409C-BE32-E72D297353CC}">
              <c16:uniqueId val="{00000000-CB2E-4EE7-A891-A97A23692FBE}"/>
            </c:ext>
          </c:extLst>
        </c:ser>
        <c:dLbls>
          <c:showLegendKey val="0"/>
          <c:showVal val="0"/>
          <c:showCatName val="0"/>
          <c:showSerName val="0"/>
          <c:showPercent val="0"/>
          <c:showBubbleSize val="0"/>
        </c:dLbls>
        <c:smooth val="0"/>
        <c:axId val="1682362639"/>
        <c:axId val="1682350575"/>
      </c:lineChart>
      <c:catAx>
        <c:axId val="168236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350575"/>
        <c:crosses val="autoZero"/>
        <c:auto val="1"/>
        <c:lblAlgn val="ctr"/>
        <c:lblOffset val="100"/>
        <c:noMultiLvlLbl val="0"/>
      </c:catAx>
      <c:valAx>
        <c:axId val="1682350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2362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jpeg"/><Relationship Id="rId13" Type="http://schemas.openxmlformats.org/officeDocument/2006/relationships/image" Target="../media/image4.jpeg"/><Relationship Id="rId18" Type="http://schemas.openxmlformats.org/officeDocument/2006/relationships/image" Target="../media/image6.png"/><Relationship Id="rId26" Type="http://schemas.openxmlformats.org/officeDocument/2006/relationships/chart" Target="../charts/chart7.xml"/><Relationship Id="rId3" Type="http://schemas.openxmlformats.org/officeDocument/2006/relationships/chart" Target="../charts/chart3.xml"/><Relationship Id="rId21" Type="http://schemas.openxmlformats.org/officeDocument/2006/relationships/image" Target="../media/image7.emf"/><Relationship Id="rId7" Type="http://schemas.openxmlformats.org/officeDocument/2006/relationships/hyperlink" Target="https://www.cgtrader.com/3d-models/various/various-models/arrow-bold-turn" TargetMode="External"/><Relationship Id="rId12" Type="http://schemas.openxmlformats.org/officeDocument/2006/relationships/chart" Target="../charts/chart6.xml"/><Relationship Id="rId17" Type="http://schemas.openxmlformats.org/officeDocument/2006/relationships/hyperlink" Target="https://www.stockpicturesforeveryone.com/2013/06/old-rural-indian-men-portraits-and.html" TargetMode="External"/><Relationship Id="rId25" Type="http://schemas.openxmlformats.org/officeDocument/2006/relationships/hyperlink" Target="https://pixabay.com/en/truck-lorry-cargo-transportation-303460/" TargetMode="External"/><Relationship Id="rId2" Type="http://schemas.openxmlformats.org/officeDocument/2006/relationships/chart" Target="../charts/chart2.xml"/><Relationship Id="rId16" Type="http://schemas.microsoft.com/office/2007/relationships/hdphoto" Target="../media/hdphoto1.wdp"/><Relationship Id="rId20" Type="http://schemas.openxmlformats.org/officeDocument/2006/relationships/hyperlink" Target="https://www.dailytravelphotos.com/archive/2010/05/01/" TargetMode="External"/><Relationship Id="rId1" Type="http://schemas.openxmlformats.org/officeDocument/2006/relationships/chart" Target="../charts/chart1.xml"/><Relationship Id="rId6" Type="http://schemas.openxmlformats.org/officeDocument/2006/relationships/image" Target="../media/image2.jpeg"/><Relationship Id="rId11" Type="http://schemas.openxmlformats.org/officeDocument/2006/relationships/chart" Target="../charts/chart5.xml"/><Relationship Id="rId24" Type="http://schemas.openxmlformats.org/officeDocument/2006/relationships/image" Target="../media/image9.png"/><Relationship Id="rId5" Type="http://schemas.openxmlformats.org/officeDocument/2006/relationships/hyperlink" Target="https://www.cgtrader.com/3d-models/various/various-models/arrow-bold-up" TargetMode="External"/><Relationship Id="rId15" Type="http://schemas.openxmlformats.org/officeDocument/2006/relationships/image" Target="../media/image5.png"/><Relationship Id="rId23" Type="http://schemas.openxmlformats.org/officeDocument/2006/relationships/hyperlink" Target="https://pixabay.com/en/thailand-thai-flag-country-152711/" TargetMode="External"/><Relationship Id="rId28" Type="http://schemas.openxmlformats.org/officeDocument/2006/relationships/chart" Target="../charts/chart9.xml"/><Relationship Id="rId10" Type="http://schemas.openxmlformats.org/officeDocument/2006/relationships/chart" Target="../charts/chart4.xml"/><Relationship Id="rId19" Type="http://schemas.microsoft.com/office/2007/relationships/hdphoto" Target="../media/hdphoto2.wdp"/><Relationship Id="rId4" Type="http://schemas.openxmlformats.org/officeDocument/2006/relationships/image" Target="../media/image1.jpeg"/><Relationship Id="rId9" Type="http://schemas.openxmlformats.org/officeDocument/2006/relationships/hyperlink" Target="https://www.cgtrader.com/3d-models/various/various-models/arrow-bold-spin" TargetMode="External"/><Relationship Id="rId14" Type="http://schemas.openxmlformats.org/officeDocument/2006/relationships/hyperlink" Target="https://medium.com/@farce/how-creative-were-the-new-worlds-explorers-6991967240ce" TargetMode="External"/><Relationship Id="rId22" Type="http://schemas.openxmlformats.org/officeDocument/2006/relationships/image" Target="../media/image8.png"/><Relationship Id="rId27"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 Id="rId9"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67196</xdr:colOff>
      <xdr:row>43</xdr:row>
      <xdr:rowOff>134471</xdr:rowOff>
    </xdr:to>
    <xdr:grpSp>
      <xdr:nvGrpSpPr>
        <xdr:cNvPr id="24" name="Dashboard background 1">
          <a:extLst>
            <a:ext uri="{FF2B5EF4-FFF2-40B4-BE49-F238E27FC236}">
              <a16:creationId xmlns:a16="http://schemas.microsoft.com/office/drawing/2014/main" id="{A0B2C481-8BD3-4A64-A53C-01A801FC7E95}"/>
            </a:ext>
          </a:extLst>
        </xdr:cNvPr>
        <xdr:cNvGrpSpPr/>
      </xdr:nvGrpSpPr>
      <xdr:grpSpPr>
        <a:xfrm>
          <a:off x="0" y="0"/>
          <a:ext cx="15789049" cy="8807824"/>
          <a:chOff x="476694" y="361519"/>
          <a:chExt cx="15196481" cy="7683861"/>
        </a:xfrm>
      </xdr:grpSpPr>
      <xdr:sp macro="" textlink="">
        <xdr:nvSpPr>
          <xdr:cNvPr id="9" name="botton border">
            <a:extLst>
              <a:ext uri="{FF2B5EF4-FFF2-40B4-BE49-F238E27FC236}">
                <a16:creationId xmlns:a16="http://schemas.microsoft.com/office/drawing/2014/main" id="{89BC5F94-1747-4152-8132-CD8AB1A015B6}"/>
              </a:ext>
            </a:extLst>
          </xdr:cNvPr>
          <xdr:cNvSpPr/>
        </xdr:nvSpPr>
        <xdr:spPr>
          <a:xfrm>
            <a:off x="2451767" y="7974474"/>
            <a:ext cx="11242222" cy="64147"/>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4" name="Group 13">
            <a:extLst>
              <a:ext uri="{FF2B5EF4-FFF2-40B4-BE49-F238E27FC236}">
                <a16:creationId xmlns:a16="http://schemas.microsoft.com/office/drawing/2014/main" id="{AF9F3877-4820-458E-931A-015F9900A540}"/>
              </a:ext>
            </a:extLst>
          </xdr:cNvPr>
          <xdr:cNvGrpSpPr/>
        </xdr:nvGrpSpPr>
        <xdr:grpSpPr>
          <a:xfrm>
            <a:off x="476694" y="364481"/>
            <a:ext cx="1995351" cy="7680899"/>
            <a:chOff x="476694" y="362080"/>
            <a:chExt cx="2004956" cy="7589650"/>
          </a:xfrm>
        </xdr:grpSpPr>
        <xdr:sp macro="" textlink="">
          <xdr:nvSpPr>
            <xdr:cNvPr id="2" name="background border left pane">
              <a:extLst>
                <a:ext uri="{FF2B5EF4-FFF2-40B4-BE49-F238E27FC236}">
                  <a16:creationId xmlns:a16="http://schemas.microsoft.com/office/drawing/2014/main" id="{5002AD9A-A263-96FE-F13F-C4591E547E17}"/>
                </a:ext>
              </a:extLst>
            </xdr:cNvPr>
            <xdr:cNvSpPr/>
          </xdr:nvSpPr>
          <xdr:spPr>
            <a:xfrm rot="16188146">
              <a:off x="-2315653" y="3154427"/>
              <a:ext cx="7589650" cy="2004956"/>
            </a:xfrm>
            <a:prstGeom prst="round2SameRect">
              <a:avLst>
                <a:gd name="adj1" fmla="val 23853"/>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sp macro="" textlink="">
          <xdr:nvSpPr>
            <xdr:cNvPr id="4" name="background left pane">
              <a:extLst>
                <a:ext uri="{FF2B5EF4-FFF2-40B4-BE49-F238E27FC236}">
                  <a16:creationId xmlns:a16="http://schemas.microsoft.com/office/drawing/2014/main" id="{093852FA-F650-476B-B593-4D5A43FEAFD6}"/>
                </a:ext>
              </a:extLst>
            </xdr:cNvPr>
            <xdr:cNvSpPr/>
          </xdr:nvSpPr>
          <xdr:spPr>
            <a:xfrm rot="16188146">
              <a:off x="-2227878" y="3210799"/>
              <a:ext cx="7498217" cy="1913516"/>
            </a:xfrm>
            <a:prstGeom prst="round2SameRect">
              <a:avLst>
                <a:gd name="adj1" fmla="val 2385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grpSp>
      <xdr:sp macro="" textlink="">
        <xdr:nvSpPr>
          <xdr:cNvPr id="6" name="Rectangle 5">
            <a:extLst>
              <a:ext uri="{FF2B5EF4-FFF2-40B4-BE49-F238E27FC236}">
                <a16:creationId xmlns:a16="http://schemas.microsoft.com/office/drawing/2014/main" id="{9545C4B2-543C-4B47-AD91-CB842D2AC81B}"/>
              </a:ext>
            </a:extLst>
          </xdr:cNvPr>
          <xdr:cNvSpPr/>
        </xdr:nvSpPr>
        <xdr:spPr>
          <a:xfrm>
            <a:off x="2451767" y="364078"/>
            <a:ext cx="11242222" cy="66548"/>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B551CC85-3E03-4998-9668-A4FFAD85869E}"/>
              </a:ext>
            </a:extLst>
          </xdr:cNvPr>
          <xdr:cNvSpPr/>
        </xdr:nvSpPr>
        <xdr:spPr>
          <a:xfrm>
            <a:off x="2451767" y="421670"/>
            <a:ext cx="11244463" cy="2127851"/>
          </a:xfrm>
          <a:prstGeom prst="rect">
            <a:avLst/>
          </a:prstGeom>
          <a:gradFill flip="none" rotWithShape="1">
            <a:gsLst>
              <a:gs pos="1000">
                <a:srgbClr val="20375A"/>
              </a:gs>
              <a:gs pos="42000">
                <a:srgbClr val="152031"/>
              </a:gs>
              <a:gs pos="99000">
                <a:srgbClr val="20375A"/>
              </a:gs>
            </a:gsLst>
            <a:lin ang="13200000" scaled="0"/>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349A2B00-CF9D-429D-8806-F633628FF718}"/>
              </a:ext>
            </a:extLst>
          </xdr:cNvPr>
          <xdr:cNvSpPr/>
        </xdr:nvSpPr>
        <xdr:spPr>
          <a:xfrm>
            <a:off x="2458492" y="2562018"/>
            <a:ext cx="11243902" cy="5442985"/>
          </a:xfrm>
          <a:prstGeom prst="rect">
            <a:avLst/>
          </a:prstGeom>
          <a:gradFill flip="none" rotWithShape="1">
            <a:gsLst>
              <a:gs pos="11000">
                <a:srgbClr val="FAF9F9"/>
              </a:gs>
              <a:gs pos="71000">
                <a:srgbClr val="F6F6F6"/>
              </a:gs>
            </a:gsLst>
            <a:lin ang="13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grpSp>
        <xdr:nvGrpSpPr>
          <xdr:cNvPr id="15" name="Group 14">
            <a:extLst>
              <a:ext uri="{FF2B5EF4-FFF2-40B4-BE49-F238E27FC236}">
                <a16:creationId xmlns:a16="http://schemas.microsoft.com/office/drawing/2014/main" id="{8E164039-9C74-41E9-84D8-71DA3304C3F0}"/>
              </a:ext>
            </a:extLst>
          </xdr:cNvPr>
          <xdr:cNvGrpSpPr/>
        </xdr:nvGrpSpPr>
        <xdr:grpSpPr>
          <a:xfrm rot="10800000">
            <a:off x="13677825" y="361519"/>
            <a:ext cx="1995350" cy="7677101"/>
            <a:chOff x="476694" y="362080"/>
            <a:chExt cx="2004956" cy="7589650"/>
          </a:xfrm>
        </xdr:grpSpPr>
        <xdr:sp macro="" textlink="">
          <xdr:nvSpPr>
            <xdr:cNvPr id="16" name="Round Same Side Corner Rectangle 1">
              <a:extLst>
                <a:ext uri="{FF2B5EF4-FFF2-40B4-BE49-F238E27FC236}">
                  <a16:creationId xmlns:a16="http://schemas.microsoft.com/office/drawing/2014/main" id="{9B5F6C9F-B598-44E5-A1E9-D88EF84B3149}"/>
                </a:ext>
              </a:extLst>
            </xdr:cNvPr>
            <xdr:cNvSpPr/>
          </xdr:nvSpPr>
          <xdr:spPr>
            <a:xfrm rot="16188146">
              <a:off x="-2315653" y="3154427"/>
              <a:ext cx="7589650" cy="2004956"/>
            </a:xfrm>
            <a:prstGeom prst="round2SameRect">
              <a:avLst>
                <a:gd name="adj1" fmla="val 23853"/>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sp macro="" textlink="">
          <xdr:nvSpPr>
            <xdr:cNvPr id="17" name="Round Same Side Corner Rectangle 1">
              <a:extLst>
                <a:ext uri="{FF2B5EF4-FFF2-40B4-BE49-F238E27FC236}">
                  <a16:creationId xmlns:a16="http://schemas.microsoft.com/office/drawing/2014/main" id="{9BF9F6EB-C23B-4A18-8A45-0DB8F5543F19}"/>
                </a:ext>
              </a:extLst>
            </xdr:cNvPr>
            <xdr:cNvSpPr/>
          </xdr:nvSpPr>
          <xdr:spPr>
            <a:xfrm rot="16188146">
              <a:off x="-2223946" y="3190599"/>
              <a:ext cx="7490221" cy="1913516"/>
            </a:xfrm>
            <a:prstGeom prst="round2SameRect">
              <a:avLst>
                <a:gd name="adj1" fmla="val 2385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grpSp>
    </xdr:grpSp>
    <xdr:clientData/>
  </xdr:twoCellAnchor>
  <xdr:twoCellAnchor>
    <xdr:from>
      <xdr:col>0</xdr:col>
      <xdr:colOff>179517</xdr:colOff>
      <xdr:row>8</xdr:row>
      <xdr:rowOff>197894</xdr:rowOff>
    </xdr:from>
    <xdr:to>
      <xdr:col>2</xdr:col>
      <xdr:colOff>565790</xdr:colOff>
      <xdr:row>10</xdr:row>
      <xdr:rowOff>114098</xdr:rowOff>
    </xdr:to>
    <xdr:sp macro="" textlink="">
      <xdr:nvSpPr>
        <xdr:cNvPr id="49" name="button background">
          <a:extLst>
            <a:ext uri="{FF2B5EF4-FFF2-40B4-BE49-F238E27FC236}">
              <a16:creationId xmlns:a16="http://schemas.microsoft.com/office/drawing/2014/main" id="{02174190-7EE4-41A0-B0A7-D72876804900}"/>
            </a:ext>
          </a:extLst>
        </xdr:cNvPr>
        <xdr:cNvSpPr/>
      </xdr:nvSpPr>
      <xdr:spPr>
        <a:xfrm>
          <a:off x="179517" y="1811541"/>
          <a:ext cx="1753391" cy="319616"/>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65851</xdr:colOff>
      <xdr:row>9</xdr:row>
      <xdr:rowOff>57608</xdr:rowOff>
    </xdr:from>
    <xdr:to>
      <xdr:col>0</xdr:col>
      <xdr:colOff>305811</xdr:colOff>
      <xdr:row>10</xdr:row>
      <xdr:rowOff>57688</xdr:rowOff>
    </xdr:to>
    <xdr:sp macro="" textlink="">
      <xdr:nvSpPr>
        <xdr:cNvPr id="50" name="button selector">
          <a:extLst>
            <a:ext uri="{FF2B5EF4-FFF2-40B4-BE49-F238E27FC236}">
              <a16:creationId xmlns:a16="http://schemas.microsoft.com/office/drawing/2014/main" id="{575EDF30-F45D-42C4-86B5-341E1E7EF0A2}"/>
            </a:ext>
          </a:extLst>
        </xdr:cNvPr>
        <xdr:cNvSpPr/>
      </xdr:nvSpPr>
      <xdr:spPr>
        <a:xfrm rot="5400000">
          <a:off x="84938" y="1853874"/>
          <a:ext cx="201786" cy="239960"/>
        </a:xfrm>
        <a:prstGeom prst="round2SameRect">
          <a:avLst>
            <a:gd name="adj1" fmla="val 50000"/>
            <a:gd name="adj2" fmla="val 0"/>
          </a:avLst>
        </a:prstGeom>
        <a:solidFill>
          <a:srgbClr val="CF5C4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260007</xdr:colOff>
      <xdr:row>11</xdr:row>
      <xdr:rowOff>119001</xdr:rowOff>
    </xdr:from>
    <xdr:to>
      <xdr:col>13</xdr:col>
      <xdr:colOff>259537</xdr:colOff>
      <xdr:row>17</xdr:row>
      <xdr:rowOff>135118</xdr:rowOff>
    </xdr:to>
    <xdr:sp macro="" textlink="">
      <xdr:nvSpPr>
        <xdr:cNvPr id="27" name="Rectangle: Rounded Corners 26">
          <a:extLst>
            <a:ext uri="{FF2B5EF4-FFF2-40B4-BE49-F238E27FC236}">
              <a16:creationId xmlns:a16="http://schemas.microsoft.com/office/drawing/2014/main" id="{F827BAD0-F5A0-48FF-BA96-80CE00F766D0}"/>
            </a:ext>
          </a:extLst>
        </xdr:cNvPr>
        <xdr:cNvSpPr/>
      </xdr:nvSpPr>
      <xdr:spPr>
        <a:xfrm>
          <a:off x="6412036" y="2337766"/>
          <a:ext cx="2733766" cy="1226352"/>
        </a:xfrm>
        <a:prstGeom prst="roundRect">
          <a:avLst>
            <a:gd name="adj" fmla="val 11017"/>
          </a:avLst>
        </a:prstGeom>
        <a:gradFill>
          <a:gsLst>
            <a:gs pos="0">
              <a:srgbClr val="E8E9EC"/>
            </a:gs>
            <a:gs pos="100000">
              <a:srgbClr val="FDFDFD"/>
            </a:gs>
          </a:gsLst>
          <a:lin ang="5400000" scaled="1"/>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1413</xdr:colOff>
      <xdr:row>7</xdr:row>
      <xdr:rowOff>7688</xdr:rowOff>
    </xdr:from>
    <xdr:to>
      <xdr:col>20</xdr:col>
      <xdr:colOff>61512</xdr:colOff>
      <xdr:row>43</xdr:row>
      <xdr:rowOff>126723</xdr:rowOff>
    </xdr:to>
    <xdr:grpSp>
      <xdr:nvGrpSpPr>
        <xdr:cNvPr id="31" name="Dashboard elements">
          <a:extLst>
            <a:ext uri="{FF2B5EF4-FFF2-40B4-BE49-F238E27FC236}">
              <a16:creationId xmlns:a16="http://schemas.microsoft.com/office/drawing/2014/main" id="{B7135A54-3256-4166-AA72-F16E4A8317F1}"/>
            </a:ext>
          </a:extLst>
        </xdr:cNvPr>
        <xdr:cNvGrpSpPr/>
      </xdr:nvGrpSpPr>
      <xdr:grpSpPr>
        <a:xfrm>
          <a:off x="2052089" y="1419629"/>
          <a:ext cx="11680599" cy="7380447"/>
          <a:chOff x="2052089" y="1419629"/>
          <a:chExt cx="11680599" cy="7380447"/>
        </a:xfrm>
      </xdr:grpSpPr>
      <xdr:sp macro="" textlink="">
        <xdr:nvSpPr>
          <xdr:cNvPr id="65" name="TextBox 64">
            <a:extLst>
              <a:ext uri="{FF2B5EF4-FFF2-40B4-BE49-F238E27FC236}">
                <a16:creationId xmlns:a16="http://schemas.microsoft.com/office/drawing/2014/main" id="{8E74B645-2FDE-483F-A65E-0BD337612DE1}"/>
              </a:ext>
            </a:extLst>
          </xdr:cNvPr>
          <xdr:cNvSpPr txBox="1"/>
        </xdr:nvSpPr>
        <xdr:spPr>
          <a:xfrm>
            <a:off x="2077711" y="1419629"/>
            <a:ext cx="1575773" cy="464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a:solidFill>
                  <a:schemeClr val="bg1"/>
                </a:solidFill>
                <a:latin typeface="Bahnschrift SemiBold" panose="020B0502040204020203" pitchFamily="34" charset="0"/>
              </a:rPr>
              <a:t>Overview</a:t>
            </a:r>
          </a:p>
        </xdr:txBody>
      </xdr:sp>
      <xdr:sp macro="" textlink="">
        <xdr:nvSpPr>
          <xdr:cNvPr id="3" name="Rectangle: Rounded Corners 2">
            <a:extLst>
              <a:ext uri="{FF2B5EF4-FFF2-40B4-BE49-F238E27FC236}">
                <a16:creationId xmlns:a16="http://schemas.microsoft.com/office/drawing/2014/main" id="{312A2A16-82A3-44D1-AAE8-94ADE93F7BDB}"/>
              </a:ext>
            </a:extLst>
          </xdr:cNvPr>
          <xdr:cNvSpPr/>
        </xdr:nvSpPr>
        <xdr:spPr>
          <a:xfrm>
            <a:off x="2803070" y="2321797"/>
            <a:ext cx="2733764" cy="1221218"/>
          </a:xfrm>
          <a:prstGeom prst="roundRect">
            <a:avLst>
              <a:gd name="adj" fmla="val 11017"/>
            </a:avLst>
          </a:prstGeom>
          <a:gradFill>
            <a:gsLst>
              <a:gs pos="0">
                <a:srgbClr val="E8E9EC"/>
              </a:gs>
              <a:gs pos="100000">
                <a:srgbClr val="FDFDFD"/>
              </a:gs>
            </a:gsLst>
            <a:lin ang="5400000" scaled="1"/>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Rounded Corners 27">
            <a:extLst>
              <a:ext uri="{FF2B5EF4-FFF2-40B4-BE49-F238E27FC236}">
                <a16:creationId xmlns:a16="http://schemas.microsoft.com/office/drawing/2014/main" id="{CBA5B4CE-0A81-480D-A131-29648BA2F76E}"/>
              </a:ext>
            </a:extLst>
          </xdr:cNvPr>
          <xdr:cNvSpPr/>
        </xdr:nvSpPr>
        <xdr:spPr>
          <a:xfrm>
            <a:off x="10080192" y="2333773"/>
            <a:ext cx="2739379" cy="1226352"/>
          </a:xfrm>
          <a:prstGeom prst="roundRect">
            <a:avLst>
              <a:gd name="adj" fmla="val 11017"/>
            </a:avLst>
          </a:prstGeom>
          <a:gradFill>
            <a:gsLst>
              <a:gs pos="0">
                <a:srgbClr val="E8E9EC"/>
              </a:gs>
              <a:gs pos="100000">
                <a:srgbClr val="FDFDFD"/>
              </a:gs>
            </a:gsLst>
            <a:lin ang="5400000" scaled="1"/>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Rectangle: Rounded Corners 31">
            <a:extLst>
              <a:ext uri="{FF2B5EF4-FFF2-40B4-BE49-F238E27FC236}">
                <a16:creationId xmlns:a16="http://schemas.microsoft.com/office/drawing/2014/main" id="{105D69DF-80D8-48C1-B981-C8FBF30044E2}"/>
              </a:ext>
            </a:extLst>
          </xdr:cNvPr>
          <xdr:cNvSpPr/>
        </xdr:nvSpPr>
        <xdr:spPr>
          <a:xfrm>
            <a:off x="8164142" y="3971241"/>
            <a:ext cx="4988095" cy="2273335"/>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Rectangle: Rounded Corners 33">
            <a:extLst>
              <a:ext uri="{FF2B5EF4-FFF2-40B4-BE49-F238E27FC236}">
                <a16:creationId xmlns:a16="http://schemas.microsoft.com/office/drawing/2014/main" id="{1B1F579A-0509-4A10-A320-950875B5D601}"/>
              </a:ext>
            </a:extLst>
          </xdr:cNvPr>
          <xdr:cNvSpPr/>
        </xdr:nvSpPr>
        <xdr:spPr>
          <a:xfrm>
            <a:off x="8254628" y="6537268"/>
            <a:ext cx="4956800" cy="2148822"/>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Rectangle: Rounded Corners 34">
            <a:extLst>
              <a:ext uri="{FF2B5EF4-FFF2-40B4-BE49-F238E27FC236}">
                <a16:creationId xmlns:a16="http://schemas.microsoft.com/office/drawing/2014/main" id="{26506132-76C7-4EFC-A85B-A8E7199FDD4D}"/>
              </a:ext>
            </a:extLst>
          </xdr:cNvPr>
          <xdr:cNvSpPr/>
        </xdr:nvSpPr>
        <xdr:spPr>
          <a:xfrm>
            <a:off x="2584575" y="3901757"/>
            <a:ext cx="5053578" cy="230647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Rectangle: Rounded Corners 35">
            <a:extLst>
              <a:ext uri="{FF2B5EF4-FFF2-40B4-BE49-F238E27FC236}">
                <a16:creationId xmlns:a16="http://schemas.microsoft.com/office/drawing/2014/main" id="{F2544B36-FC5D-4E6F-8A52-00723504E675}"/>
              </a:ext>
            </a:extLst>
          </xdr:cNvPr>
          <xdr:cNvSpPr/>
        </xdr:nvSpPr>
        <xdr:spPr>
          <a:xfrm>
            <a:off x="2392815" y="6539419"/>
            <a:ext cx="1697873" cy="215979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TextBox 77">
            <a:extLst>
              <a:ext uri="{FF2B5EF4-FFF2-40B4-BE49-F238E27FC236}">
                <a16:creationId xmlns:a16="http://schemas.microsoft.com/office/drawing/2014/main" id="{509A903B-E882-4E9D-9959-A84C133C1764}"/>
              </a:ext>
            </a:extLst>
          </xdr:cNvPr>
          <xdr:cNvSpPr txBox="1"/>
        </xdr:nvSpPr>
        <xdr:spPr>
          <a:xfrm>
            <a:off x="2891057" y="2417617"/>
            <a:ext cx="1665943" cy="286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solidFill>
                <a:latin typeface="Bahnschrift SemiBold" panose="020B0502040204020203" pitchFamily="34" charset="0"/>
              </a:rPr>
              <a:t>Total Expenses</a:t>
            </a:r>
          </a:p>
        </xdr:txBody>
      </xdr:sp>
      <xdr:sp macro="" textlink="'Pivot Tables'!$Z$8">
        <xdr:nvSpPr>
          <xdr:cNvPr id="79" name="TextBox 78">
            <a:extLst>
              <a:ext uri="{FF2B5EF4-FFF2-40B4-BE49-F238E27FC236}">
                <a16:creationId xmlns:a16="http://schemas.microsoft.com/office/drawing/2014/main" id="{7158EC6F-38E2-4184-8CA2-C6DE15F4608D}"/>
              </a:ext>
            </a:extLst>
          </xdr:cNvPr>
          <xdr:cNvSpPr txBox="1"/>
        </xdr:nvSpPr>
        <xdr:spPr>
          <a:xfrm>
            <a:off x="2885932" y="2776360"/>
            <a:ext cx="1391390" cy="286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D2741D11-2A49-4F50-B3C8-665D0A43A4BD}" type="TxLink">
              <a:rPr lang="en-US" sz="2400" b="0" i="0" u="none" strike="noStrike">
                <a:solidFill>
                  <a:srgbClr val="000000"/>
                </a:solidFill>
                <a:latin typeface="Bahnschrift SemiBold SemiConden" panose="020B0502040204020203" pitchFamily="34" charset="0"/>
                <a:cs typeface="Calibri"/>
              </a:rPr>
              <a:pPr algn="l"/>
              <a:t> ฿27,200 </a:t>
            </a:fld>
            <a:endParaRPr lang="en-US" sz="2400">
              <a:solidFill>
                <a:schemeClr val="tx1"/>
              </a:solidFill>
              <a:latin typeface="Bahnschrift SemiBold SemiConden" panose="020B0502040204020203" pitchFamily="34" charset="0"/>
            </a:endParaRPr>
          </a:p>
        </xdr:txBody>
      </xdr:sp>
      <xdr:sp macro="" textlink="">
        <xdr:nvSpPr>
          <xdr:cNvPr id="80" name="TextBox 79">
            <a:extLst>
              <a:ext uri="{FF2B5EF4-FFF2-40B4-BE49-F238E27FC236}">
                <a16:creationId xmlns:a16="http://schemas.microsoft.com/office/drawing/2014/main" id="{57CE6645-B05E-4B6B-829F-6C3087EDD5E6}"/>
              </a:ext>
            </a:extLst>
          </xdr:cNvPr>
          <xdr:cNvSpPr txBox="1"/>
        </xdr:nvSpPr>
        <xdr:spPr>
          <a:xfrm>
            <a:off x="2966224" y="3137955"/>
            <a:ext cx="1391390" cy="282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cs typeface="Calibri"/>
              </a:rPr>
              <a:t>Thai Baht</a:t>
            </a:r>
          </a:p>
        </xdr:txBody>
      </xdr:sp>
      <xdr:sp macro="" textlink="">
        <xdr:nvSpPr>
          <xdr:cNvPr id="81" name="TextBox 80">
            <a:extLst>
              <a:ext uri="{FF2B5EF4-FFF2-40B4-BE49-F238E27FC236}">
                <a16:creationId xmlns:a16="http://schemas.microsoft.com/office/drawing/2014/main" id="{5A6F25D4-0E0D-457F-9714-0AB955C05B40}"/>
              </a:ext>
            </a:extLst>
          </xdr:cNvPr>
          <xdr:cNvSpPr txBox="1"/>
        </xdr:nvSpPr>
        <xdr:spPr>
          <a:xfrm>
            <a:off x="6575983" y="2420810"/>
            <a:ext cx="1678646" cy="286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solidFill>
                <a:latin typeface="Bahnschrift SemiBold" panose="020B0502040204020203" pitchFamily="34" charset="0"/>
              </a:rPr>
              <a:t>Total Salaries</a:t>
            </a:r>
          </a:p>
        </xdr:txBody>
      </xdr:sp>
      <xdr:sp macro="" textlink="'Pivot Tables'!$AB$8">
        <xdr:nvSpPr>
          <xdr:cNvPr id="82" name="TextBox 81">
            <a:extLst>
              <a:ext uri="{FF2B5EF4-FFF2-40B4-BE49-F238E27FC236}">
                <a16:creationId xmlns:a16="http://schemas.microsoft.com/office/drawing/2014/main" id="{2A24055D-7C58-4DF5-87A6-5BBBC41E9149}"/>
              </a:ext>
            </a:extLst>
          </xdr:cNvPr>
          <xdr:cNvSpPr txBox="1"/>
        </xdr:nvSpPr>
        <xdr:spPr>
          <a:xfrm>
            <a:off x="6570859" y="2779553"/>
            <a:ext cx="1391391" cy="286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26708D2D-E8FA-4B30-B6CD-11BE9DCE2892}" type="TxLink">
              <a:rPr lang="en-US" sz="2400" b="0" i="0" u="none" strike="noStrike">
                <a:solidFill>
                  <a:srgbClr val="000000"/>
                </a:solidFill>
                <a:latin typeface="Bahnschrift SemiBold SemiConden" panose="020B0502040204020203" pitchFamily="34" charset="0"/>
                <a:cs typeface="Calibri"/>
              </a:rPr>
              <a:pPr algn="l"/>
              <a:t> ฿12,100 </a:t>
            </a:fld>
            <a:endParaRPr lang="en-US" sz="2400">
              <a:solidFill>
                <a:schemeClr val="tx1"/>
              </a:solidFill>
              <a:latin typeface="Bahnschrift SemiBold SemiConden" panose="020B0502040204020203" pitchFamily="34" charset="0"/>
            </a:endParaRPr>
          </a:p>
        </xdr:txBody>
      </xdr:sp>
      <xdr:sp macro="" textlink="">
        <xdr:nvSpPr>
          <xdr:cNvPr id="83" name="TextBox 82">
            <a:extLst>
              <a:ext uri="{FF2B5EF4-FFF2-40B4-BE49-F238E27FC236}">
                <a16:creationId xmlns:a16="http://schemas.microsoft.com/office/drawing/2014/main" id="{C50F934C-9F48-4A40-A2F6-3467D22BFF1C}"/>
              </a:ext>
            </a:extLst>
          </xdr:cNvPr>
          <xdr:cNvSpPr txBox="1"/>
        </xdr:nvSpPr>
        <xdr:spPr>
          <a:xfrm>
            <a:off x="6651149" y="3146281"/>
            <a:ext cx="1391391" cy="277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cs typeface="Calibri"/>
              </a:rPr>
              <a:t>Thai Baht</a:t>
            </a:r>
          </a:p>
        </xdr:txBody>
      </xdr:sp>
      <xdr:sp macro="" textlink="">
        <xdr:nvSpPr>
          <xdr:cNvPr id="84" name="TextBox 83">
            <a:extLst>
              <a:ext uri="{FF2B5EF4-FFF2-40B4-BE49-F238E27FC236}">
                <a16:creationId xmlns:a16="http://schemas.microsoft.com/office/drawing/2014/main" id="{3A68047B-3378-4084-9212-A5B4C761BF7D}"/>
              </a:ext>
            </a:extLst>
          </xdr:cNvPr>
          <xdr:cNvSpPr txBox="1"/>
        </xdr:nvSpPr>
        <xdr:spPr>
          <a:xfrm>
            <a:off x="10165732" y="2431991"/>
            <a:ext cx="1678644" cy="2862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solidFill>
                <a:latin typeface="Bahnschrift SemiBold" panose="020B0502040204020203" pitchFamily="34" charset="0"/>
              </a:rPr>
              <a:t>Total Wages</a:t>
            </a:r>
          </a:p>
        </xdr:txBody>
      </xdr:sp>
      <xdr:sp macro="" textlink="'Pivot Tables'!$AD$8">
        <xdr:nvSpPr>
          <xdr:cNvPr id="85" name="TextBox 84">
            <a:extLst>
              <a:ext uri="{FF2B5EF4-FFF2-40B4-BE49-F238E27FC236}">
                <a16:creationId xmlns:a16="http://schemas.microsoft.com/office/drawing/2014/main" id="{FA9269BE-0FB7-4954-8FC1-A9951434263B}"/>
              </a:ext>
            </a:extLst>
          </xdr:cNvPr>
          <xdr:cNvSpPr txBox="1"/>
        </xdr:nvSpPr>
        <xdr:spPr>
          <a:xfrm>
            <a:off x="10160608" y="2790733"/>
            <a:ext cx="1391389" cy="286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B7E0699-D985-4ED0-A4C5-4B7B2F27B143}" type="TxLink">
              <a:rPr lang="en-US" sz="2400" b="0" i="0" u="none" strike="noStrike">
                <a:solidFill>
                  <a:srgbClr val="000000"/>
                </a:solidFill>
                <a:latin typeface="Bahnschrift SemiBold SemiConden" panose="020B0502040204020203" pitchFamily="34" charset="0"/>
                <a:cs typeface="Calibri"/>
              </a:rPr>
              <a:pPr algn="l"/>
              <a:t> ฿15,100 </a:t>
            </a:fld>
            <a:endParaRPr lang="en-US" sz="2400">
              <a:solidFill>
                <a:schemeClr val="tx1"/>
              </a:solidFill>
              <a:latin typeface="Bahnschrift SemiBold SemiConden" panose="020B0502040204020203" pitchFamily="34" charset="0"/>
            </a:endParaRPr>
          </a:p>
        </xdr:txBody>
      </xdr:sp>
      <xdr:sp macro="" textlink="">
        <xdr:nvSpPr>
          <xdr:cNvPr id="86" name="TextBox 85">
            <a:extLst>
              <a:ext uri="{FF2B5EF4-FFF2-40B4-BE49-F238E27FC236}">
                <a16:creationId xmlns:a16="http://schemas.microsoft.com/office/drawing/2014/main" id="{C2AE6A2E-F96A-47C1-9B40-61052D86BFE7}"/>
              </a:ext>
            </a:extLst>
          </xdr:cNvPr>
          <xdr:cNvSpPr txBox="1"/>
        </xdr:nvSpPr>
        <xdr:spPr>
          <a:xfrm>
            <a:off x="10240898" y="3157461"/>
            <a:ext cx="1391389" cy="277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cs typeface="Calibri"/>
              </a:rPr>
              <a:t>Thai Baht</a:t>
            </a:r>
          </a:p>
        </xdr:txBody>
      </xdr:sp>
      <xdr:sp macro="" textlink="'Pivot Tables'!$AE$12">
        <xdr:nvSpPr>
          <xdr:cNvPr id="91" name="TextBox 90">
            <a:extLst>
              <a:ext uri="{FF2B5EF4-FFF2-40B4-BE49-F238E27FC236}">
                <a16:creationId xmlns:a16="http://schemas.microsoft.com/office/drawing/2014/main" id="{CC5006D0-48A2-4546-88EF-C515268F2956}"/>
              </a:ext>
            </a:extLst>
          </xdr:cNvPr>
          <xdr:cNvSpPr txBox="1"/>
        </xdr:nvSpPr>
        <xdr:spPr>
          <a:xfrm>
            <a:off x="8164142" y="2503066"/>
            <a:ext cx="847790" cy="890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44A4F1-ECE8-40F5-97BA-808401994B8C}" type="TxLink">
              <a:rPr lang="en-US" sz="2400" b="0" i="0" u="none" strike="noStrike">
                <a:solidFill>
                  <a:srgbClr val="000000"/>
                </a:solidFill>
                <a:latin typeface="Bahnschrift SemiBold SemiConden" panose="020B0502040204020203" pitchFamily="34" charset="0"/>
                <a:cs typeface="Calibri"/>
              </a:rPr>
              <a:pPr algn="ctr"/>
              <a:t>56%</a:t>
            </a:fld>
            <a:endParaRPr lang="en-US" sz="2400">
              <a:solidFill>
                <a:schemeClr val="tx1"/>
              </a:solidFill>
              <a:latin typeface="Bahnschrift SemiBold SemiConden" panose="020B0502040204020203" pitchFamily="34" charset="0"/>
            </a:endParaRPr>
          </a:p>
        </xdr:txBody>
      </xdr:sp>
      <xdr:grpSp>
        <xdr:nvGrpSpPr>
          <xdr:cNvPr id="93" name="Doughnut chart 2">
            <a:extLst>
              <a:ext uri="{FF2B5EF4-FFF2-40B4-BE49-F238E27FC236}">
                <a16:creationId xmlns:a16="http://schemas.microsoft.com/office/drawing/2014/main" id="{7FBFBD32-FCB1-41B0-B556-9C992B31BEFF}"/>
              </a:ext>
            </a:extLst>
          </xdr:cNvPr>
          <xdr:cNvGrpSpPr/>
        </xdr:nvGrpSpPr>
        <xdr:grpSpPr>
          <a:xfrm>
            <a:off x="11682683" y="2376018"/>
            <a:ext cx="1136887" cy="1136730"/>
            <a:chOff x="8191499" y="2435087"/>
            <a:chExt cx="1099072" cy="1096777"/>
          </a:xfrm>
        </xdr:grpSpPr>
        <xdr:graphicFrame macro="">
          <xdr:nvGraphicFramePr>
            <xdr:cNvPr id="94" name="Chart 93">
              <a:extLst>
                <a:ext uri="{FF2B5EF4-FFF2-40B4-BE49-F238E27FC236}">
                  <a16:creationId xmlns:a16="http://schemas.microsoft.com/office/drawing/2014/main" id="{E7DBE2C2-A300-47B3-812A-2A0CDF7E0847}"/>
                </a:ext>
              </a:extLst>
            </xdr:cNvPr>
            <xdr:cNvGraphicFramePr>
              <a:graphicFrameLocks/>
            </xdr:cNvGraphicFramePr>
          </xdr:nvGraphicFramePr>
          <xdr:xfrm>
            <a:off x="8191499" y="2435087"/>
            <a:ext cx="1099072" cy="1096777"/>
          </xdr:xfrm>
          <a:graphic>
            <a:graphicData uri="http://schemas.openxmlformats.org/drawingml/2006/chart">
              <c:chart xmlns:c="http://schemas.openxmlformats.org/drawingml/2006/chart" xmlns:r="http://schemas.openxmlformats.org/officeDocument/2006/relationships" r:id="rId1"/>
            </a:graphicData>
          </a:graphic>
        </xdr:graphicFrame>
        <xdr:sp macro="" textlink="'Pivot Tables'!$AE$13">
          <xdr:nvSpPr>
            <xdr:cNvPr id="95" name="TextBox 94">
              <a:extLst>
                <a:ext uri="{FF2B5EF4-FFF2-40B4-BE49-F238E27FC236}">
                  <a16:creationId xmlns:a16="http://schemas.microsoft.com/office/drawing/2014/main" id="{2504A207-E6D4-408E-8CB3-6786321362C7}"/>
                </a:ext>
              </a:extLst>
            </xdr:cNvPr>
            <xdr:cNvSpPr txBox="1"/>
          </xdr:nvSpPr>
          <xdr:spPr>
            <a:xfrm>
              <a:off x="8342244" y="2552780"/>
              <a:ext cx="818321" cy="861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368EAA-E24C-4947-ABFA-8E886A431E90}" type="TxLink">
                <a:rPr lang="en-US" sz="2400" b="0" i="0" u="none" strike="noStrike">
                  <a:solidFill>
                    <a:srgbClr val="000000"/>
                  </a:solidFill>
                  <a:latin typeface="Bahnschrift SemiBold SemiConden" panose="020B0502040204020203" pitchFamily="34" charset="0"/>
                  <a:cs typeface="Calibri"/>
                </a:rPr>
                <a:pPr algn="ctr"/>
                <a:t>44%</a:t>
              </a:fld>
              <a:endParaRPr lang="en-US" sz="2400">
                <a:solidFill>
                  <a:schemeClr val="tx1"/>
                </a:solidFill>
                <a:latin typeface="Bahnschrift SemiBold SemiConden" panose="020B0502040204020203" pitchFamily="34" charset="0"/>
              </a:endParaRPr>
            </a:p>
          </xdr:txBody>
        </xdr:sp>
      </xdr:grpSp>
      <xdr:graphicFrame macro="">
        <xdr:nvGraphicFramePr>
          <xdr:cNvPr id="87" name="Chart 86">
            <a:extLst>
              <a:ext uri="{FF2B5EF4-FFF2-40B4-BE49-F238E27FC236}">
                <a16:creationId xmlns:a16="http://schemas.microsoft.com/office/drawing/2014/main" id="{962F3805-AA2B-430B-9CF2-EBA229DF07F4}"/>
              </a:ext>
            </a:extLst>
          </xdr:cNvPr>
          <xdr:cNvGraphicFramePr>
            <a:graphicFrameLocks/>
          </xdr:cNvGraphicFramePr>
        </xdr:nvGraphicFramePr>
        <xdr:xfrm>
          <a:off x="7995987" y="2404441"/>
          <a:ext cx="1154428" cy="1129389"/>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9" name="TextBox 88">
            <a:extLst>
              <a:ext uri="{FF2B5EF4-FFF2-40B4-BE49-F238E27FC236}">
                <a16:creationId xmlns:a16="http://schemas.microsoft.com/office/drawing/2014/main" id="{BD1D988F-970F-4795-A33D-61C962969D91}"/>
              </a:ext>
            </a:extLst>
          </xdr:cNvPr>
          <xdr:cNvSpPr txBox="1"/>
        </xdr:nvSpPr>
        <xdr:spPr>
          <a:xfrm>
            <a:off x="2675372" y="4002314"/>
            <a:ext cx="2056132" cy="32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solidFill>
                <a:latin typeface="Bahnschrift SemiBold" panose="020B0502040204020203" pitchFamily="34" charset="0"/>
              </a:rPr>
              <a:t>Expenses By Month</a:t>
            </a:r>
          </a:p>
        </xdr:txBody>
      </xdr:sp>
      <xdr:graphicFrame macro="">
        <xdr:nvGraphicFramePr>
          <xdr:cNvPr id="92" name="Chart 91">
            <a:extLst>
              <a:ext uri="{FF2B5EF4-FFF2-40B4-BE49-F238E27FC236}">
                <a16:creationId xmlns:a16="http://schemas.microsoft.com/office/drawing/2014/main" id="{FB7704E3-2F62-4085-8CED-BB427FC576EA}"/>
              </a:ext>
            </a:extLst>
          </xdr:cNvPr>
          <xdr:cNvGraphicFramePr>
            <a:graphicFrameLocks/>
          </xdr:cNvGraphicFramePr>
        </xdr:nvGraphicFramePr>
        <xdr:xfrm>
          <a:off x="2675372" y="4301625"/>
          <a:ext cx="4962779" cy="183338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07" name="Rectangle: Rounded Corners 106">
            <a:extLst>
              <a:ext uri="{FF2B5EF4-FFF2-40B4-BE49-F238E27FC236}">
                <a16:creationId xmlns:a16="http://schemas.microsoft.com/office/drawing/2014/main" id="{D5830B32-5316-4FDF-A837-A4308001B481}"/>
              </a:ext>
            </a:extLst>
          </xdr:cNvPr>
          <xdr:cNvSpPr/>
        </xdr:nvSpPr>
        <xdr:spPr>
          <a:xfrm>
            <a:off x="4247855" y="6539419"/>
            <a:ext cx="1686879" cy="215979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Rectangle: Rounded Corners 107">
            <a:extLst>
              <a:ext uri="{FF2B5EF4-FFF2-40B4-BE49-F238E27FC236}">
                <a16:creationId xmlns:a16="http://schemas.microsoft.com/office/drawing/2014/main" id="{44A33FC3-8E75-431C-A152-78DF1A001B53}"/>
              </a:ext>
            </a:extLst>
          </xdr:cNvPr>
          <xdr:cNvSpPr/>
        </xdr:nvSpPr>
        <xdr:spPr>
          <a:xfrm>
            <a:off x="6083354" y="6539419"/>
            <a:ext cx="1697873" cy="215979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9" name="TextBox 108">
            <a:extLst>
              <a:ext uri="{FF2B5EF4-FFF2-40B4-BE49-F238E27FC236}">
                <a16:creationId xmlns:a16="http://schemas.microsoft.com/office/drawing/2014/main" id="{5C6748A9-2DEC-4197-8FAE-B5CC79826658}"/>
              </a:ext>
            </a:extLst>
          </xdr:cNvPr>
          <xdr:cNvSpPr txBox="1"/>
        </xdr:nvSpPr>
        <xdr:spPr>
          <a:xfrm>
            <a:off x="2557139" y="7639415"/>
            <a:ext cx="1697873" cy="321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1">
                <a:solidFill>
                  <a:schemeClr val="bg1">
                    <a:lumMod val="50000"/>
                  </a:schemeClr>
                </a:solidFill>
                <a:latin typeface="Bahnschrift SemiBold" panose="020B0502040204020203" pitchFamily="34" charset="0"/>
              </a:rPr>
              <a:t>Total Distance</a:t>
            </a:r>
          </a:p>
        </xdr:txBody>
      </xdr:sp>
      <xdr:sp macro="" textlink="">
        <xdr:nvSpPr>
          <xdr:cNvPr id="110" name="TextBox 109">
            <a:extLst>
              <a:ext uri="{FF2B5EF4-FFF2-40B4-BE49-F238E27FC236}">
                <a16:creationId xmlns:a16="http://schemas.microsoft.com/office/drawing/2014/main" id="{A50885A5-50B0-48DA-BAEF-0F8624886218}"/>
              </a:ext>
            </a:extLst>
          </xdr:cNvPr>
          <xdr:cNvSpPr txBox="1"/>
        </xdr:nvSpPr>
        <xdr:spPr>
          <a:xfrm>
            <a:off x="4700810" y="7639898"/>
            <a:ext cx="852478" cy="321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lumMod val="50000"/>
                  </a:schemeClr>
                </a:solidFill>
                <a:latin typeface="Bahnschrift SemiBold" panose="020B0502040204020203" pitchFamily="34" charset="0"/>
              </a:rPr>
              <a:t>Return</a:t>
            </a:r>
          </a:p>
        </xdr:txBody>
      </xdr:sp>
      <xdr:sp macro="" textlink="">
        <xdr:nvSpPr>
          <xdr:cNvPr id="111" name="TextBox 110">
            <a:extLst>
              <a:ext uri="{FF2B5EF4-FFF2-40B4-BE49-F238E27FC236}">
                <a16:creationId xmlns:a16="http://schemas.microsoft.com/office/drawing/2014/main" id="{C20C3C51-FE7E-4359-B4A8-0841B0D25857}"/>
              </a:ext>
            </a:extLst>
          </xdr:cNvPr>
          <xdr:cNvSpPr txBox="1"/>
        </xdr:nvSpPr>
        <xdr:spPr>
          <a:xfrm>
            <a:off x="6412036" y="7639898"/>
            <a:ext cx="1041364" cy="321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bg1">
                    <a:lumMod val="50000"/>
                  </a:schemeClr>
                </a:solidFill>
                <a:latin typeface="Bahnschrift SemiBold" panose="020B0502040204020203" pitchFamily="34" charset="0"/>
              </a:rPr>
              <a:t>One</a:t>
            </a:r>
            <a:r>
              <a:rPr lang="en-US" sz="1400" baseline="0">
                <a:solidFill>
                  <a:schemeClr val="bg1">
                    <a:lumMod val="50000"/>
                  </a:schemeClr>
                </a:solidFill>
                <a:latin typeface="Bahnschrift SemiBold" panose="020B0502040204020203" pitchFamily="34" charset="0"/>
              </a:rPr>
              <a:t>-Way</a:t>
            </a:r>
            <a:endParaRPr lang="en-US" sz="1400">
              <a:solidFill>
                <a:schemeClr val="bg1">
                  <a:lumMod val="50000"/>
                </a:schemeClr>
              </a:solidFill>
              <a:latin typeface="Bahnschrift SemiBold" panose="020B0502040204020203" pitchFamily="34" charset="0"/>
            </a:endParaRPr>
          </a:p>
        </xdr:txBody>
      </xdr:sp>
      <xdr:pic>
        <xdr:nvPicPr>
          <xdr:cNvPr id="21" name="Picture 20">
            <a:extLst>
              <a:ext uri="{FF2B5EF4-FFF2-40B4-BE49-F238E27FC236}">
                <a16:creationId xmlns:a16="http://schemas.microsoft.com/office/drawing/2014/main" id="{403AFCE0-663B-4D12-BA90-C040398268E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837473B0-CC2E-450A-ABE3-18F120FF3D39}">
                <a1611:picAttrSrcUrl xmlns:a1611="http://schemas.microsoft.com/office/drawing/2016/11/main" r:id="rId5"/>
              </a:ext>
            </a:extLst>
          </a:blip>
          <a:stretch>
            <a:fillRect/>
          </a:stretch>
        </xdr:blipFill>
        <xdr:spPr>
          <a:xfrm>
            <a:off x="6079926" y="6539419"/>
            <a:ext cx="1701302" cy="1131174"/>
          </a:xfrm>
          <a:prstGeom prst="roundRect">
            <a:avLst>
              <a:gd name="adj" fmla="val 24740"/>
            </a:avLst>
          </a:prstGeom>
          <a:solidFill>
            <a:srgbClr val="FFFFFF">
              <a:shade val="85000"/>
            </a:srgbClr>
          </a:solidFill>
          <a:ln>
            <a:noFill/>
          </a:ln>
          <a:effectLst/>
        </xdr:spPr>
      </xdr:pic>
      <xdr:pic>
        <xdr:nvPicPr>
          <xdr:cNvPr id="29" name="Picture 28">
            <a:extLst>
              <a:ext uri="{FF2B5EF4-FFF2-40B4-BE49-F238E27FC236}">
                <a16:creationId xmlns:a16="http://schemas.microsoft.com/office/drawing/2014/main" id="{FF59C4E9-8466-42FB-83ED-630ACD598141}"/>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4247855" y="6539419"/>
            <a:ext cx="1650532" cy="1131174"/>
          </a:xfrm>
          <a:prstGeom prst="roundRect">
            <a:avLst>
              <a:gd name="adj" fmla="val 25727"/>
            </a:avLst>
          </a:prstGeom>
          <a:solidFill>
            <a:srgbClr val="FFFFFF">
              <a:shade val="85000"/>
            </a:srgbClr>
          </a:solidFill>
          <a:ln>
            <a:noFill/>
          </a:ln>
          <a:effectLst/>
        </xdr:spPr>
      </xdr:pic>
      <xdr:pic>
        <xdr:nvPicPr>
          <xdr:cNvPr id="38" name="Picture 37">
            <a:extLst>
              <a:ext uri="{FF2B5EF4-FFF2-40B4-BE49-F238E27FC236}">
                <a16:creationId xmlns:a16="http://schemas.microsoft.com/office/drawing/2014/main" id="{B171F1D6-FCD2-40CD-ACB3-37260A76DB0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2392815" y="6539420"/>
            <a:ext cx="1697873" cy="1131173"/>
          </a:xfrm>
          <a:prstGeom prst="roundRect">
            <a:avLst>
              <a:gd name="adj" fmla="val 21718"/>
            </a:avLst>
          </a:prstGeom>
          <a:solidFill>
            <a:srgbClr val="FFFFFF">
              <a:shade val="85000"/>
            </a:srgbClr>
          </a:solidFill>
          <a:ln>
            <a:noFill/>
          </a:ln>
          <a:effectLst/>
        </xdr:spPr>
      </xdr:pic>
      <xdr:sp macro="" textlink="'Pivot Tables'!$AP$11">
        <xdr:nvSpPr>
          <xdr:cNvPr id="113" name="TextBox 112">
            <a:extLst>
              <a:ext uri="{FF2B5EF4-FFF2-40B4-BE49-F238E27FC236}">
                <a16:creationId xmlns:a16="http://schemas.microsoft.com/office/drawing/2014/main" id="{1F11DEAE-A359-4041-B313-78FAD26CCBF2}"/>
              </a:ext>
            </a:extLst>
          </xdr:cNvPr>
          <xdr:cNvSpPr txBox="1"/>
        </xdr:nvSpPr>
        <xdr:spPr>
          <a:xfrm>
            <a:off x="4731505" y="7961750"/>
            <a:ext cx="669790" cy="531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43338C-76C1-4EBF-89B6-90DE5A846A30}" type="TxLink">
              <a:rPr lang="en-US" sz="2400" b="0" i="0" u="none" strike="noStrike">
                <a:solidFill>
                  <a:srgbClr val="000000"/>
                </a:solidFill>
                <a:latin typeface="Bahnschrift" panose="020B0502040204020203" pitchFamily="34" charset="0"/>
                <a:cs typeface="Calibri"/>
              </a:rPr>
              <a:pPr algn="ctr"/>
              <a:t>8</a:t>
            </a:fld>
            <a:endParaRPr lang="en-US" sz="2400">
              <a:solidFill>
                <a:schemeClr val="bg1">
                  <a:lumMod val="50000"/>
                </a:schemeClr>
              </a:solidFill>
              <a:latin typeface="Bahnschrift" panose="020B0502040204020203" pitchFamily="34" charset="0"/>
            </a:endParaRPr>
          </a:p>
        </xdr:txBody>
      </xdr:sp>
      <xdr:sp macro="" textlink="">
        <xdr:nvSpPr>
          <xdr:cNvPr id="115" name="TextBox 114">
            <a:extLst>
              <a:ext uri="{FF2B5EF4-FFF2-40B4-BE49-F238E27FC236}">
                <a16:creationId xmlns:a16="http://schemas.microsoft.com/office/drawing/2014/main" id="{6E03BE4C-1502-4C1B-9AAA-7DEEB63857F6}"/>
              </a:ext>
            </a:extLst>
          </xdr:cNvPr>
          <xdr:cNvSpPr txBox="1"/>
        </xdr:nvSpPr>
        <xdr:spPr>
          <a:xfrm>
            <a:off x="2743275" y="8093327"/>
            <a:ext cx="1689191" cy="328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50000"/>
                  </a:schemeClr>
                </a:solidFill>
                <a:latin typeface="Bahnschrift SemiBold" panose="020B0502040204020203" pitchFamily="34" charset="0"/>
              </a:rPr>
              <a:t>km</a:t>
            </a:r>
          </a:p>
        </xdr:txBody>
      </xdr:sp>
      <xdr:sp macro="" textlink="'Pivot Tables'!$AP$10">
        <xdr:nvSpPr>
          <xdr:cNvPr id="114" name="TextBox 113">
            <a:extLst>
              <a:ext uri="{FF2B5EF4-FFF2-40B4-BE49-F238E27FC236}">
                <a16:creationId xmlns:a16="http://schemas.microsoft.com/office/drawing/2014/main" id="{A366660A-3C07-4BEE-B66D-10FEDCBC03D3}"/>
              </a:ext>
            </a:extLst>
          </xdr:cNvPr>
          <xdr:cNvSpPr txBox="1"/>
        </xdr:nvSpPr>
        <xdr:spPr>
          <a:xfrm>
            <a:off x="6415530" y="8082523"/>
            <a:ext cx="937731" cy="328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90F1D1-CF5A-4889-829C-C78101C6785B}" type="TxLink">
              <a:rPr lang="en-US" sz="2400" b="0" i="0" u="none" strike="noStrike">
                <a:solidFill>
                  <a:srgbClr val="000000"/>
                </a:solidFill>
                <a:latin typeface="Bahnschrift" panose="020B0502040204020203" pitchFamily="34" charset="0"/>
                <a:cs typeface="Calibri"/>
              </a:rPr>
              <a:pPr algn="ctr"/>
              <a:t>16</a:t>
            </a:fld>
            <a:endParaRPr lang="en-US" sz="2400">
              <a:solidFill>
                <a:schemeClr val="bg1">
                  <a:lumMod val="50000"/>
                </a:schemeClr>
              </a:solidFill>
              <a:latin typeface="Bahnschrift" panose="020B0502040204020203" pitchFamily="34" charset="0"/>
            </a:endParaRPr>
          </a:p>
        </xdr:txBody>
      </xdr:sp>
      <xdr:sp macro="" textlink="">
        <xdr:nvSpPr>
          <xdr:cNvPr id="116" name="TextBox 115">
            <a:extLst>
              <a:ext uri="{FF2B5EF4-FFF2-40B4-BE49-F238E27FC236}">
                <a16:creationId xmlns:a16="http://schemas.microsoft.com/office/drawing/2014/main" id="{F9ACF663-3C5A-436D-8517-C27DA7877235}"/>
              </a:ext>
            </a:extLst>
          </xdr:cNvPr>
          <xdr:cNvSpPr txBox="1"/>
        </xdr:nvSpPr>
        <xdr:spPr>
          <a:xfrm>
            <a:off x="5054286" y="8094777"/>
            <a:ext cx="707014" cy="327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50000"/>
                  </a:schemeClr>
                </a:solidFill>
                <a:latin typeface="Bahnschrift SemiBold" panose="020B0502040204020203" pitchFamily="34" charset="0"/>
              </a:rPr>
              <a:t>Trips</a:t>
            </a:r>
          </a:p>
        </xdr:txBody>
      </xdr:sp>
      <xdr:sp macro="" textlink="">
        <xdr:nvSpPr>
          <xdr:cNvPr id="117" name="TextBox 116">
            <a:extLst>
              <a:ext uri="{FF2B5EF4-FFF2-40B4-BE49-F238E27FC236}">
                <a16:creationId xmlns:a16="http://schemas.microsoft.com/office/drawing/2014/main" id="{4BA79ECE-8A58-4E5D-8390-67E134F6632B}"/>
              </a:ext>
            </a:extLst>
          </xdr:cNvPr>
          <xdr:cNvSpPr txBox="1"/>
        </xdr:nvSpPr>
        <xdr:spPr>
          <a:xfrm>
            <a:off x="7013159" y="8104614"/>
            <a:ext cx="613438" cy="328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solidFill>
                  <a:schemeClr val="bg1">
                    <a:lumMod val="50000"/>
                  </a:schemeClr>
                </a:solidFill>
                <a:latin typeface="Bahnschrift SemiBold" panose="020B0502040204020203" pitchFamily="34" charset="0"/>
              </a:rPr>
              <a:t>Trips</a:t>
            </a:r>
          </a:p>
        </xdr:txBody>
      </xdr:sp>
      <xdr:sp macro="" textlink="">
        <xdr:nvSpPr>
          <xdr:cNvPr id="118" name="TextBox 117">
            <a:extLst>
              <a:ext uri="{FF2B5EF4-FFF2-40B4-BE49-F238E27FC236}">
                <a16:creationId xmlns:a16="http://schemas.microsoft.com/office/drawing/2014/main" id="{4FBC381C-2BB3-4B1B-A3D2-6F8F7B8B9F80}"/>
              </a:ext>
            </a:extLst>
          </xdr:cNvPr>
          <xdr:cNvSpPr txBox="1"/>
        </xdr:nvSpPr>
        <xdr:spPr>
          <a:xfrm>
            <a:off x="8456311" y="6525010"/>
            <a:ext cx="2056133" cy="329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solidFill>
                <a:latin typeface="Bahnschrift SemiBold" panose="020B0502040204020203" pitchFamily="34" charset="0"/>
              </a:rPr>
              <a:t>Total Trips By Month</a:t>
            </a:r>
          </a:p>
        </xdr:txBody>
      </xdr:sp>
      <xdr:graphicFrame macro="">
        <xdr:nvGraphicFramePr>
          <xdr:cNvPr id="119" name="Chart 118">
            <a:extLst>
              <a:ext uri="{FF2B5EF4-FFF2-40B4-BE49-F238E27FC236}">
                <a16:creationId xmlns:a16="http://schemas.microsoft.com/office/drawing/2014/main" id="{BAFCB497-48D2-4B33-9028-7AB6EE8AEF58}"/>
              </a:ext>
            </a:extLst>
          </xdr:cNvPr>
          <xdr:cNvGraphicFramePr>
            <a:graphicFrameLocks/>
          </xdr:cNvGraphicFramePr>
        </xdr:nvGraphicFramePr>
        <xdr:xfrm>
          <a:off x="8391396" y="6901720"/>
          <a:ext cx="4758832" cy="1883918"/>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120" name="TextBox 119">
            <a:extLst>
              <a:ext uri="{FF2B5EF4-FFF2-40B4-BE49-F238E27FC236}">
                <a16:creationId xmlns:a16="http://schemas.microsoft.com/office/drawing/2014/main" id="{8C204DD0-23E8-4D40-A083-466595F35D7F}"/>
              </a:ext>
            </a:extLst>
          </xdr:cNvPr>
          <xdr:cNvSpPr txBox="1"/>
        </xdr:nvSpPr>
        <xdr:spPr>
          <a:xfrm>
            <a:off x="9001537" y="3945982"/>
            <a:ext cx="827002" cy="320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solidFill>
                <a:latin typeface="Bahnschrift SemiBold" panose="020B0502040204020203" pitchFamily="34" charset="0"/>
              </a:rPr>
              <a:t>Wages</a:t>
            </a:r>
          </a:p>
        </xdr:txBody>
      </xdr:sp>
      <xdr:sp macro="" textlink="">
        <xdr:nvSpPr>
          <xdr:cNvPr id="121" name="TextBox 120">
            <a:extLst>
              <a:ext uri="{FF2B5EF4-FFF2-40B4-BE49-F238E27FC236}">
                <a16:creationId xmlns:a16="http://schemas.microsoft.com/office/drawing/2014/main" id="{2C73A6CB-71FF-48E2-847F-983F2BCCFF13}"/>
              </a:ext>
            </a:extLst>
          </xdr:cNvPr>
          <xdr:cNvSpPr txBox="1"/>
        </xdr:nvSpPr>
        <xdr:spPr>
          <a:xfrm>
            <a:off x="11456470" y="3938137"/>
            <a:ext cx="759175" cy="320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a:solidFill>
                  <a:schemeClr val="tx1"/>
                </a:solidFill>
                <a:latin typeface="Bahnschrift SemiBold" panose="020B0502040204020203" pitchFamily="34" charset="0"/>
              </a:rPr>
              <a:t>Salary</a:t>
            </a:r>
          </a:p>
        </xdr:txBody>
      </xdr:sp>
      <xdr:sp macro="" textlink="">
        <xdr:nvSpPr>
          <xdr:cNvPr id="43" name="Rectangle: Rounded Corners 42">
            <a:extLst>
              <a:ext uri="{FF2B5EF4-FFF2-40B4-BE49-F238E27FC236}">
                <a16:creationId xmlns:a16="http://schemas.microsoft.com/office/drawing/2014/main" id="{6843032C-05D4-41AB-ABCA-BAFF242C69D8}"/>
              </a:ext>
            </a:extLst>
          </xdr:cNvPr>
          <xdr:cNvSpPr/>
        </xdr:nvSpPr>
        <xdr:spPr>
          <a:xfrm>
            <a:off x="8322058" y="4301084"/>
            <a:ext cx="2155717" cy="770735"/>
          </a:xfrm>
          <a:prstGeom prst="roundRect">
            <a:avLst/>
          </a:prstGeom>
          <a:solidFill>
            <a:srgbClr val="FCF9F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
        <xdr:nvSpPr>
          <xdr:cNvPr id="128" name="Rectangle: Rounded Corners 127">
            <a:extLst>
              <a:ext uri="{FF2B5EF4-FFF2-40B4-BE49-F238E27FC236}">
                <a16:creationId xmlns:a16="http://schemas.microsoft.com/office/drawing/2014/main" id="{7D7EFBEA-C511-4270-BEB0-2C9A092B4450}"/>
              </a:ext>
            </a:extLst>
          </xdr:cNvPr>
          <xdr:cNvSpPr/>
        </xdr:nvSpPr>
        <xdr:spPr>
          <a:xfrm>
            <a:off x="8317434" y="5255935"/>
            <a:ext cx="2160341" cy="779678"/>
          </a:xfrm>
          <a:prstGeom prst="roundRect">
            <a:avLst/>
          </a:prstGeom>
          <a:solidFill>
            <a:srgbClr val="FCF9F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sp macro="" textlink="">
        <xdr:nvSpPr>
          <xdr:cNvPr id="129" name="Rectangle: Rounded Corners 128">
            <a:extLst>
              <a:ext uri="{FF2B5EF4-FFF2-40B4-BE49-F238E27FC236}">
                <a16:creationId xmlns:a16="http://schemas.microsoft.com/office/drawing/2014/main" id="{FA0CBA2C-1334-4A55-8BDD-59BB55DBB8F3}"/>
              </a:ext>
            </a:extLst>
          </xdr:cNvPr>
          <xdr:cNvSpPr/>
        </xdr:nvSpPr>
        <xdr:spPr>
          <a:xfrm>
            <a:off x="10788805" y="4303246"/>
            <a:ext cx="2222745" cy="77073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0" name="Rectangle: Rounded Corners 129">
            <a:extLst>
              <a:ext uri="{FF2B5EF4-FFF2-40B4-BE49-F238E27FC236}">
                <a16:creationId xmlns:a16="http://schemas.microsoft.com/office/drawing/2014/main" id="{D156F1B8-604D-4DB7-A69C-0D3AA19277F8}"/>
              </a:ext>
            </a:extLst>
          </xdr:cNvPr>
          <xdr:cNvSpPr/>
        </xdr:nvSpPr>
        <xdr:spPr>
          <a:xfrm>
            <a:off x="10786496" y="5253774"/>
            <a:ext cx="2225057" cy="77967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TextBox 121">
            <a:extLst>
              <a:ext uri="{FF2B5EF4-FFF2-40B4-BE49-F238E27FC236}">
                <a16:creationId xmlns:a16="http://schemas.microsoft.com/office/drawing/2014/main" id="{81B6FA3F-4561-4E36-ADB7-AFF48E3B2307}"/>
              </a:ext>
            </a:extLst>
          </xdr:cNvPr>
          <xdr:cNvSpPr txBox="1"/>
        </xdr:nvSpPr>
        <xdr:spPr>
          <a:xfrm>
            <a:off x="8317637" y="4325017"/>
            <a:ext cx="838559" cy="320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solidFill>
                <a:latin typeface="Bahnschrift SemiBold" panose="020B0502040204020203" pitchFamily="34" charset="0"/>
              </a:rPr>
              <a:t>Driver</a:t>
            </a:r>
          </a:p>
        </xdr:txBody>
      </xdr:sp>
      <xdr:sp macro="" textlink="">
        <xdr:nvSpPr>
          <xdr:cNvPr id="123" name="TextBox 122">
            <a:extLst>
              <a:ext uri="{FF2B5EF4-FFF2-40B4-BE49-F238E27FC236}">
                <a16:creationId xmlns:a16="http://schemas.microsoft.com/office/drawing/2014/main" id="{9298FF03-8EF1-4BCC-A6AB-4C4368586497}"/>
              </a:ext>
            </a:extLst>
          </xdr:cNvPr>
          <xdr:cNvSpPr txBox="1"/>
        </xdr:nvSpPr>
        <xdr:spPr>
          <a:xfrm>
            <a:off x="8313011" y="5275546"/>
            <a:ext cx="838559" cy="32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1"/>
                </a:solidFill>
                <a:latin typeface="Bahnschrift SemiBold" panose="020B0502040204020203" pitchFamily="34" charset="0"/>
              </a:rPr>
              <a:t>Buddy</a:t>
            </a:r>
          </a:p>
        </xdr:txBody>
      </xdr:sp>
      <xdr:sp macro="" textlink="'Pivot Tables'!$AX$9">
        <xdr:nvSpPr>
          <xdr:cNvPr id="124" name="TextBox 123">
            <a:extLst>
              <a:ext uri="{FF2B5EF4-FFF2-40B4-BE49-F238E27FC236}">
                <a16:creationId xmlns:a16="http://schemas.microsoft.com/office/drawing/2014/main" id="{2605C803-99E1-4C3E-B982-1E0E9BDAD54B}"/>
              </a:ext>
            </a:extLst>
          </xdr:cNvPr>
          <xdr:cNvSpPr txBox="1"/>
        </xdr:nvSpPr>
        <xdr:spPr>
          <a:xfrm>
            <a:off x="8273720" y="4522096"/>
            <a:ext cx="1705052" cy="439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00B46ED9-1601-4AB1-93E2-5F2D96A7137C}" type="TxLink">
              <a:rPr lang="en-US" sz="1800" b="0" i="0" u="none" strike="noStrike">
                <a:solidFill>
                  <a:srgbClr val="000000"/>
                </a:solidFill>
                <a:latin typeface="Bahnschrift SemiBold SemiConden" panose="020B0502040204020203" pitchFamily="34" charset="0"/>
                <a:cs typeface="Calibri"/>
              </a:rPr>
              <a:pPr algn="l"/>
              <a:t> ฿11,200 </a:t>
            </a:fld>
            <a:endParaRPr lang="en-US" sz="1800">
              <a:solidFill>
                <a:schemeClr val="tx1"/>
              </a:solidFill>
              <a:latin typeface="Bahnschrift SemiBold SemiConden" panose="020B0502040204020203" pitchFamily="34" charset="0"/>
            </a:endParaRPr>
          </a:p>
        </xdr:txBody>
      </xdr:sp>
      <xdr:sp macro="" textlink="'Pivot Tables'!$BB$9">
        <xdr:nvSpPr>
          <xdr:cNvPr id="126" name="TextBox 125">
            <a:extLst>
              <a:ext uri="{FF2B5EF4-FFF2-40B4-BE49-F238E27FC236}">
                <a16:creationId xmlns:a16="http://schemas.microsoft.com/office/drawing/2014/main" id="{84BA6053-3B5D-490C-9B32-08B79831A547}"/>
              </a:ext>
            </a:extLst>
          </xdr:cNvPr>
          <xdr:cNvSpPr txBox="1"/>
        </xdr:nvSpPr>
        <xdr:spPr>
          <a:xfrm>
            <a:off x="8245226" y="5498554"/>
            <a:ext cx="2100050" cy="428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62BFEF4-4B8A-4108-906E-F87F0803D33B}" type="TxLink">
              <a:rPr lang="en-US" sz="1800" b="0" i="0" u="none" strike="noStrike">
                <a:solidFill>
                  <a:srgbClr val="000000"/>
                </a:solidFill>
                <a:latin typeface="Bahnschrift SemiBold SemiConden" panose="020B0502040204020203" pitchFamily="34" charset="0"/>
                <a:cs typeface="Calibri"/>
              </a:rPr>
              <a:pPr algn="l"/>
              <a:t> ฿3,900 </a:t>
            </a:fld>
            <a:endParaRPr lang="en-US" sz="1800">
              <a:solidFill>
                <a:schemeClr val="tx1"/>
              </a:solidFill>
              <a:latin typeface="Bahnschrift SemiBold SemiConden" panose="020B0502040204020203" pitchFamily="34" charset="0"/>
            </a:endParaRPr>
          </a:p>
        </xdr:txBody>
      </xdr:sp>
      <xdr:cxnSp macro="">
        <xdr:nvCxnSpPr>
          <xdr:cNvPr id="53" name="Straight Connector 52">
            <a:extLst>
              <a:ext uri="{FF2B5EF4-FFF2-40B4-BE49-F238E27FC236}">
                <a16:creationId xmlns:a16="http://schemas.microsoft.com/office/drawing/2014/main" id="{2EFE92B9-C51F-4705-B2A0-F83D33AF1094}"/>
              </a:ext>
            </a:extLst>
          </xdr:cNvPr>
          <xdr:cNvCxnSpPr/>
        </xdr:nvCxnSpPr>
        <xdr:spPr>
          <a:xfrm>
            <a:off x="10639565" y="4248926"/>
            <a:ext cx="0" cy="822894"/>
          </a:xfrm>
          <a:prstGeom prst="line">
            <a:avLst/>
          </a:prstGeom>
          <a:ln w="190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BFFFE49D-6593-4BA2-BFC9-094688194A6B}"/>
              </a:ext>
            </a:extLst>
          </xdr:cNvPr>
          <xdr:cNvCxnSpPr/>
        </xdr:nvCxnSpPr>
        <xdr:spPr>
          <a:xfrm flipH="1" flipV="1">
            <a:off x="8472289" y="5167191"/>
            <a:ext cx="4350266" cy="0"/>
          </a:xfrm>
          <a:prstGeom prst="line">
            <a:avLst/>
          </a:prstGeom>
          <a:ln w="19050">
            <a:solidFill>
              <a:schemeClr val="bg1">
                <a:lumMod val="50000"/>
              </a:schemeClr>
            </a:solidFill>
          </a:ln>
        </xdr:spPr>
        <xdr:style>
          <a:lnRef idx="1">
            <a:schemeClr val="dk1"/>
          </a:lnRef>
          <a:fillRef idx="0">
            <a:schemeClr val="dk1"/>
          </a:fillRef>
          <a:effectRef idx="0">
            <a:schemeClr val="dk1"/>
          </a:effectRef>
          <a:fontRef idx="minor">
            <a:schemeClr val="tx1"/>
          </a:fontRef>
        </xdr:style>
      </xdr:cxnSp>
      <xdr:cxnSp macro="">
        <xdr:nvCxnSpPr>
          <xdr:cNvPr id="132" name="Straight Connector 131">
            <a:extLst>
              <a:ext uri="{FF2B5EF4-FFF2-40B4-BE49-F238E27FC236}">
                <a16:creationId xmlns:a16="http://schemas.microsoft.com/office/drawing/2014/main" id="{89E51C9F-B7B1-410B-8E0F-10AC11EE10A2}"/>
              </a:ext>
            </a:extLst>
          </xdr:cNvPr>
          <xdr:cNvCxnSpPr/>
        </xdr:nvCxnSpPr>
        <xdr:spPr>
          <a:xfrm>
            <a:off x="10634942" y="5262418"/>
            <a:ext cx="0" cy="822892"/>
          </a:xfrm>
          <a:prstGeom prst="line">
            <a:avLst/>
          </a:prstGeom>
          <a:ln w="190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sp macro="" textlink="'Pivot Tables'!$AY$9">
        <xdr:nvSpPr>
          <xdr:cNvPr id="133" name="TextBox 132">
            <a:extLst>
              <a:ext uri="{FF2B5EF4-FFF2-40B4-BE49-F238E27FC236}">
                <a16:creationId xmlns:a16="http://schemas.microsoft.com/office/drawing/2014/main" id="{ADDA8062-5EF5-4E7A-A943-D23BC0124CFA}"/>
              </a:ext>
            </a:extLst>
          </xdr:cNvPr>
          <xdr:cNvSpPr txBox="1"/>
        </xdr:nvSpPr>
        <xdr:spPr>
          <a:xfrm>
            <a:off x="10770351" y="4448330"/>
            <a:ext cx="2131414" cy="4393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D8C16A-7EB5-49C7-BD81-3AA63EC2C151}" type="TxLink">
              <a:rPr lang="en-US" sz="1800" b="0" i="0" u="none" strike="noStrike">
                <a:solidFill>
                  <a:srgbClr val="CF5C4A"/>
                </a:solidFill>
                <a:latin typeface="Bahnschrift SemiBold SemiConden" panose="020B0502040204020203" pitchFamily="34" charset="0"/>
                <a:cs typeface="Calibri"/>
              </a:rPr>
              <a:pPr algn="ctr"/>
              <a:t> ฿9,000 </a:t>
            </a:fld>
            <a:endParaRPr lang="en-US" sz="1800">
              <a:solidFill>
                <a:srgbClr val="CF5C4A"/>
              </a:solidFill>
              <a:latin typeface="Bahnschrift SemiBold SemiConden" panose="020B0502040204020203" pitchFamily="34" charset="0"/>
            </a:endParaRPr>
          </a:p>
        </xdr:txBody>
      </xdr:sp>
      <xdr:sp macro="" textlink="'Pivot Tables'!$BC$9">
        <xdr:nvSpPr>
          <xdr:cNvPr id="134" name="TextBox 133">
            <a:extLst>
              <a:ext uri="{FF2B5EF4-FFF2-40B4-BE49-F238E27FC236}">
                <a16:creationId xmlns:a16="http://schemas.microsoft.com/office/drawing/2014/main" id="{B1160611-4154-487A-978C-0DFF04CC86D3}"/>
              </a:ext>
            </a:extLst>
          </xdr:cNvPr>
          <xdr:cNvSpPr txBox="1"/>
        </xdr:nvSpPr>
        <xdr:spPr>
          <a:xfrm>
            <a:off x="10764572" y="5476946"/>
            <a:ext cx="2142973" cy="428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56A1BF-C346-4E5E-9455-91EEE8657A2C}" type="TxLink">
              <a:rPr lang="en-US" sz="1800" b="0" i="0" u="none" strike="noStrike">
                <a:solidFill>
                  <a:srgbClr val="CF5C4A"/>
                </a:solidFill>
                <a:latin typeface="Bahnschrift SemiBold SemiConden" panose="020B0502040204020203" pitchFamily="34" charset="0"/>
                <a:cs typeface="Calibri"/>
              </a:rPr>
              <a:pPr algn="ctr"/>
              <a:t> ฿3,100 </a:t>
            </a:fld>
            <a:endParaRPr lang="en-US" sz="1800">
              <a:solidFill>
                <a:srgbClr val="CF5C4A"/>
              </a:solidFill>
              <a:latin typeface="Bahnschrift SemiBold SemiConden" panose="020B0502040204020203" pitchFamily="34" charset="0"/>
            </a:endParaRPr>
          </a:p>
        </xdr:txBody>
      </xdr:sp>
      <xdr:sp macro="" textlink="">
        <xdr:nvSpPr>
          <xdr:cNvPr id="142" name="TextBox 141">
            <a:extLst>
              <a:ext uri="{FF2B5EF4-FFF2-40B4-BE49-F238E27FC236}">
                <a16:creationId xmlns:a16="http://schemas.microsoft.com/office/drawing/2014/main" id="{7F73C705-6518-4831-9ED8-753A3327016D}"/>
              </a:ext>
            </a:extLst>
          </xdr:cNvPr>
          <xdr:cNvSpPr txBox="1"/>
        </xdr:nvSpPr>
        <xdr:spPr>
          <a:xfrm>
            <a:off x="11465224" y="4766265"/>
            <a:ext cx="741667" cy="279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cs typeface="Calibri"/>
              </a:rPr>
              <a:t>Thai Baht</a:t>
            </a:r>
          </a:p>
        </xdr:txBody>
      </xdr:sp>
      <xdr:sp macro="" textlink="">
        <xdr:nvSpPr>
          <xdr:cNvPr id="145" name="TextBox 144">
            <a:extLst>
              <a:ext uri="{FF2B5EF4-FFF2-40B4-BE49-F238E27FC236}">
                <a16:creationId xmlns:a16="http://schemas.microsoft.com/office/drawing/2014/main" id="{E1C8E7BB-58E8-4A8E-A74F-A8122F6D261C}"/>
              </a:ext>
            </a:extLst>
          </xdr:cNvPr>
          <xdr:cNvSpPr txBox="1"/>
        </xdr:nvSpPr>
        <xdr:spPr>
          <a:xfrm>
            <a:off x="11465224" y="5790559"/>
            <a:ext cx="741667" cy="279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b="0" i="0" u="none" strike="noStrike">
                <a:solidFill>
                  <a:srgbClr val="000000"/>
                </a:solidFill>
                <a:latin typeface="Calibri"/>
                <a:cs typeface="Calibri"/>
              </a:rPr>
              <a:t>Thai Baht</a:t>
            </a:r>
          </a:p>
        </xdr:txBody>
      </xdr:sp>
      <xdr:graphicFrame macro="">
        <xdr:nvGraphicFramePr>
          <xdr:cNvPr id="147" name="Chart 146">
            <a:extLst>
              <a:ext uri="{FF2B5EF4-FFF2-40B4-BE49-F238E27FC236}">
                <a16:creationId xmlns:a16="http://schemas.microsoft.com/office/drawing/2014/main" id="{923A769E-8019-4CE9-BDBE-1336A12209B1}"/>
              </a:ext>
            </a:extLst>
          </xdr:cNvPr>
          <xdr:cNvGraphicFramePr>
            <a:graphicFrameLocks/>
          </xdr:cNvGraphicFramePr>
        </xdr:nvGraphicFramePr>
        <xdr:xfrm>
          <a:off x="9138860" y="5245132"/>
          <a:ext cx="1414031" cy="918264"/>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AP$27">
        <xdr:nvSpPr>
          <xdr:cNvPr id="112" name="TextBox 111">
            <a:extLst>
              <a:ext uri="{FF2B5EF4-FFF2-40B4-BE49-F238E27FC236}">
                <a16:creationId xmlns:a16="http://schemas.microsoft.com/office/drawing/2014/main" id="{0786F9A5-6205-4D04-B74F-5ECB5169DB7C}"/>
              </a:ext>
            </a:extLst>
          </xdr:cNvPr>
          <xdr:cNvSpPr txBox="1"/>
        </xdr:nvSpPr>
        <xdr:spPr>
          <a:xfrm>
            <a:off x="2652259" y="8093327"/>
            <a:ext cx="1084167" cy="328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715F2F-42E3-4CE2-AF1A-AE8F461E1F38}" type="TxLink">
              <a:rPr lang="en-US" sz="2400" b="0" i="0" u="none" strike="noStrike">
                <a:solidFill>
                  <a:srgbClr val="000000"/>
                </a:solidFill>
                <a:latin typeface="Bahnschrift" panose="020B0502040204020203" pitchFamily="34" charset="0"/>
                <a:cs typeface="Calibri"/>
              </a:rPr>
              <a:pPr algn="ctr"/>
              <a:t>868</a:t>
            </a:fld>
            <a:endParaRPr lang="en-US" sz="2400" b="1">
              <a:solidFill>
                <a:schemeClr val="bg1">
                  <a:lumMod val="50000"/>
                </a:schemeClr>
              </a:solidFill>
              <a:latin typeface="Bahnschrift" panose="020B0502040204020203" pitchFamily="34" charset="0"/>
            </a:endParaRPr>
          </a:p>
        </xdr:txBody>
      </xdr:sp>
      <xdr:graphicFrame macro="">
        <xdr:nvGraphicFramePr>
          <xdr:cNvPr id="146" name="Chart 145">
            <a:extLst>
              <a:ext uri="{FF2B5EF4-FFF2-40B4-BE49-F238E27FC236}">
                <a16:creationId xmlns:a16="http://schemas.microsoft.com/office/drawing/2014/main" id="{8BD4F8C2-82B1-4D68-8F0F-DBE952BA4898}"/>
              </a:ext>
            </a:extLst>
          </xdr:cNvPr>
          <xdr:cNvGraphicFramePr>
            <a:graphicFrameLocks/>
          </xdr:cNvGraphicFramePr>
        </xdr:nvGraphicFramePr>
        <xdr:xfrm>
          <a:off x="9133081" y="4127773"/>
          <a:ext cx="1425589" cy="1039421"/>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149" name="Rectangle 148">
            <a:extLst>
              <a:ext uri="{FF2B5EF4-FFF2-40B4-BE49-F238E27FC236}">
                <a16:creationId xmlns:a16="http://schemas.microsoft.com/office/drawing/2014/main" id="{3FB426CC-540C-46B6-B4AF-2E508EF05E5E}"/>
              </a:ext>
            </a:extLst>
          </xdr:cNvPr>
          <xdr:cNvSpPr/>
        </xdr:nvSpPr>
        <xdr:spPr>
          <a:xfrm>
            <a:off x="2052089" y="8726546"/>
            <a:ext cx="11680599" cy="73530"/>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91597</xdr:colOff>
      <xdr:row>3</xdr:row>
      <xdr:rowOff>44655</xdr:rowOff>
    </xdr:from>
    <xdr:to>
      <xdr:col>3</xdr:col>
      <xdr:colOff>16763</xdr:colOff>
      <xdr:row>38</xdr:row>
      <xdr:rowOff>196136</xdr:rowOff>
    </xdr:to>
    <xdr:grpSp>
      <xdr:nvGrpSpPr>
        <xdr:cNvPr id="12" name="Dashboard left pane">
          <a:extLst>
            <a:ext uri="{FF2B5EF4-FFF2-40B4-BE49-F238E27FC236}">
              <a16:creationId xmlns:a16="http://schemas.microsoft.com/office/drawing/2014/main" id="{C87D1DA2-DFB4-4664-9A67-9B0612AC0107}"/>
            </a:ext>
          </a:extLst>
        </xdr:cNvPr>
        <xdr:cNvGrpSpPr/>
      </xdr:nvGrpSpPr>
      <xdr:grpSpPr>
        <a:xfrm>
          <a:off x="91597" y="649773"/>
          <a:ext cx="1975842" cy="7211187"/>
          <a:chOff x="91597" y="649773"/>
          <a:chExt cx="1975842" cy="7211187"/>
        </a:xfrm>
      </xdr:grpSpPr>
      <xdr:sp macro="" textlink="">
        <xdr:nvSpPr>
          <xdr:cNvPr id="57" name="Flowchart: Connector 56">
            <a:extLst>
              <a:ext uri="{FF2B5EF4-FFF2-40B4-BE49-F238E27FC236}">
                <a16:creationId xmlns:a16="http://schemas.microsoft.com/office/drawing/2014/main" id="{DA399B38-3986-4098-BA3A-A8BEBA465714}"/>
              </a:ext>
            </a:extLst>
          </xdr:cNvPr>
          <xdr:cNvSpPr/>
        </xdr:nvSpPr>
        <xdr:spPr>
          <a:xfrm>
            <a:off x="198734" y="3917728"/>
            <a:ext cx="651129" cy="637931"/>
          </a:xfrm>
          <a:prstGeom prst="flowChartConnector">
            <a:avLst/>
          </a:prstGeom>
          <a:solidFill>
            <a:srgbClr val="4249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0A11A29F-05FA-427E-ADE1-C43A73BB5B30}"/>
              </a:ext>
            </a:extLst>
          </xdr:cNvPr>
          <xdr:cNvGrpSpPr/>
        </xdr:nvGrpSpPr>
        <xdr:grpSpPr>
          <a:xfrm>
            <a:off x="91597" y="649773"/>
            <a:ext cx="1975842" cy="7211187"/>
            <a:chOff x="91597" y="649773"/>
            <a:chExt cx="1975842" cy="7211187"/>
          </a:xfrm>
        </xdr:grpSpPr>
        <xdr:pic>
          <xdr:nvPicPr>
            <xdr:cNvPr id="22" name="Picture 21">
              <a:extLst>
                <a:ext uri="{FF2B5EF4-FFF2-40B4-BE49-F238E27FC236}">
                  <a16:creationId xmlns:a16="http://schemas.microsoft.com/office/drawing/2014/main" id="{4809852E-6CCA-45BE-B1CB-8DEFBF79E413}"/>
                </a:ext>
              </a:extLst>
            </xdr:cNvPr>
            <xdr:cNvPicPr>
              <a:picLocks noChangeAspect="1"/>
            </xdr:cNvPicPr>
          </xdr:nvPicPr>
          <xdr:blipFill>
            <a:blip xmlns:r="http://schemas.openxmlformats.org/officeDocument/2006/relationships" r:embed="rId13" cstate="print">
              <a:duotone>
                <a:schemeClr val="bg2">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14"/>
                </a:ext>
              </a:extLst>
            </a:blip>
            <a:stretch>
              <a:fillRect/>
            </a:stretch>
          </xdr:blipFill>
          <xdr:spPr>
            <a:xfrm>
              <a:off x="553957" y="649773"/>
              <a:ext cx="976534" cy="862247"/>
            </a:xfrm>
            <a:prstGeom prst="rect">
              <a:avLst/>
            </a:prstGeom>
          </xdr:spPr>
        </xdr:pic>
        <xdr:sp macro="[0]!Schedule" textlink="">
          <xdr:nvSpPr>
            <xdr:cNvPr id="48" name="TextBox 47">
              <a:extLst>
                <a:ext uri="{FF2B5EF4-FFF2-40B4-BE49-F238E27FC236}">
                  <a16:creationId xmlns:a16="http://schemas.microsoft.com/office/drawing/2014/main" id="{D20CD77C-8946-480E-89E1-965908A0A006}"/>
                </a:ext>
              </a:extLst>
            </xdr:cNvPr>
            <xdr:cNvSpPr txBox="1"/>
          </xdr:nvSpPr>
          <xdr:spPr>
            <a:xfrm>
              <a:off x="193548" y="2249643"/>
              <a:ext cx="1686268" cy="490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50000"/>
                    </a:schemeClr>
                  </a:solidFill>
                  <a:latin typeface="Bahnschrift SemiBold" panose="020B0502040204020203" pitchFamily="34" charset="0"/>
                </a:rPr>
                <a:t>Schedule</a:t>
              </a:r>
            </a:p>
          </xdr:txBody>
        </xdr:sp>
        <xdr:sp macro="[0]!Dashboard" textlink="">
          <xdr:nvSpPr>
            <xdr:cNvPr id="25" name="TextBox 24">
              <a:extLst>
                <a:ext uri="{FF2B5EF4-FFF2-40B4-BE49-F238E27FC236}">
                  <a16:creationId xmlns:a16="http://schemas.microsoft.com/office/drawing/2014/main" id="{90A42582-F89F-422B-AA6C-0F213771A084}"/>
                </a:ext>
              </a:extLst>
            </xdr:cNvPr>
            <xdr:cNvSpPr txBox="1"/>
          </xdr:nvSpPr>
          <xdr:spPr>
            <a:xfrm>
              <a:off x="193548" y="1728239"/>
              <a:ext cx="1686268" cy="486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rgbClr val="48515F"/>
                  </a:solidFill>
                  <a:latin typeface="Bahnschrift SemiBold" panose="020B0502040204020203" pitchFamily="34" charset="0"/>
                </a:rPr>
                <a:t>Dashboard</a:t>
              </a:r>
            </a:p>
          </xdr:txBody>
        </xdr:sp>
        <xdr:sp macro="" textlink="">
          <xdr:nvSpPr>
            <xdr:cNvPr id="45" name="TextBox 44">
              <a:extLst>
                <a:ext uri="{FF2B5EF4-FFF2-40B4-BE49-F238E27FC236}">
                  <a16:creationId xmlns:a16="http://schemas.microsoft.com/office/drawing/2014/main" id="{F23CB384-06BF-45C4-92BF-049A3484D826}"/>
                </a:ext>
              </a:extLst>
            </xdr:cNvPr>
            <xdr:cNvSpPr txBox="1"/>
          </xdr:nvSpPr>
          <xdr:spPr>
            <a:xfrm>
              <a:off x="91597" y="3236573"/>
              <a:ext cx="1230082" cy="495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rgbClr val="C00000"/>
                  </a:solidFill>
                  <a:latin typeface="Bahnschrift SemiBold" panose="020B0502040204020203" pitchFamily="34" charset="0"/>
                </a:rPr>
                <a:t>Drivers</a:t>
              </a:r>
            </a:p>
          </xdr:txBody>
        </xdr:sp>
        <mc:AlternateContent xmlns:mc="http://schemas.openxmlformats.org/markup-compatibility/2006">
          <mc:Choice xmlns:a14="http://schemas.microsoft.com/office/drawing/2010/main" Requires="a14">
            <xdr:graphicFrame macro="">
              <xdr:nvGraphicFramePr>
                <xdr:cNvPr id="47" name="Month">
                  <a:extLst>
                    <a:ext uri="{FF2B5EF4-FFF2-40B4-BE49-F238E27FC236}">
                      <a16:creationId xmlns:a16="http://schemas.microsoft.com/office/drawing/2014/main" id="{C7526408-BBDD-4B42-BAE0-83BFE18F8C49}"/>
                    </a:ext>
                  </a:extLst>
                </xdr:cNvPr>
                <xdr:cNvGraphicFramePr>
                  <a:graphicFrameLocks noMove="1" noResize="1"/>
                </xdr:cNvGraphicFramePr>
              </xdr:nvGraphicFramePr>
              <xdr:xfrm>
                <a:off x="206873" y="6505649"/>
                <a:ext cx="1827352" cy="1355311"/>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206873" y="6505649"/>
                  <a:ext cx="1827352" cy="13553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1" name="Driver">
                  <a:extLst>
                    <a:ext uri="{FF2B5EF4-FFF2-40B4-BE49-F238E27FC236}">
                      <a16:creationId xmlns:a16="http://schemas.microsoft.com/office/drawing/2014/main" id="{44A5CAB5-D577-4CE8-BB02-F10C7F8EB8D8}"/>
                    </a:ext>
                  </a:extLst>
                </xdr:cNvPr>
                <xdr:cNvGraphicFramePr>
                  <a:graphicFrameLocks noMove="1" noResize="1"/>
                </xdr:cNvGraphicFramePr>
              </xdr:nvGraphicFramePr>
              <xdr:xfrm>
                <a:off x="841322" y="3750888"/>
                <a:ext cx="1226117" cy="1728621"/>
              </xdr:xfrm>
              <a:graphic>
                <a:graphicData uri="http://schemas.microsoft.com/office/drawing/2010/slicer">
                  <sle:slicer xmlns:sle="http://schemas.microsoft.com/office/drawing/2010/slicer" name="Driver"/>
                </a:graphicData>
              </a:graphic>
            </xdr:graphicFrame>
          </mc:Choice>
          <mc:Fallback>
            <xdr:sp macro="" textlink="">
              <xdr:nvSpPr>
                <xdr:cNvPr id="0" name=""/>
                <xdr:cNvSpPr>
                  <a:spLocks noTextEdit="1"/>
                </xdr:cNvSpPr>
              </xdr:nvSpPr>
              <xdr:spPr>
                <a:xfrm>
                  <a:off x="841322" y="3750888"/>
                  <a:ext cx="1226117" cy="17286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58" name="Flowchart: Connector 57">
              <a:extLst>
                <a:ext uri="{FF2B5EF4-FFF2-40B4-BE49-F238E27FC236}">
                  <a16:creationId xmlns:a16="http://schemas.microsoft.com/office/drawing/2014/main" id="{D0C2A04A-7550-442D-BFE4-0CCFF1541707}"/>
                </a:ext>
              </a:extLst>
            </xdr:cNvPr>
            <xdr:cNvSpPr/>
          </xdr:nvSpPr>
          <xdr:spPr>
            <a:xfrm>
              <a:off x="202151" y="4655016"/>
              <a:ext cx="651129" cy="637932"/>
            </a:xfrm>
            <a:prstGeom prst="flowChartConnector">
              <a:avLst/>
            </a:prstGeom>
            <a:solidFill>
              <a:srgbClr val="4249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 name="Picture 19">
              <a:extLst>
                <a:ext uri="{FF2B5EF4-FFF2-40B4-BE49-F238E27FC236}">
                  <a16:creationId xmlns:a16="http://schemas.microsoft.com/office/drawing/2014/main" id="{2B7CFAED-6A36-481D-B5C9-4968DF61B6A5}"/>
                </a:ext>
              </a:extLst>
            </xdr:cNvPr>
            <xdr:cNvPicPr>
              <a:picLocks noChangeAspect="1"/>
            </xdr:cNvPicPr>
          </xdr:nvPicPr>
          <xdr:blipFill rotWithShape="1">
            <a:blip xmlns:r="http://schemas.openxmlformats.org/officeDocument/2006/relationships" r:embed="rId15" cstate="print">
              <a:grayscl/>
              <a:extLst>
                <a:ext uri="{BEBA8EAE-BF5A-486C-A8C5-ECC9F3942E4B}">
                  <a14:imgProps xmlns:a14="http://schemas.microsoft.com/office/drawing/2010/main">
                    <a14:imgLayer r:embed="rId16">
                      <a14:imgEffect>
                        <a14:backgroundRemoval t="10000" b="90000" l="10000" r="90000">
                          <a14:foregroundMark x1="51575" y1="17778" x2="42788" y2="19461"/>
                          <a14:foregroundMark x1="37010" y1="31686" x2="38058" y2="41000"/>
                          <a14:foregroundMark x1="38058" y1="41000" x2="52362" y2="20556"/>
                          <a14:foregroundMark x1="52362" y1="20556" x2="51706" y2="16444"/>
                          <a14:foregroundMark x1="59580" y1="57556" x2="59580" y2="57556"/>
                          <a14:foregroundMark x1="56955" y1="59111" x2="63911" y2="56556"/>
                          <a14:backgroundMark x1="50394" y1="66444" x2="66667" y2="65333"/>
                          <a14:backgroundMark x1="66667" y1="65333" x2="68373" y2="64444"/>
                          <a14:backgroundMark x1="39239" y1="56778" x2="30709" y2="48556"/>
                          <a14:backgroundMark x1="30709" y1="48556" x2="27165" y2="36111"/>
                          <a14:backgroundMark x1="27165" y1="36111" x2="33465" y2="23333"/>
                          <a14:backgroundMark x1="33465" y1="23333" x2="42913" y2="17333"/>
                          <a14:backgroundMark x1="42913" y1="17333" x2="46194" y2="16889"/>
                          <a14:backgroundMark x1="69816" y1="56556" x2="73360" y2="44333"/>
                          <a14:backgroundMark x1="73360" y1="44333" x2="72047" y2="32667"/>
                          <a14:backgroundMark x1="72047" y1="32667" x2="64304" y2="18667"/>
                          <a14:backgroundMark x1="39483" y1="20313" x2="35055" y2="28125"/>
                          <a14:backgroundMark x1="36162" y1="27813" x2="34686" y2="30938"/>
                          <a14:backgroundMark x1="41697" y1="18438" x2="37269" y2="20313"/>
                        </a14:backgroundRemoval>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17"/>
                </a:ext>
              </a:extLst>
            </a:blip>
            <a:srcRect l="29258" t="13175" r="24386" b="32756"/>
            <a:stretch/>
          </xdr:blipFill>
          <xdr:spPr>
            <a:xfrm>
              <a:off x="261862" y="4636783"/>
              <a:ext cx="477237" cy="649597"/>
            </a:xfrm>
            <a:prstGeom prst="rect">
              <a:avLst/>
            </a:prstGeom>
          </xdr:spPr>
        </xdr:pic>
        <xdr:pic>
          <xdr:nvPicPr>
            <xdr:cNvPr id="13" name="Picture 12">
              <a:extLst>
                <a:ext uri="{FF2B5EF4-FFF2-40B4-BE49-F238E27FC236}">
                  <a16:creationId xmlns:a16="http://schemas.microsoft.com/office/drawing/2014/main" id="{8C4E4054-5450-4574-B905-5C4F83D82FB5}"/>
                </a:ext>
              </a:extLst>
            </xdr:cNvPr>
            <xdr:cNvPicPr>
              <a:picLocks noChangeAspect="1"/>
            </xdr:cNvPicPr>
          </xdr:nvPicPr>
          <xdr:blipFill rotWithShape="1">
            <a:blip xmlns:r="http://schemas.openxmlformats.org/officeDocument/2006/relationships" r:embed="rId18" cstate="print">
              <a:grayscl/>
              <a:extLst>
                <a:ext uri="{BEBA8EAE-BF5A-486C-A8C5-ECC9F3942E4B}">
                  <a14:imgProps xmlns:a14="http://schemas.microsoft.com/office/drawing/2010/main">
                    <a14:imgLayer r:embed="rId19">
                      <a14:imgEffect>
                        <a14:backgroundRemoval t="4583" b="90000" l="10000" r="90000">
                          <a14:foregroundMark x1="25500" y1="22167" x2="25500" y2="22167"/>
                          <a14:foregroundMark x1="22125" y1="23083" x2="65500" y2="19917"/>
                          <a14:foregroundMark x1="75375" y1="24250" x2="66000" y2="10333"/>
                          <a14:foregroundMark x1="66000" y1="10333" x2="45750" y2="583"/>
                          <a14:foregroundMark x1="45750" y1="583" x2="24125" y2="4583"/>
                          <a14:foregroundMark x1="24125" y1="4583" x2="17375" y2="18750"/>
                          <a14:foregroundMark x1="17375" y1="18750" x2="19375" y2="28083"/>
                          <a14:foregroundMark x1="60500" y1="7917" x2="76250" y2="16167"/>
                          <a14:foregroundMark x1="76250" y1="16167" x2="76750" y2="17417"/>
                          <a14:foregroundMark x1="82517" y1="59058" x2="82375" y2="61083"/>
                          <a14:foregroundMark x1="83500" y1="45083" x2="82702" y2="56439"/>
                          <a14:foregroundMark x1="77317" y1="64091" x2="63875" y2="72083"/>
                          <a14:foregroundMark x1="82375" y1="61083" x2="80169" y2="62394"/>
                          <a14:foregroundMark x1="63875" y1="72083" x2="40375" y2="71583"/>
                          <a14:foregroundMark x1="40375" y1="71583" x2="30407" y2="68740"/>
                          <a14:foregroundMark x1="79255" y1="57244" x2="77660" y2="62544"/>
                          <a14:backgroundMark x1="36375" y1="73583" x2="59750" y2="76667"/>
                          <a14:backgroundMark x1="59750" y1="76667" x2="81000" y2="64250"/>
                          <a14:backgroundMark x1="81000" y1="64250" x2="81952" y2="63107"/>
                          <a14:backgroundMark x1="17553" y1="40283" x2="26596" y2="69258"/>
                          <a14:backgroundMark x1="82652" y1="57689" x2="90426" y2="46643"/>
                          <a14:backgroundMark x1="71277" y1="73852" x2="79102" y2="62733"/>
                        </a14:backgroundRemoval>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20"/>
                </a:ext>
              </a:extLst>
            </a:blip>
            <a:srcRect l="16983" t="1811" r="8967" b="26404"/>
            <a:stretch/>
          </xdr:blipFill>
          <xdr:spPr>
            <a:xfrm>
              <a:off x="360641" y="3974160"/>
              <a:ext cx="389555" cy="561923"/>
            </a:xfrm>
            <a:prstGeom prst="rect">
              <a:avLst/>
            </a:prstGeom>
          </xdr:spPr>
        </xdr:pic>
        <xdr:sp macro="" textlink="">
          <xdr:nvSpPr>
            <xdr:cNvPr id="46" name="TextBox 45">
              <a:extLst>
                <a:ext uri="{FF2B5EF4-FFF2-40B4-BE49-F238E27FC236}">
                  <a16:creationId xmlns:a16="http://schemas.microsoft.com/office/drawing/2014/main" id="{5877C2B1-3792-4E07-9D9C-A619CF16B09F}"/>
                </a:ext>
              </a:extLst>
            </xdr:cNvPr>
            <xdr:cNvSpPr txBox="1"/>
          </xdr:nvSpPr>
          <xdr:spPr>
            <a:xfrm>
              <a:off x="91597" y="6080905"/>
              <a:ext cx="1207874" cy="497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rgbClr val="C00000"/>
                  </a:solidFill>
                  <a:latin typeface="Bahnschrift SemiBold" panose="020B0502040204020203" pitchFamily="34" charset="0"/>
                </a:rPr>
                <a:t>Months</a:t>
              </a:r>
            </a:p>
          </xdr:txBody>
        </xdr:sp>
      </xdr:grpSp>
    </xdr:grpSp>
    <xdr:clientData/>
  </xdr:twoCellAnchor>
  <xdr:twoCellAnchor>
    <xdr:from>
      <xdr:col>0</xdr:col>
      <xdr:colOff>0</xdr:colOff>
      <xdr:row>0</xdr:row>
      <xdr:rowOff>3395</xdr:rowOff>
    </xdr:from>
    <xdr:to>
      <xdr:col>3</xdr:col>
      <xdr:colOff>22481</xdr:colOff>
      <xdr:row>43</xdr:row>
      <xdr:rowOff>134471</xdr:rowOff>
    </xdr:to>
    <xdr:grpSp>
      <xdr:nvGrpSpPr>
        <xdr:cNvPr id="151" name="Dashboard selector">
          <a:extLst>
            <a:ext uri="{FF2B5EF4-FFF2-40B4-BE49-F238E27FC236}">
              <a16:creationId xmlns:a16="http://schemas.microsoft.com/office/drawing/2014/main" id="{593515A0-ADCB-493C-88C8-AF0E5DCCAD02}"/>
            </a:ext>
          </a:extLst>
        </xdr:cNvPr>
        <xdr:cNvGrpSpPr/>
      </xdr:nvGrpSpPr>
      <xdr:grpSpPr>
        <a:xfrm>
          <a:off x="0" y="3395"/>
          <a:ext cx="2073157" cy="8804429"/>
          <a:chOff x="476694" y="362080"/>
          <a:chExt cx="2004956" cy="7589650"/>
        </a:xfrm>
      </xdr:grpSpPr>
      <xdr:sp macro="" textlink="">
        <xdr:nvSpPr>
          <xdr:cNvPr id="158" name="Round Same Side Corner Rectangle 1">
            <a:extLst>
              <a:ext uri="{FF2B5EF4-FFF2-40B4-BE49-F238E27FC236}">
                <a16:creationId xmlns:a16="http://schemas.microsoft.com/office/drawing/2014/main" id="{CF400328-DADC-492E-BDDD-3E966DE4BB3E}"/>
              </a:ext>
            </a:extLst>
          </xdr:cNvPr>
          <xdr:cNvSpPr/>
        </xdr:nvSpPr>
        <xdr:spPr>
          <a:xfrm rot="16188146">
            <a:off x="-2315653" y="3154427"/>
            <a:ext cx="7589650" cy="2004956"/>
          </a:xfrm>
          <a:prstGeom prst="round2SameRect">
            <a:avLst>
              <a:gd name="adj1" fmla="val 23853"/>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sp macro="" textlink="">
        <xdr:nvSpPr>
          <xdr:cNvPr id="159" name="Round Same Side Corner Rectangle 1">
            <a:extLst>
              <a:ext uri="{FF2B5EF4-FFF2-40B4-BE49-F238E27FC236}">
                <a16:creationId xmlns:a16="http://schemas.microsoft.com/office/drawing/2014/main" id="{79187694-3F89-403C-9A6A-55F089BAC9EF}"/>
              </a:ext>
            </a:extLst>
          </xdr:cNvPr>
          <xdr:cNvSpPr/>
        </xdr:nvSpPr>
        <xdr:spPr>
          <a:xfrm rot="16188146">
            <a:off x="-2227878" y="3210799"/>
            <a:ext cx="7498217" cy="1913516"/>
          </a:xfrm>
          <a:prstGeom prst="round2SameRect">
            <a:avLst>
              <a:gd name="adj1" fmla="val 2385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grpSp>
    <xdr:clientData/>
  </xdr:twoCellAnchor>
  <xdr:twoCellAnchor>
    <xdr:from>
      <xdr:col>3</xdr:col>
      <xdr:colOff>8400</xdr:colOff>
      <xdr:row>12</xdr:row>
      <xdr:rowOff>101908</xdr:rowOff>
    </xdr:from>
    <xdr:to>
      <xdr:col>20</xdr:col>
      <xdr:colOff>70244</xdr:colOff>
      <xdr:row>43</xdr:row>
      <xdr:rowOff>88188</xdr:rowOff>
    </xdr:to>
    <xdr:sp macro="" textlink="">
      <xdr:nvSpPr>
        <xdr:cNvPr id="154" name="background bottom schedule">
          <a:extLst>
            <a:ext uri="{FF2B5EF4-FFF2-40B4-BE49-F238E27FC236}">
              <a16:creationId xmlns:a16="http://schemas.microsoft.com/office/drawing/2014/main" id="{8FA37525-9EC0-4AD6-AC8A-4010192128E4}"/>
            </a:ext>
          </a:extLst>
        </xdr:cNvPr>
        <xdr:cNvSpPr/>
      </xdr:nvSpPr>
      <xdr:spPr>
        <a:xfrm>
          <a:off x="2059076" y="2522379"/>
          <a:ext cx="11682344" cy="6239162"/>
        </a:xfrm>
        <a:prstGeom prst="rect">
          <a:avLst/>
        </a:prstGeom>
        <a:gradFill flip="none" rotWithShape="1">
          <a:gsLst>
            <a:gs pos="11000">
              <a:srgbClr val="FAF9F9"/>
            </a:gs>
            <a:gs pos="71000">
              <a:srgbClr val="F6F6F6"/>
            </a:gs>
          </a:gsLst>
          <a:lin ang="132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endParaRPr>
        </a:p>
      </xdr:txBody>
    </xdr:sp>
    <xdr:clientData/>
  </xdr:twoCellAnchor>
  <xdr:twoCellAnchor>
    <xdr:from>
      <xdr:col>3</xdr:col>
      <xdr:colOff>1413</xdr:colOff>
      <xdr:row>0</xdr:row>
      <xdr:rowOff>68950</xdr:rowOff>
    </xdr:from>
    <xdr:to>
      <xdr:col>20</xdr:col>
      <xdr:colOff>63840</xdr:colOff>
      <xdr:row>12</xdr:row>
      <xdr:rowOff>87583</xdr:rowOff>
    </xdr:to>
    <xdr:sp macro="" textlink="">
      <xdr:nvSpPr>
        <xdr:cNvPr id="153" name="background top schedule">
          <a:extLst>
            <a:ext uri="{FF2B5EF4-FFF2-40B4-BE49-F238E27FC236}">
              <a16:creationId xmlns:a16="http://schemas.microsoft.com/office/drawing/2014/main" id="{D25760BA-4B0E-4865-9C3B-89250EC2E7BA}"/>
            </a:ext>
          </a:extLst>
        </xdr:cNvPr>
        <xdr:cNvSpPr/>
      </xdr:nvSpPr>
      <xdr:spPr>
        <a:xfrm>
          <a:off x="2052089" y="68950"/>
          <a:ext cx="11682927" cy="2439104"/>
        </a:xfrm>
        <a:prstGeom prst="rect">
          <a:avLst/>
        </a:prstGeom>
        <a:gradFill flip="none" rotWithShape="1">
          <a:gsLst>
            <a:gs pos="1000">
              <a:srgbClr val="20375A"/>
            </a:gs>
            <a:gs pos="42000">
              <a:srgbClr val="152031"/>
            </a:gs>
            <a:gs pos="99000">
              <a:srgbClr val="20375A"/>
            </a:gs>
          </a:gsLst>
          <a:lin ang="13200000" scaled="0"/>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112059</xdr:colOff>
      <xdr:row>13</xdr:row>
      <xdr:rowOff>100854</xdr:rowOff>
    </xdr:from>
    <xdr:to>
      <xdr:col>19</xdr:col>
      <xdr:colOff>632011</xdr:colOff>
      <xdr:row>38</xdr:row>
      <xdr:rowOff>110378</xdr:rowOff>
    </xdr:to>
    <xdr:pic>
      <xdr:nvPicPr>
        <xdr:cNvPr id="143" name="Picture schedule">
          <a:extLst>
            <a:ext uri="{FF2B5EF4-FFF2-40B4-BE49-F238E27FC236}">
              <a16:creationId xmlns:a16="http://schemas.microsoft.com/office/drawing/2014/main" id="{ACFCB1A6-D37A-4678-86D5-30167219E1EE}"/>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2162735" y="2723030"/>
          <a:ext cx="11456894" cy="5052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66458</xdr:colOff>
      <xdr:row>5</xdr:row>
      <xdr:rowOff>91403</xdr:rowOff>
    </xdr:from>
    <xdr:to>
      <xdr:col>11</xdr:col>
      <xdr:colOff>131331</xdr:colOff>
      <xdr:row>10</xdr:row>
      <xdr:rowOff>113486</xdr:rowOff>
    </xdr:to>
    <xdr:sp macro="" textlink="">
      <xdr:nvSpPr>
        <xdr:cNvPr id="137" name="trips schedule text">
          <a:extLst>
            <a:ext uri="{FF2B5EF4-FFF2-40B4-BE49-F238E27FC236}">
              <a16:creationId xmlns:a16="http://schemas.microsoft.com/office/drawing/2014/main" id="{31B07B74-7876-4D7B-8D0E-94D2D4AA2BDE}"/>
            </a:ext>
          </a:extLst>
        </xdr:cNvPr>
        <xdr:cNvSpPr txBox="1"/>
      </xdr:nvSpPr>
      <xdr:spPr>
        <a:xfrm>
          <a:off x="2117134" y="1099932"/>
          <a:ext cx="5533344" cy="10306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bg1"/>
              </a:solidFill>
              <a:latin typeface="Bahnschrift SemiBold" panose="020B0502040204020203" pitchFamily="34" charset="0"/>
            </a:rPr>
            <a:t>Trips Schedule</a:t>
          </a:r>
        </a:p>
      </xdr:txBody>
    </xdr:sp>
    <xdr:clientData/>
  </xdr:twoCellAnchor>
  <xdr:twoCellAnchor>
    <xdr:from>
      <xdr:col>0</xdr:col>
      <xdr:colOff>75376</xdr:colOff>
      <xdr:row>3</xdr:row>
      <xdr:rowOff>44655</xdr:rowOff>
    </xdr:from>
    <xdr:to>
      <xdr:col>3</xdr:col>
      <xdr:colOff>16763</xdr:colOff>
      <xdr:row>38</xdr:row>
      <xdr:rowOff>196136</xdr:rowOff>
    </xdr:to>
    <xdr:grpSp>
      <xdr:nvGrpSpPr>
        <xdr:cNvPr id="26" name="Left Pane Schedule">
          <a:extLst>
            <a:ext uri="{FF2B5EF4-FFF2-40B4-BE49-F238E27FC236}">
              <a16:creationId xmlns:a16="http://schemas.microsoft.com/office/drawing/2014/main" id="{1137E618-37CD-4074-9052-4410D7034E39}"/>
            </a:ext>
          </a:extLst>
        </xdr:cNvPr>
        <xdr:cNvGrpSpPr/>
      </xdr:nvGrpSpPr>
      <xdr:grpSpPr>
        <a:xfrm>
          <a:off x="75376" y="649773"/>
          <a:ext cx="1992063" cy="7211187"/>
          <a:chOff x="75376" y="644730"/>
          <a:chExt cx="1998787" cy="7152356"/>
        </a:xfrm>
      </xdr:grpSpPr>
      <xdr:sp macro="" textlink="">
        <xdr:nvSpPr>
          <xdr:cNvPr id="189" name="button background">
            <a:extLst>
              <a:ext uri="{FF2B5EF4-FFF2-40B4-BE49-F238E27FC236}">
                <a16:creationId xmlns:a16="http://schemas.microsoft.com/office/drawing/2014/main" id="{CC6F3816-5D76-47FE-B3DB-74F591F7E534}"/>
              </a:ext>
            </a:extLst>
          </xdr:cNvPr>
          <xdr:cNvSpPr/>
        </xdr:nvSpPr>
        <xdr:spPr>
          <a:xfrm>
            <a:off x="189042" y="2316366"/>
            <a:ext cx="1757873" cy="316254"/>
          </a:xfrm>
          <a:prstGeom prst="round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6" name="selction indicator schedule">
            <a:extLst>
              <a:ext uri="{FF2B5EF4-FFF2-40B4-BE49-F238E27FC236}">
                <a16:creationId xmlns:a16="http://schemas.microsoft.com/office/drawing/2014/main" id="{F64C9B39-EFE8-49E7-A95B-0BD6E661708C}"/>
              </a:ext>
            </a:extLst>
          </xdr:cNvPr>
          <xdr:cNvSpPr/>
        </xdr:nvSpPr>
        <xdr:spPr>
          <a:xfrm rot="5400000">
            <a:off x="95303" y="2348335"/>
            <a:ext cx="200105" cy="239960"/>
          </a:xfrm>
          <a:prstGeom prst="round2SameRect">
            <a:avLst>
              <a:gd name="adj1" fmla="val 50000"/>
              <a:gd name="adj2" fmla="val 0"/>
            </a:avLst>
          </a:prstGeom>
          <a:solidFill>
            <a:srgbClr val="CF5C4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4" name="Flowchart: Connector 173">
            <a:extLst>
              <a:ext uri="{FF2B5EF4-FFF2-40B4-BE49-F238E27FC236}">
                <a16:creationId xmlns:a16="http://schemas.microsoft.com/office/drawing/2014/main" id="{39451095-2FDF-47B0-9565-94C94D7CAF7E}"/>
              </a:ext>
            </a:extLst>
          </xdr:cNvPr>
          <xdr:cNvSpPr/>
        </xdr:nvSpPr>
        <xdr:spPr>
          <a:xfrm>
            <a:off x="199099" y="3886024"/>
            <a:ext cx="653345" cy="632727"/>
          </a:xfrm>
          <a:prstGeom prst="flowChartConnector">
            <a:avLst/>
          </a:prstGeom>
          <a:solidFill>
            <a:srgbClr val="4249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76" name="Picture 175">
            <a:extLst>
              <a:ext uri="{FF2B5EF4-FFF2-40B4-BE49-F238E27FC236}">
                <a16:creationId xmlns:a16="http://schemas.microsoft.com/office/drawing/2014/main" id="{896B8464-4D64-4193-AFF3-98329DE83941}"/>
              </a:ext>
            </a:extLst>
          </xdr:cNvPr>
          <xdr:cNvPicPr>
            <a:picLocks noChangeAspect="1"/>
          </xdr:cNvPicPr>
        </xdr:nvPicPr>
        <xdr:blipFill>
          <a:blip xmlns:r="http://schemas.openxmlformats.org/officeDocument/2006/relationships" r:embed="rId13" cstate="print">
            <a:duotone>
              <a:schemeClr val="bg2">
                <a:shade val="45000"/>
                <a:satMod val="135000"/>
              </a:schemeClr>
              <a:prstClr val="white"/>
            </a:duotone>
            <a:extLst>
              <a:ext uri="{28A0092B-C50C-407E-A947-70E740481C1C}">
                <a14:useLocalDpi xmlns:a14="http://schemas.microsoft.com/office/drawing/2010/main" val="0"/>
              </a:ext>
              <a:ext uri="{837473B0-CC2E-450A-ABE3-18F120FF3D39}">
                <a1611:picAttrSrcUrl xmlns:a1611="http://schemas.microsoft.com/office/drawing/2016/11/main" r:id="rId14"/>
              </a:ext>
            </a:extLst>
          </a:blip>
          <a:stretch>
            <a:fillRect/>
          </a:stretch>
        </xdr:blipFill>
        <xdr:spPr>
          <a:xfrm>
            <a:off x="555530" y="644730"/>
            <a:ext cx="979857" cy="855213"/>
          </a:xfrm>
          <a:prstGeom prst="rect">
            <a:avLst/>
          </a:prstGeom>
        </xdr:spPr>
      </xdr:pic>
      <xdr:sp macro="" textlink="">
        <xdr:nvSpPr>
          <xdr:cNvPr id="177" name="button schedule">
            <a:extLst>
              <a:ext uri="{FF2B5EF4-FFF2-40B4-BE49-F238E27FC236}">
                <a16:creationId xmlns:a16="http://schemas.microsoft.com/office/drawing/2014/main" id="{4F493B89-B0EF-409E-BC9C-9D286A0780CC}"/>
              </a:ext>
            </a:extLst>
          </xdr:cNvPr>
          <xdr:cNvSpPr txBox="1"/>
        </xdr:nvSpPr>
        <xdr:spPr>
          <a:xfrm>
            <a:off x="193895" y="2231548"/>
            <a:ext cx="1692007" cy="486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rgbClr val="42494F"/>
                </a:solidFill>
                <a:latin typeface="Bahnschrift SemiBold" panose="020B0502040204020203" pitchFamily="34" charset="0"/>
              </a:rPr>
              <a:t>Schedule</a:t>
            </a:r>
          </a:p>
        </xdr:txBody>
      </xdr:sp>
      <xdr:sp macro="[0]!Dashboard" textlink="">
        <xdr:nvSpPr>
          <xdr:cNvPr id="178" name="TextBox 177">
            <a:extLst>
              <a:ext uri="{FF2B5EF4-FFF2-40B4-BE49-F238E27FC236}">
                <a16:creationId xmlns:a16="http://schemas.microsoft.com/office/drawing/2014/main" id="{01159BCC-B415-407E-9357-0568C6DA6A04}"/>
              </a:ext>
            </a:extLst>
          </xdr:cNvPr>
          <xdr:cNvSpPr txBox="1"/>
        </xdr:nvSpPr>
        <xdr:spPr>
          <a:xfrm>
            <a:off x="193895" y="1714398"/>
            <a:ext cx="1692007" cy="48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lumMod val="50000"/>
                  </a:schemeClr>
                </a:solidFill>
                <a:latin typeface="Bahnschrift SemiBold" panose="020B0502040204020203" pitchFamily="34" charset="0"/>
              </a:rPr>
              <a:t>Dashboard</a:t>
            </a:r>
          </a:p>
        </xdr:txBody>
      </xdr:sp>
      <xdr:sp macro="" textlink="">
        <xdr:nvSpPr>
          <xdr:cNvPr id="179" name="TextBox 178">
            <a:extLst>
              <a:ext uri="{FF2B5EF4-FFF2-40B4-BE49-F238E27FC236}">
                <a16:creationId xmlns:a16="http://schemas.microsoft.com/office/drawing/2014/main" id="{4E9CCCCC-1460-4933-A55F-6EB47435C170}"/>
              </a:ext>
            </a:extLst>
          </xdr:cNvPr>
          <xdr:cNvSpPr txBox="1"/>
        </xdr:nvSpPr>
        <xdr:spPr>
          <a:xfrm>
            <a:off x="91597" y="3210426"/>
            <a:ext cx="1234268" cy="4911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rgbClr val="C00000"/>
                </a:solidFill>
                <a:latin typeface="Bahnschrift SemiBold" panose="020B0502040204020203" pitchFamily="34" charset="0"/>
              </a:rPr>
              <a:t>Drivers</a:t>
            </a:r>
          </a:p>
        </xdr:txBody>
      </xdr:sp>
      <mc:AlternateContent xmlns:mc="http://schemas.openxmlformats.org/markup-compatibility/2006" xmlns:a14="http://schemas.microsoft.com/office/drawing/2010/main">
        <mc:Choice Requires="a14">
          <xdr:graphicFrame macro="">
            <xdr:nvGraphicFramePr>
              <xdr:cNvPr id="180" name="Month 2">
                <a:extLst>
                  <a:ext uri="{FF2B5EF4-FFF2-40B4-BE49-F238E27FC236}">
                    <a16:creationId xmlns:a16="http://schemas.microsoft.com/office/drawing/2014/main" id="{E0DBDD2A-432F-40B2-A23B-6D014701CA91}"/>
                  </a:ext>
                </a:extLst>
              </xdr:cNvPr>
              <xdr:cNvGraphicFramePr>
                <a:graphicFrameLocks noMove="1" noResize="1"/>
              </xdr:cNvGraphicFramePr>
            </xdr:nvGraphicFramePr>
            <xdr:xfrm>
              <a:off x="207265" y="6452832"/>
              <a:ext cx="1833571" cy="1344254"/>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07265" y="6452832"/>
                <a:ext cx="1833571" cy="13442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81" name="Driver 1">
                <a:extLst>
                  <a:ext uri="{FF2B5EF4-FFF2-40B4-BE49-F238E27FC236}">
                    <a16:creationId xmlns:a16="http://schemas.microsoft.com/office/drawing/2014/main" id="{74B505C9-3CC3-4DF9-B62C-308CC23D1498}"/>
                  </a:ext>
                </a:extLst>
              </xdr:cNvPr>
              <xdr:cNvGraphicFramePr>
                <a:graphicFrameLocks noMove="1" noResize="1"/>
              </xdr:cNvGraphicFramePr>
            </xdr:nvGraphicFramePr>
            <xdr:xfrm>
              <a:off x="843873" y="3720545"/>
              <a:ext cx="1230290" cy="1714518"/>
            </xdr:xfrm>
            <a:graphic>
              <a:graphicData uri="http://schemas.microsoft.com/office/drawing/2010/slicer">
                <sle:slicer xmlns:sle="http://schemas.microsoft.com/office/drawing/2010/slicer" name="Driver 1"/>
              </a:graphicData>
            </a:graphic>
          </xdr:graphicFrame>
        </mc:Choice>
        <mc:Fallback xmlns="">
          <xdr:sp macro="" textlink="">
            <xdr:nvSpPr>
              <xdr:cNvPr id="0" name=""/>
              <xdr:cNvSpPr>
                <a:spLocks noTextEdit="1"/>
              </xdr:cNvSpPr>
            </xdr:nvSpPr>
            <xdr:spPr>
              <a:xfrm>
                <a:off x="843873" y="3720545"/>
                <a:ext cx="1230290" cy="17145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82" name="Flowchart: Connector 181">
            <a:extLst>
              <a:ext uri="{FF2B5EF4-FFF2-40B4-BE49-F238E27FC236}">
                <a16:creationId xmlns:a16="http://schemas.microsoft.com/office/drawing/2014/main" id="{8591D5C0-A0C8-4201-93A5-09115DAB9C20}"/>
              </a:ext>
            </a:extLst>
          </xdr:cNvPr>
          <xdr:cNvSpPr/>
        </xdr:nvSpPr>
        <xdr:spPr>
          <a:xfrm>
            <a:off x="202527" y="4617297"/>
            <a:ext cx="653345" cy="632728"/>
          </a:xfrm>
          <a:prstGeom prst="flowChartConnector">
            <a:avLst/>
          </a:prstGeom>
          <a:solidFill>
            <a:srgbClr val="42494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3" name="Picture 182">
            <a:extLst>
              <a:ext uri="{FF2B5EF4-FFF2-40B4-BE49-F238E27FC236}">
                <a16:creationId xmlns:a16="http://schemas.microsoft.com/office/drawing/2014/main" id="{67290B82-E8C1-4555-A520-FE3C866FB9E2}"/>
              </a:ext>
            </a:extLst>
          </xdr:cNvPr>
          <xdr:cNvPicPr>
            <a:picLocks noChangeAspect="1"/>
          </xdr:cNvPicPr>
        </xdr:nvPicPr>
        <xdr:blipFill rotWithShape="1">
          <a:blip xmlns:r="http://schemas.openxmlformats.org/officeDocument/2006/relationships" r:embed="rId15" cstate="print">
            <a:grayscl/>
            <a:extLst>
              <a:ext uri="{BEBA8EAE-BF5A-486C-A8C5-ECC9F3942E4B}">
                <a14:imgProps xmlns:a14="http://schemas.microsoft.com/office/drawing/2010/main">
                  <a14:imgLayer r:embed="rId16">
                    <a14:imgEffect>
                      <a14:backgroundRemoval t="10000" b="90000" l="10000" r="90000">
                        <a14:foregroundMark x1="51575" y1="17778" x2="42788" y2="19461"/>
                        <a14:foregroundMark x1="37010" y1="31686" x2="38058" y2="41000"/>
                        <a14:foregroundMark x1="38058" y1="41000" x2="52362" y2="20556"/>
                        <a14:foregroundMark x1="52362" y1="20556" x2="51706" y2="16444"/>
                        <a14:foregroundMark x1="59580" y1="57556" x2="59580" y2="57556"/>
                        <a14:foregroundMark x1="56955" y1="59111" x2="63911" y2="56556"/>
                        <a14:backgroundMark x1="50394" y1="66444" x2="66667" y2="65333"/>
                        <a14:backgroundMark x1="66667" y1="65333" x2="68373" y2="64444"/>
                        <a14:backgroundMark x1="39239" y1="56778" x2="30709" y2="48556"/>
                        <a14:backgroundMark x1="30709" y1="48556" x2="27165" y2="36111"/>
                        <a14:backgroundMark x1="27165" y1="36111" x2="33465" y2="23333"/>
                        <a14:backgroundMark x1="33465" y1="23333" x2="42913" y2="17333"/>
                        <a14:backgroundMark x1="42913" y1="17333" x2="46194" y2="16889"/>
                        <a14:backgroundMark x1="69816" y1="56556" x2="73360" y2="44333"/>
                        <a14:backgroundMark x1="73360" y1="44333" x2="72047" y2="32667"/>
                        <a14:backgroundMark x1="72047" y1="32667" x2="64304" y2="18667"/>
                        <a14:backgroundMark x1="39483" y1="20313" x2="35055" y2="28125"/>
                        <a14:backgroundMark x1="36162" y1="27813" x2="34686" y2="30938"/>
                        <a14:backgroundMark x1="41697" y1="18438" x2="37269" y2="20313"/>
                      </a14:backgroundRemoval>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17"/>
              </a:ext>
            </a:extLst>
          </a:blip>
          <a:srcRect l="29258" t="13175" r="24386" b="32756"/>
          <a:stretch/>
        </xdr:blipFill>
        <xdr:spPr>
          <a:xfrm>
            <a:off x="262441" y="4599213"/>
            <a:ext cx="478861" cy="644297"/>
          </a:xfrm>
          <a:prstGeom prst="rect">
            <a:avLst/>
          </a:prstGeom>
        </xdr:spPr>
      </xdr:pic>
      <xdr:pic>
        <xdr:nvPicPr>
          <xdr:cNvPr id="184" name="Picture 183">
            <a:extLst>
              <a:ext uri="{FF2B5EF4-FFF2-40B4-BE49-F238E27FC236}">
                <a16:creationId xmlns:a16="http://schemas.microsoft.com/office/drawing/2014/main" id="{CA1F4098-67EE-429C-B446-C564CD6EDDA0}"/>
              </a:ext>
            </a:extLst>
          </xdr:cNvPr>
          <xdr:cNvPicPr>
            <a:picLocks noChangeAspect="1"/>
          </xdr:cNvPicPr>
        </xdr:nvPicPr>
        <xdr:blipFill rotWithShape="1">
          <a:blip xmlns:r="http://schemas.openxmlformats.org/officeDocument/2006/relationships" r:embed="rId18" cstate="print">
            <a:grayscl/>
            <a:extLst>
              <a:ext uri="{BEBA8EAE-BF5A-486C-A8C5-ECC9F3942E4B}">
                <a14:imgProps xmlns:a14="http://schemas.microsoft.com/office/drawing/2010/main">
                  <a14:imgLayer r:embed="rId19">
                    <a14:imgEffect>
                      <a14:backgroundRemoval t="4583" b="90000" l="10000" r="90000">
                        <a14:foregroundMark x1="25500" y1="22167" x2="25500" y2="22167"/>
                        <a14:foregroundMark x1="22125" y1="23083" x2="65500" y2="19917"/>
                        <a14:foregroundMark x1="75375" y1="24250" x2="66000" y2="10333"/>
                        <a14:foregroundMark x1="66000" y1="10333" x2="45750" y2="583"/>
                        <a14:foregroundMark x1="45750" y1="583" x2="24125" y2="4583"/>
                        <a14:foregroundMark x1="24125" y1="4583" x2="17375" y2="18750"/>
                        <a14:foregroundMark x1="17375" y1="18750" x2="19375" y2="28083"/>
                        <a14:foregroundMark x1="60500" y1="7917" x2="76250" y2="16167"/>
                        <a14:foregroundMark x1="76250" y1="16167" x2="76750" y2="17417"/>
                        <a14:foregroundMark x1="82517" y1="59058" x2="82375" y2="61083"/>
                        <a14:foregroundMark x1="83500" y1="45083" x2="82702" y2="56439"/>
                        <a14:foregroundMark x1="77317" y1="64091" x2="63875" y2="72083"/>
                        <a14:foregroundMark x1="82375" y1="61083" x2="80169" y2="62394"/>
                        <a14:foregroundMark x1="63875" y1="72083" x2="40375" y2="71583"/>
                        <a14:foregroundMark x1="40375" y1="71583" x2="30407" y2="68740"/>
                        <a14:foregroundMark x1="79255" y1="57244" x2="77660" y2="62544"/>
                        <a14:backgroundMark x1="36375" y1="73583" x2="59750" y2="76667"/>
                        <a14:backgroundMark x1="59750" y1="76667" x2="81000" y2="64250"/>
                        <a14:backgroundMark x1="81000" y1="64250" x2="81952" y2="63107"/>
                        <a14:backgroundMark x1="17553" y1="40283" x2="26596" y2="69258"/>
                        <a14:backgroundMark x1="82652" y1="57689" x2="90426" y2="46643"/>
                        <a14:backgroundMark x1="71277" y1="73852" x2="79102" y2="62733"/>
                      </a14:backgroundRemoval>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20"/>
              </a:ext>
            </a:extLst>
          </a:blip>
          <a:srcRect l="16983" t="1811" r="8967" b="26404"/>
          <a:stretch/>
        </xdr:blipFill>
        <xdr:spPr>
          <a:xfrm>
            <a:off x="361557" y="3941996"/>
            <a:ext cx="390881" cy="557339"/>
          </a:xfrm>
          <a:prstGeom prst="rect">
            <a:avLst/>
          </a:prstGeom>
        </xdr:spPr>
      </xdr:pic>
      <xdr:sp macro="" textlink="">
        <xdr:nvSpPr>
          <xdr:cNvPr id="185" name="TextBox 184">
            <a:extLst>
              <a:ext uri="{FF2B5EF4-FFF2-40B4-BE49-F238E27FC236}">
                <a16:creationId xmlns:a16="http://schemas.microsoft.com/office/drawing/2014/main" id="{0BB3DAD7-C06C-4515-B2AF-E2B18111BEC8}"/>
              </a:ext>
            </a:extLst>
          </xdr:cNvPr>
          <xdr:cNvSpPr txBox="1"/>
        </xdr:nvSpPr>
        <xdr:spPr>
          <a:xfrm>
            <a:off x="91597" y="6031553"/>
            <a:ext cx="1211985" cy="493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rgbClr val="C00000"/>
                </a:solidFill>
                <a:latin typeface="Bahnschrift SemiBold" panose="020B0502040204020203" pitchFamily="34" charset="0"/>
              </a:rPr>
              <a:t>Months</a:t>
            </a:r>
          </a:p>
        </xdr:txBody>
      </xdr:sp>
    </xdr:grpSp>
    <xdr:clientData/>
  </xdr:twoCellAnchor>
  <xdr:twoCellAnchor>
    <xdr:from>
      <xdr:col>20</xdr:col>
      <xdr:colOff>44717</xdr:colOff>
      <xdr:row>0</xdr:row>
      <xdr:rowOff>0</xdr:rowOff>
    </xdr:from>
    <xdr:to>
      <xdr:col>23</xdr:col>
      <xdr:colOff>67196</xdr:colOff>
      <xdr:row>43</xdr:row>
      <xdr:rowOff>126722</xdr:rowOff>
    </xdr:to>
    <xdr:grpSp>
      <xdr:nvGrpSpPr>
        <xdr:cNvPr id="155" name="Right Pane">
          <a:extLst>
            <a:ext uri="{FF2B5EF4-FFF2-40B4-BE49-F238E27FC236}">
              <a16:creationId xmlns:a16="http://schemas.microsoft.com/office/drawing/2014/main" id="{3EA44D20-0C5F-4696-9763-EAE696C29846}"/>
            </a:ext>
          </a:extLst>
        </xdr:cNvPr>
        <xdr:cNvGrpSpPr/>
      </xdr:nvGrpSpPr>
      <xdr:grpSpPr>
        <a:xfrm rot="10800000">
          <a:off x="13715893" y="0"/>
          <a:ext cx="2073156" cy="8800075"/>
          <a:chOff x="476694" y="362080"/>
          <a:chExt cx="2004956" cy="7589650"/>
        </a:xfrm>
      </xdr:grpSpPr>
      <xdr:sp macro="" textlink="">
        <xdr:nvSpPr>
          <xdr:cNvPr id="156" name="Round Same Side Corner Rectangle 1">
            <a:extLst>
              <a:ext uri="{FF2B5EF4-FFF2-40B4-BE49-F238E27FC236}">
                <a16:creationId xmlns:a16="http://schemas.microsoft.com/office/drawing/2014/main" id="{7C12612C-0545-44AB-9C45-E4CF33D4FF0F}"/>
              </a:ext>
            </a:extLst>
          </xdr:cNvPr>
          <xdr:cNvSpPr/>
        </xdr:nvSpPr>
        <xdr:spPr>
          <a:xfrm rot="16188146">
            <a:off x="-2315653" y="3154427"/>
            <a:ext cx="7589650" cy="2004956"/>
          </a:xfrm>
          <a:prstGeom prst="round2SameRect">
            <a:avLst>
              <a:gd name="adj1" fmla="val 23853"/>
              <a:gd name="adj2" fmla="val 0"/>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sp macro="" textlink="">
        <xdr:nvSpPr>
          <xdr:cNvPr id="157" name="Round Same Side Corner Rectangle 1">
            <a:extLst>
              <a:ext uri="{FF2B5EF4-FFF2-40B4-BE49-F238E27FC236}">
                <a16:creationId xmlns:a16="http://schemas.microsoft.com/office/drawing/2014/main" id="{AC603FF3-8C7E-4534-82EE-7C6AA8BB9A9B}"/>
              </a:ext>
            </a:extLst>
          </xdr:cNvPr>
          <xdr:cNvSpPr/>
        </xdr:nvSpPr>
        <xdr:spPr>
          <a:xfrm rot="16188146">
            <a:off x="-2223946" y="3190599"/>
            <a:ext cx="7490221" cy="1913516"/>
          </a:xfrm>
          <a:prstGeom prst="round2SameRect">
            <a:avLst>
              <a:gd name="adj1" fmla="val 2385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spcFirstLastPara="0" vertOverflow="clip" horzOverflow="clip" wrap="square" lIns="91440" tIns="45720" rIns="91440" bIns="45720" rtlCol="0" anchor="b">
            <a:noAutofit/>
          </a:bodyPr>
          <a:lstStyle/>
          <a:p>
            <a:pPr marL="0" indent="0" algn="ctr"/>
            <a:endParaRPr lang="en-US" sz="1100">
              <a:solidFill>
                <a:srgbClr val="EFEFF4"/>
              </a:solidFill>
              <a:latin typeface="+mn-lt"/>
              <a:ea typeface="+mn-lt"/>
              <a:cs typeface="+mn-lt"/>
            </a:endParaRPr>
          </a:p>
        </xdr:txBody>
      </xdr:sp>
    </xdr:grpSp>
    <xdr:clientData/>
  </xdr:twoCellAnchor>
  <xdr:twoCellAnchor>
    <xdr:from>
      <xdr:col>3</xdr:col>
      <xdr:colOff>1413</xdr:colOff>
      <xdr:row>0</xdr:row>
      <xdr:rowOff>2933</xdr:rowOff>
    </xdr:from>
    <xdr:to>
      <xdr:col>20</xdr:col>
      <xdr:colOff>61512</xdr:colOff>
      <xdr:row>0</xdr:row>
      <xdr:rowOff>79215</xdr:rowOff>
    </xdr:to>
    <xdr:sp macro="" textlink="">
      <xdr:nvSpPr>
        <xdr:cNvPr id="152" name="top border">
          <a:extLst>
            <a:ext uri="{FF2B5EF4-FFF2-40B4-BE49-F238E27FC236}">
              <a16:creationId xmlns:a16="http://schemas.microsoft.com/office/drawing/2014/main" id="{3E24EF13-E296-4DC9-B27D-A87E870ABC3B}"/>
            </a:ext>
          </a:extLst>
        </xdr:cNvPr>
        <xdr:cNvSpPr/>
      </xdr:nvSpPr>
      <xdr:spPr>
        <a:xfrm>
          <a:off x="2052089" y="2933"/>
          <a:ext cx="11680599" cy="76282"/>
        </a:xfrm>
        <a:prstGeom prst="rect">
          <a:avLst/>
        </a:prstGeom>
        <a:solidFill>
          <a:srgbClr val="EFEF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38663</xdr:colOff>
      <xdr:row>1</xdr:row>
      <xdr:rowOff>146322</xdr:rowOff>
    </xdr:from>
    <xdr:to>
      <xdr:col>19</xdr:col>
      <xdr:colOff>616788</xdr:colOff>
      <xdr:row>12</xdr:row>
      <xdr:rowOff>146972</xdr:rowOff>
    </xdr:to>
    <xdr:sp macro="" textlink="">
      <xdr:nvSpPr>
        <xdr:cNvPr id="71" name="thai map">
          <a:extLst>
            <a:ext uri="{FF2B5EF4-FFF2-40B4-BE49-F238E27FC236}">
              <a16:creationId xmlns:a16="http://schemas.microsoft.com/office/drawing/2014/main" id="{63AE3ADC-8884-43A9-8290-CAFFE92BE514}"/>
            </a:ext>
          </a:extLst>
        </xdr:cNvPr>
        <xdr:cNvSpPr/>
      </xdr:nvSpPr>
      <xdr:spPr>
        <a:xfrm flipV="1">
          <a:off x="12342722" y="348028"/>
          <a:ext cx="1261684" cy="2219415"/>
        </a:xfrm>
        <a:custGeom>
          <a:avLst/>
          <a:gdLst>
            <a:gd name="connsiteX0" fmla="*/ 410243 w 1374290"/>
            <a:gd name="connsiteY0" fmla="*/ 2513406 h 2530838"/>
            <a:gd name="connsiteX1" fmla="*/ 406087 w 1374290"/>
            <a:gd name="connsiteY1" fmla="*/ 2501931 h 2530838"/>
            <a:gd name="connsiteX2" fmla="*/ 397183 w 1374290"/>
            <a:gd name="connsiteY2" fmla="*/ 2503118 h 2530838"/>
            <a:gd name="connsiteX3" fmla="*/ 385508 w 1374290"/>
            <a:gd name="connsiteY3" fmla="*/ 2502129 h 2530838"/>
            <a:gd name="connsiteX4" fmla="*/ 374822 w 1374290"/>
            <a:gd name="connsiteY4" fmla="*/ 2503118 h 2530838"/>
            <a:gd name="connsiteX5" fmla="*/ 363741 w 1374290"/>
            <a:gd name="connsiteY5" fmla="*/ 2506284 h 2530838"/>
            <a:gd name="connsiteX6" fmla="*/ 354837 w 1374290"/>
            <a:gd name="connsiteY6" fmla="*/ 2510439 h 2530838"/>
            <a:gd name="connsiteX7" fmla="*/ 345141 w 1374290"/>
            <a:gd name="connsiteY7" fmla="*/ 2509647 h 2530838"/>
            <a:gd name="connsiteX8" fmla="*/ 348900 w 1374290"/>
            <a:gd name="connsiteY8" fmla="*/ 2504899 h 2530838"/>
            <a:gd name="connsiteX9" fmla="*/ 354045 w 1374290"/>
            <a:gd name="connsiteY9" fmla="*/ 2495996 h 2530838"/>
            <a:gd name="connsiteX10" fmla="*/ 358399 w 1374290"/>
            <a:gd name="connsiteY10" fmla="*/ 2483334 h 2530838"/>
            <a:gd name="connsiteX11" fmla="*/ 353254 w 1374290"/>
            <a:gd name="connsiteY11" fmla="*/ 2468693 h 2530838"/>
            <a:gd name="connsiteX12" fmla="*/ 334653 w 1374290"/>
            <a:gd name="connsiteY12" fmla="*/ 2461373 h 2530838"/>
            <a:gd name="connsiteX13" fmla="*/ 301410 w 1374290"/>
            <a:gd name="connsiteY13" fmla="*/ 2467704 h 2530838"/>
            <a:gd name="connsiteX14" fmla="*/ 293099 w 1374290"/>
            <a:gd name="connsiteY14" fmla="*/ 2465923 h 2530838"/>
            <a:gd name="connsiteX15" fmla="*/ 286173 w 1374290"/>
            <a:gd name="connsiteY15" fmla="*/ 2462758 h 2530838"/>
            <a:gd name="connsiteX16" fmla="*/ 276873 w 1374290"/>
            <a:gd name="connsiteY16" fmla="*/ 2438818 h 2530838"/>
            <a:gd name="connsiteX17" fmla="*/ 274894 w 1374290"/>
            <a:gd name="connsiteY17" fmla="*/ 2429520 h 2530838"/>
            <a:gd name="connsiteX18" fmla="*/ 274102 w 1374290"/>
            <a:gd name="connsiteY18" fmla="*/ 2423584 h 2530838"/>
            <a:gd name="connsiteX19" fmla="*/ 274300 w 1374290"/>
            <a:gd name="connsiteY19" fmla="*/ 2414879 h 2530838"/>
            <a:gd name="connsiteX20" fmla="*/ 265594 w 1374290"/>
            <a:gd name="connsiteY20" fmla="*/ 2400436 h 2530838"/>
            <a:gd name="connsiteX21" fmla="*/ 247191 w 1374290"/>
            <a:gd name="connsiteY21" fmla="*/ 2409537 h 2530838"/>
            <a:gd name="connsiteX22" fmla="*/ 240265 w 1374290"/>
            <a:gd name="connsiteY22" fmla="*/ 2406372 h 2530838"/>
            <a:gd name="connsiteX23" fmla="*/ 227601 w 1374290"/>
            <a:gd name="connsiteY23" fmla="*/ 2402217 h 2530838"/>
            <a:gd name="connsiteX24" fmla="*/ 200294 w 1374290"/>
            <a:gd name="connsiteY24" fmla="*/ 2385796 h 2530838"/>
            <a:gd name="connsiteX25" fmla="*/ 192576 w 1374290"/>
            <a:gd name="connsiteY25" fmla="*/ 2388961 h 2530838"/>
            <a:gd name="connsiteX26" fmla="*/ 168040 w 1374290"/>
            <a:gd name="connsiteY26" fmla="*/ 2389951 h 2530838"/>
            <a:gd name="connsiteX27" fmla="*/ 146669 w 1374290"/>
            <a:gd name="connsiteY27" fmla="*/ 2388170 h 2530838"/>
            <a:gd name="connsiteX28" fmla="*/ 138358 w 1374290"/>
            <a:gd name="connsiteY28" fmla="*/ 2396677 h 2530838"/>
            <a:gd name="connsiteX29" fmla="*/ 125100 w 1374290"/>
            <a:gd name="connsiteY29" fmla="*/ 2405383 h 2530838"/>
            <a:gd name="connsiteX30" fmla="*/ 117581 w 1374290"/>
            <a:gd name="connsiteY30" fmla="*/ 2408350 h 2530838"/>
            <a:gd name="connsiteX31" fmla="*/ 112436 w 1374290"/>
            <a:gd name="connsiteY31" fmla="*/ 2411318 h 2530838"/>
            <a:gd name="connsiteX32" fmla="*/ 109665 w 1374290"/>
            <a:gd name="connsiteY32" fmla="*/ 2395292 h 2530838"/>
            <a:gd name="connsiteX33" fmla="*/ 109665 w 1374290"/>
            <a:gd name="connsiteY33" fmla="*/ 2379267 h 2530838"/>
            <a:gd name="connsiteX34" fmla="*/ 104718 w 1374290"/>
            <a:gd name="connsiteY34" fmla="*/ 2380058 h 2530838"/>
            <a:gd name="connsiteX35" fmla="*/ 99771 w 1374290"/>
            <a:gd name="connsiteY35" fmla="*/ 2378475 h 2530838"/>
            <a:gd name="connsiteX36" fmla="*/ 83743 w 1374290"/>
            <a:gd name="connsiteY36" fmla="*/ 2369770 h 2530838"/>
            <a:gd name="connsiteX37" fmla="*/ 80775 w 1374290"/>
            <a:gd name="connsiteY37" fmla="*/ 2362054 h 2530838"/>
            <a:gd name="connsiteX38" fmla="*/ 77807 w 1374290"/>
            <a:gd name="connsiteY38" fmla="*/ 2347216 h 2530838"/>
            <a:gd name="connsiteX39" fmla="*/ 70683 w 1374290"/>
            <a:gd name="connsiteY39" fmla="*/ 2340093 h 2530838"/>
            <a:gd name="connsiteX40" fmla="*/ 75432 w 1374290"/>
            <a:gd name="connsiteY40" fmla="*/ 2325848 h 2530838"/>
            <a:gd name="connsiteX41" fmla="*/ 73849 w 1374290"/>
            <a:gd name="connsiteY41" fmla="*/ 2317341 h 2530838"/>
            <a:gd name="connsiteX42" fmla="*/ 75037 w 1374290"/>
            <a:gd name="connsiteY42" fmla="*/ 2310812 h 2530838"/>
            <a:gd name="connsiteX43" fmla="*/ 78796 w 1374290"/>
            <a:gd name="connsiteY43" fmla="*/ 2294193 h 2530838"/>
            <a:gd name="connsiteX44" fmla="*/ 69892 w 1374290"/>
            <a:gd name="connsiteY44" fmla="*/ 2281531 h 2530838"/>
            <a:gd name="connsiteX45" fmla="*/ 59998 w 1374290"/>
            <a:gd name="connsiteY45" fmla="*/ 2268869 h 2530838"/>
            <a:gd name="connsiteX46" fmla="*/ 52676 w 1374290"/>
            <a:gd name="connsiteY46" fmla="*/ 2259768 h 2530838"/>
            <a:gd name="connsiteX47" fmla="*/ 47532 w 1374290"/>
            <a:gd name="connsiteY47" fmla="*/ 2257987 h 2530838"/>
            <a:gd name="connsiteX48" fmla="*/ 55249 w 1374290"/>
            <a:gd name="connsiteY48" fmla="*/ 2250469 h 2530838"/>
            <a:gd name="connsiteX49" fmla="*/ 64351 w 1374290"/>
            <a:gd name="connsiteY49" fmla="*/ 2223760 h 2530838"/>
            <a:gd name="connsiteX50" fmla="*/ 57623 w 1374290"/>
            <a:gd name="connsiteY50" fmla="*/ 2194677 h 2530838"/>
            <a:gd name="connsiteX51" fmla="*/ 28535 w 1374290"/>
            <a:gd name="connsiteY51" fmla="*/ 2182608 h 2530838"/>
            <a:gd name="connsiteX52" fmla="*/ 20620 w 1374290"/>
            <a:gd name="connsiteY52" fmla="*/ 2179838 h 2530838"/>
            <a:gd name="connsiteX53" fmla="*/ 12705 w 1374290"/>
            <a:gd name="connsiteY53" fmla="*/ 2183399 h 2530838"/>
            <a:gd name="connsiteX54" fmla="*/ 4790 w 1374290"/>
            <a:gd name="connsiteY54" fmla="*/ 2192105 h 2530838"/>
            <a:gd name="connsiteX55" fmla="*/ -3125 w 1374290"/>
            <a:gd name="connsiteY55" fmla="*/ 2197644 h 2530838"/>
            <a:gd name="connsiteX56" fmla="*/ -3125 w 1374290"/>
            <a:gd name="connsiteY56" fmla="*/ 2193094 h 2530838"/>
            <a:gd name="connsiteX57" fmla="*/ -157 w 1374290"/>
            <a:gd name="connsiteY57" fmla="*/ 2184586 h 2530838"/>
            <a:gd name="connsiteX58" fmla="*/ 2811 w 1374290"/>
            <a:gd name="connsiteY58" fmla="*/ 2177662 h 2530838"/>
            <a:gd name="connsiteX59" fmla="*/ 8747 w 1374290"/>
            <a:gd name="connsiteY59" fmla="*/ 2166385 h 2530838"/>
            <a:gd name="connsiteX60" fmla="*/ 14684 w 1374290"/>
            <a:gd name="connsiteY60" fmla="*/ 2152535 h 2530838"/>
            <a:gd name="connsiteX61" fmla="*/ 18839 w 1374290"/>
            <a:gd name="connsiteY61" fmla="*/ 2143039 h 2530838"/>
            <a:gd name="connsiteX62" fmla="*/ 28337 w 1374290"/>
            <a:gd name="connsiteY62" fmla="*/ 2146006 h 2530838"/>
            <a:gd name="connsiteX63" fmla="*/ 38033 w 1374290"/>
            <a:gd name="connsiteY63" fmla="*/ 2149963 h 2530838"/>
            <a:gd name="connsiteX64" fmla="*/ 42387 w 1374290"/>
            <a:gd name="connsiteY64" fmla="*/ 2136708 h 2530838"/>
            <a:gd name="connsiteX65" fmla="*/ 45949 w 1374290"/>
            <a:gd name="connsiteY65" fmla="*/ 2125826 h 2530838"/>
            <a:gd name="connsiteX66" fmla="*/ 51291 w 1374290"/>
            <a:gd name="connsiteY66" fmla="*/ 2112768 h 2530838"/>
            <a:gd name="connsiteX67" fmla="*/ 56436 w 1374290"/>
            <a:gd name="connsiteY67" fmla="*/ 2100502 h 2530838"/>
            <a:gd name="connsiteX68" fmla="*/ 56238 w 1374290"/>
            <a:gd name="connsiteY68" fmla="*/ 2082894 h 2530838"/>
            <a:gd name="connsiteX69" fmla="*/ 52281 w 1374290"/>
            <a:gd name="connsiteY69" fmla="*/ 2074782 h 2530838"/>
            <a:gd name="connsiteX70" fmla="*/ 64549 w 1374290"/>
            <a:gd name="connsiteY70" fmla="*/ 2051238 h 2530838"/>
            <a:gd name="connsiteX71" fmla="*/ 65341 w 1374290"/>
            <a:gd name="connsiteY71" fmla="*/ 2048073 h 2530838"/>
            <a:gd name="connsiteX72" fmla="*/ 78005 w 1374290"/>
            <a:gd name="connsiteY72" fmla="*/ 2030464 h 2530838"/>
            <a:gd name="connsiteX73" fmla="*/ 91856 w 1374290"/>
            <a:gd name="connsiteY73" fmla="*/ 2012856 h 2530838"/>
            <a:gd name="connsiteX74" fmla="*/ 96408 w 1374290"/>
            <a:gd name="connsiteY74" fmla="*/ 2009691 h 2530838"/>
            <a:gd name="connsiteX75" fmla="*/ 106499 w 1374290"/>
            <a:gd name="connsiteY75" fmla="*/ 2000985 h 2530838"/>
            <a:gd name="connsiteX76" fmla="*/ 121736 w 1374290"/>
            <a:gd name="connsiteY76" fmla="*/ 1986345 h 2530838"/>
            <a:gd name="connsiteX77" fmla="*/ 124506 w 1374290"/>
            <a:gd name="connsiteY77" fmla="*/ 1979816 h 2530838"/>
            <a:gd name="connsiteX78" fmla="*/ 138556 w 1374290"/>
            <a:gd name="connsiteY78" fmla="*/ 1961218 h 2530838"/>
            <a:gd name="connsiteX79" fmla="*/ 146273 w 1374290"/>
            <a:gd name="connsiteY79" fmla="*/ 1952513 h 2530838"/>
            <a:gd name="connsiteX80" fmla="*/ 150033 w 1374290"/>
            <a:gd name="connsiteY80" fmla="*/ 1944995 h 2530838"/>
            <a:gd name="connsiteX81" fmla="*/ 155969 w 1374290"/>
            <a:gd name="connsiteY81" fmla="*/ 1933520 h 2530838"/>
            <a:gd name="connsiteX82" fmla="*/ 164478 w 1374290"/>
            <a:gd name="connsiteY82" fmla="*/ 1929563 h 2530838"/>
            <a:gd name="connsiteX83" fmla="*/ 186838 w 1374290"/>
            <a:gd name="connsiteY83" fmla="*/ 1909778 h 2530838"/>
            <a:gd name="connsiteX84" fmla="*/ 189806 w 1374290"/>
            <a:gd name="connsiteY84" fmla="*/ 1904832 h 2530838"/>
            <a:gd name="connsiteX85" fmla="*/ 189410 w 1374290"/>
            <a:gd name="connsiteY85" fmla="*/ 1895929 h 2530838"/>
            <a:gd name="connsiteX86" fmla="*/ 190598 w 1374290"/>
            <a:gd name="connsiteY86" fmla="*/ 1890785 h 2530838"/>
            <a:gd name="connsiteX87" fmla="*/ 191587 w 1374290"/>
            <a:gd name="connsiteY87" fmla="*/ 1885839 h 2530838"/>
            <a:gd name="connsiteX88" fmla="*/ 184661 w 1374290"/>
            <a:gd name="connsiteY88" fmla="*/ 1869220 h 2530838"/>
            <a:gd name="connsiteX89" fmla="*/ 189806 w 1374290"/>
            <a:gd name="connsiteY89" fmla="*/ 1863285 h 2530838"/>
            <a:gd name="connsiteX90" fmla="*/ 194753 w 1374290"/>
            <a:gd name="connsiteY90" fmla="*/ 1855371 h 2530838"/>
            <a:gd name="connsiteX91" fmla="*/ 199898 w 1374290"/>
            <a:gd name="connsiteY91" fmla="*/ 1846468 h 2530838"/>
            <a:gd name="connsiteX92" fmla="*/ 205439 w 1374290"/>
            <a:gd name="connsiteY92" fmla="*/ 1834201 h 2530838"/>
            <a:gd name="connsiteX93" fmla="*/ 216124 w 1374290"/>
            <a:gd name="connsiteY93" fmla="*/ 1799974 h 2530838"/>
            <a:gd name="connsiteX94" fmla="*/ 217707 w 1374290"/>
            <a:gd name="connsiteY94" fmla="*/ 1793049 h 2530838"/>
            <a:gd name="connsiteX95" fmla="*/ 225820 w 1374290"/>
            <a:gd name="connsiteY95" fmla="*/ 1801557 h 2530838"/>
            <a:gd name="connsiteX96" fmla="*/ 235714 w 1374290"/>
            <a:gd name="connsiteY96" fmla="*/ 1809866 h 2530838"/>
            <a:gd name="connsiteX97" fmla="*/ 239276 w 1374290"/>
            <a:gd name="connsiteY97" fmla="*/ 1814417 h 2530838"/>
            <a:gd name="connsiteX98" fmla="*/ 254710 w 1374290"/>
            <a:gd name="connsiteY98" fmla="*/ 1815406 h 2530838"/>
            <a:gd name="connsiteX99" fmla="*/ 249961 w 1374290"/>
            <a:gd name="connsiteY99" fmla="*/ 1786916 h 2530838"/>
            <a:gd name="connsiteX100" fmla="*/ 245806 w 1374290"/>
            <a:gd name="connsiteY100" fmla="*/ 1776232 h 2530838"/>
            <a:gd name="connsiteX101" fmla="*/ 225029 w 1374290"/>
            <a:gd name="connsiteY101" fmla="*/ 1768714 h 2530838"/>
            <a:gd name="connsiteX102" fmla="*/ 214145 w 1374290"/>
            <a:gd name="connsiteY102" fmla="*/ 1762977 h 2530838"/>
            <a:gd name="connsiteX103" fmla="*/ 205043 w 1374290"/>
            <a:gd name="connsiteY103" fmla="*/ 1756843 h 2530838"/>
            <a:gd name="connsiteX104" fmla="*/ 201679 w 1374290"/>
            <a:gd name="connsiteY104" fmla="*/ 1748534 h 2530838"/>
            <a:gd name="connsiteX105" fmla="*/ 199700 w 1374290"/>
            <a:gd name="connsiteY105" fmla="*/ 1707976 h 2530838"/>
            <a:gd name="connsiteX106" fmla="*/ 199898 w 1374290"/>
            <a:gd name="connsiteY106" fmla="*/ 1660690 h 2530838"/>
            <a:gd name="connsiteX107" fmla="*/ 200689 w 1374290"/>
            <a:gd name="connsiteY107" fmla="*/ 1635762 h 2530838"/>
            <a:gd name="connsiteX108" fmla="*/ 193962 w 1374290"/>
            <a:gd name="connsiteY108" fmla="*/ 1637542 h 2530838"/>
            <a:gd name="connsiteX109" fmla="*/ 180902 w 1374290"/>
            <a:gd name="connsiteY109" fmla="*/ 1639719 h 2530838"/>
            <a:gd name="connsiteX110" fmla="*/ 171403 w 1374290"/>
            <a:gd name="connsiteY110" fmla="*/ 1628046 h 2530838"/>
            <a:gd name="connsiteX111" fmla="*/ 163290 w 1374290"/>
            <a:gd name="connsiteY111" fmla="*/ 1624485 h 2530838"/>
            <a:gd name="connsiteX112" fmla="*/ 151418 w 1374290"/>
            <a:gd name="connsiteY112" fmla="*/ 1622506 h 2530838"/>
            <a:gd name="connsiteX113" fmla="*/ 147262 w 1374290"/>
            <a:gd name="connsiteY113" fmla="*/ 1615779 h 2530838"/>
            <a:gd name="connsiteX114" fmla="*/ 142909 w 1374290"/>
            <a:gd name="connsiteY114" fmla="*/ 1613603 h 2530838"/>
            <a:gd name="connsiteX115" fmla="*/ 136775 w 1374290"/>
            <a:gd name="connsiteY115" fmla="*/ 1601337 h 2530838"/>
            <a:gd name="connsiteX116" fmla="*/ 138160 w 1374290"/>
            <a:gd name="connsiteY116" fmla="*/ 1586498 h 2530838"/>
            <a:gd name="connsiteX117" fmla="*/ 139941 w 1374290"/>
            <a:gd name="connsiteY117" fmla="*/ 1578189 h 2530838"/>
            <a:gd name="connsiteX118" fmla="*/ 142117 w 1374290"/>
            <a:gd name="connsiteY118" fmla="*/ 1567109 h 2530838"/>
            <a:gd name="connsiteX119" fmla="*/ 143898 w 1374290"/>
            <a:gd name="connsiteY119" fmla="*/ 1557019 h 2530838"/>
            <a:gd name="connsiteX120" fmla="*/ 145086 w 1374290"/>
            <a:gd name="connsiteY120" fmla="*/ 1552666 h 2530838"/>
            <a:gd name="connsiteX121" fmla="*/ 147262 w 1374290"/>
            <a:gd name="connsiteY121" fmla="*/ 1545346 h 2530838"/>
            <a:gd name="connsiteX122" fmla="*/ 163093 w 1374290"/>
            <a:gd name="connsiteY122" fmla="*/ 1521407 h 2530838"/>
            <a:gd name="connsiteX123" fmla="*/ 178923 w 1374290"/>
            <a:gd name="connsiteY123" fmla="*/ 1500237 h 2530838"/>
            <a:gd name="connsiteX124" fmla="*/ 182683 w 1374290"/>
            <a:gd name="connsiteY124" fmla="*/ 1495291 h 2530838"/>
            <a:gd name="connsiteX125" fmla="*/ 188025 w 1374290"/>
            <a:gd name="connsiteY125" fmla="*/ 1490939 h 2530838"/>
            <a:gd name="connsiteX126" fmla="*/ 197326 w 1374290"/>
            <a:gd name="connsiteY126" fmla="*/ 1472341 h 2530838"/>
            <a:gd name="connsiteX127" fmla="*/ 214739 w 1374290"/>
            <a:gd name="connsiteY127" fmla="*/ 1453546 h 2530838"/>
            <a:gd name="connsiteX128" fmla="*/ 224435 w 1374290"/>
            <a:gd name="connsiteY128" fmla="*/ 1446819 h 2530838"/>
            <a:gd name="connsiteX129" fmla="*/ 258866 w 1374290"/>
            <a:gd name="connsiteY129" fmla="*/ 1422088 h 2530838"/>
            <a:gd name="connsiteX130" fmla="*/ 264011 w 1374290"/>
            <a:gd name="connsiteY130" fmla="*/ 1418725 h 2530838"/>
            <a:gd name="connsiteX131" fmla="*/ 267968 w 1374290"/>
            <a:gd name="connsiteY131" fmla="*/ 1408635 h 2530838"/>
            <a:gd name="connsiteX132" fmla="*/ 271926 w 1374290"/>
            <a:gd name="connsiteY132" fmla="*/ 1400127 h 2530838"/>
            <a:gd name="connsiteX133" fmla="*/ 279643 w 1374290"/>
            <a:gd name="connsiteY133" fmla="*/ 1390433 h 2530838"/>
            <a:gd name="connsiteX134" fmla="*/ 290328 w 1374290"/>
            <a:gd name="connsiteY134" fmla="*/ 1367285 h 2530838"/>
            <a:gd name="connsiteX135" fmla="*/ 293890 w 1374290"/>
            <a:gd name="connsiteY135" fmla="*/ 1360360 h 2530838"/>
            <a:gd name="connsiteX136" fmla="*/ 302993 w 1374290"/>
            <a:gd name="connsiteY136" fmla="*/ 1298434 h 2530838"/>
            <a:gd name="connsiteX137" fmla="*/ 304774 w 1374290"/>
            <a:gd name="connsiteY137" fmla="*/ 1274297 h 2530838"/>
            <a:gd name="connsiteX138" fmla="*/ 297452 w 1374290"/>
            <a:gd name="connsiteY138" fmla="*/ 1267373 h 2530838"/>
            <a:gd name="connsiteX139" fmla="*/ 290922 w 1374290"/>
            <a:gd name="connsiteY139" fmla="*/ 1255502 h 2530838"/>
            <a:gd name="connsiteX140" fmla="*/ 288943 w 1374290"/>
            <a:gd name="connsiteY140" fmla="*/ 1249962 h 2530838"/>
            <a:gd name="connsiteX141" fmla="*/ 287756 w 1374290"/>
            <a:gd name="connsiteY141" fmla="*/ 1243235 h 2530838"/>
            <a:gd name="connsiteX142" fmla="*/ 292307 w 1374290"/>
            <a:gd name="connsiteY142" fmla="*/ 1238091 h 2530838"/>
            <a:gd name="connsiteX143" fmla="*/ 298441 w 1374290"/>
            <a:gd name="connsiteY143" fmla="*/ 1234332 h 2530838"/>
            <a:gd name="connsiteX144" fmla="*/ 300618 w 1374290"/>
            <a:gd name="connsiteY144" fmla="*/ 1221472 h 2530838"/>
            <a:gd name="connsiteX145" fmla="*/ 303388 w 1374290"/>
            <a:gd name="connsiteY145" fmla="*/ 1205843 h 2530838"/>
            <a:gd name="connsiteX146" fmla="*/ 307544 w 1374290"/>
            <a:gd name="connsiteY146" fmla="*/ 1191795 h 2530838"/>
            <a:gd name="connsiteX147" fmla="*/ 311304 w 1374290"/>
            <a:gd name="connsiteY147" fmla="*/ 1184673 h 2530838"/>
            <a:gd name="connsiteX148" fmla="*/ 316053 w 1374290"/>
            <a:gd name="connsiteY148" fmla="*/ 1180716 h 2530838"/>
            <a:gd name="connsiteX149" fmla="*/ 322187 w 1374290"/>
            <a:gd name="connsiteY149" fmla="*/ 1176759 h 2530838"/>
            <a:gd name="connsiteX150" fmla="*/ 328519 w 1374290"/>
            <a:gd name="connsiteY150" fmla="*/ 1173791 h 2530838"/>
            <a:gd name="connsiteX151" fmla="*/ 336632 w 1374290"/>
            <a:gd name="connsiteY151" fmla="*/ 1168647 h 2530838"/>
            <a:gd name="connsiteX152" fmla="*/ 341777 w 1374290"/>
            <a:gd name="connsiteY152" fmla="*/ 1158162 h 2530838"/>
            <a:gd name="connsiteX153" fmla="*/ 347317 w 1374290"/>
            <a:gd name="connsiteY153" fmla="*/ 1111668 h 2530838"/>
            <a:gd name="connsiteX154" fmla="*/ 349098 w 1374290"/>
            <a:gd name="connsiteY154" fmla="*/ 1090894 h 2530838"/>
            <a:gd name="connsiteX155" fmla="*/ 350286 w 1374290"/>
            <a:gd name="connsiteY155" fmla="*/ 1085750 h 2530838"/>
            <a:gd name="connsiteX156" fmla="*/ 357013 w 1374290"/>
            <a:gd name="connsiteY156" fmla="*/ 1087729 h 2530838"/>
            <a:gd name="connsiteX157" fmla="*/ 360179 w 1374290"/>
            <a:gd name="connsiteY157" fmla="*/ 1077045 h 2530838"/>
            <a:gd name="connsiteX158" fmla="*/ 365720 w 1374290"/>
            <a:gd name="connsiteY158" fmla="*/ 1063196 h 2530838"/>
            <a:gd name="connsiteX159" fmla="*/ 368292 w 1374290"/>
            <a:gd name="connsiteY159" fmla="*/ 1053105 h 2530838"/>
            <a:gd name="connsiteX160" fmla="*/ 373042 w 1374290"/>
            <a:gd name="connsiteY160" fmla="*/ 1037278 h 2530838"/>
            <a:gd name="connsiteX161" fmla="*/ 376801 w 1374290"/>
            <a:gd name="connsiteY161" fmla="*/ 1023429 h 2530838"/>
            <a:gd name="connsiteX162" fmla="*/ 371854 w 1374290"/>
            <a:gd name="connsiteY162" fmla="*/ 1015119 h 2530838"/>
            <a:gd name="connsiteX163" fmla="*/ 366116 w 1374290"/>
            <a:gd name="connsiteY163" fmla="*/ 1005820 h 2530838"/>
            <a:gd name="connsiteX164" fmla="*/ 355035 w 1374290"/>
            <a:gd name="connsiteY164" fmla="*/ 999291 h 2530838"/>
            <a:gd name="connsiteX165" fmla="*/ 347120 w 1374290"/>
            <a:gd name="connsiteY165" fmla="*/ 1000281 h 2530838"/>
            <a:gd name="connsiteX166" fmla="*/ 347120 w 1374290"/>
            <a:gd name="connsiteY166" fmla="*/ 991773 h 2530838"/>
            <a:gd name="connsiteX167" fmla="*/ 341183 w 1374290"/>
            <a:gd name="connsiteY167" fmla="*/ 977528 h 2530838"/>
            <a:gd name="connsiteX168" fmla="*/ 335247 w 1374290"/>
            <a:gd name="connsiteY168" fmla="*/ 966647 h 2530838"/>
            <a:gd name="connsiteX169" fmla="*/ 328321 w 1374290"/>
            <a:gd name="connsiteY169" fmla="*/ 954974 h 2530838"/>
            <a:gd name="connsiteX170" fmla="*/ 321395 w 1374290"/>
            <a:gd name="connsiteY170" fmla="*/ 945082 h 2530838"/>
            <a:gd name="connsiteX171" fmla="*/ 316448 w 1374290"/>
            <a:gd name="connsiteY171" fmla="*/ 934200 h 2530838"/>
            <a:gd name="connsiteX172" fmla="*/ 311501 w 1374290"/>
            <a:gd name="connsiteY172" fmla="*/ 921538 h 2530838"/>
            <a:gd name="connsiteX173" fmla="*/ 306554 w 1374290"/>
            <a:gd name="connsiteY173" fmla="*/ 912833 h 2530838"/>
            <a:gd name="connsiteX174" fmla="*/ 299629 w 1374290"/>
            <a:gd name="connsiteY174" fmla="*/ 904523 h 2530838"/>
            <a:gd name="connsiteX175" fmla="*/ 293494 w 1374290"/>
            <a:gd name="connsiteY175" fmla="*/ 899775 h 2530838"/>
            <a:gd name="connsiteX176" fmla="*/ 287162 w 1374290"/>
            <a:gd name="connsiteY176" fmla="*/ 893839 h 2530838"/>
            <a:gd name="connsiteX177" fmla="*/ 279643 w 1374290"/>
            <a:gd name="connsiteY177" fmla="*/ 887904 h 2530838"/>
            <a:gd name="connsiteX178" fmla="*/ 270343 w 1374290"/>
            <a:gd name="connsiteY178" fmla="*/ 875835 h 2530838"/>
            <a:gd name="connsiteX179" fmla="*/ 259459 w 1374290"/>
            <a:gd name="connsiteY179" fmla="*/ 863173 h 2530838"/>
            <a:gd name="connsiteX180" fmla="*/ 233142 w 1374290"/>
            <a:gd name="connsiteY180" fmla="*/ 835871 h 2530838"/>
            <a:gd name="connsiteX181" fmla="*/ 235516 w 1374290"/>
            <a:gd name="connsiteY181" fmla="*/ 827561 h 2530838"/>
            <a:gd name="connsiteX182" fmla="*/ 239078 w 1374290"/>
            <a:gd name="connsiteY182" fmla="*/ 817669 h 2530838"/>
            <a:gd name="connsiteX183" fmla="*/ 235318 w 1374290"/>
            <a:gd name="connsiteY183" fmla="*/ 801841 h 2530838"/>
            <a:gd name="connsiteX184" fmla="*/ 230371 w 1374290"/>
            <a:gd name="connsiteY184" fmla="*/ 787992 h 2530838"/>
            <a:gd name="connsiteX185" fmla="*/ 224435 w 1374290"/>
            <a:gd name="connsiteY185" fmla="*/ 768207 h 2530838"/>
            <a:gd name="connsiteX186" fmla="*/ 218499 w 1374290"/>
            <a:gd name="connsiteY186" fmla="*/ 751390 h 2530838"/>
            <a:gd name="connsiteX187" fmla="*/ 211573 w 1374290"/>
            <a:gd name="connsiteY187" fmla="*/ 737541 h 2530838"/>
            <a:gd name="connsiteX188" fmla="*/ 203460 w 1374290"/>
            <a:gd name="connsiteY188" fmla="*/ 720526 h 2530838"/>
            <a:gd name="connsiteX189" fmla="*/ 196732 w 1374290"/>
            <a:gd name="connsiteY189" fmla="*/ 708062 h 2530838"/>
            <a:gd name="connsiteX190" fmla="*/ 191587 w 1374290"/>
            <a:gd name="connsiteY190" fmla="*/ 693422 h 2530838"/>
            <a:gd name="connsiteX191" fmla="*/ 193566 w 1374290"/>
            <a:gd name="connsiteY191" fmla="*/ 681551 h 2530838"/>
            <a:gd name="connsiteX192" fmla="*/ 188025 w 1374290"/>
            <a:gd name="connsiteY192" fmla="*/ 671065 h 2530838"/>
            <a:gd name="connsiteX193" fmla="*/ 180902 w 1374290"/>
            <a:gd name="connsiteY193" fmla="*/ 662162 h 2530838"/>
            <a:gd name="connsiteX194" fmla="*/ 187036 w 1374290"/>
            <a:gd name="connsiteY194" fmla="*/ 656622 h 2530838"/>
            <a:gd name="connsiteX195" fmla="*/ 190993 w 1374290"/>
            <a:gd name="connsiteY195" fmla="*/ 651676 h 2530838"/>
            <a:gd name="connsiteX196" fmla="*/ 188817 w 1374290"/>
            <a:gd name="connsiteY196" fmla="*/ 644356 h 2530838"/>
            <a:gd name="connsiteX197" fmla="*/ 183870 w 1374290"/>
            <a:gd name="connsiteY197" fmla="*/ 645741 h 2530838"/>
            <a:gd name="connsiteX198" fmla="*/ 182683 w 1374290"/>
            <a:gd name="connsiteY198" fmla="*/ 652863 h 2530838"/>
            <a:gd name="connsiteX199" fmla="*/ 179319 w 1374290"/>
            <a:gd name="connsiteY199" fmla="*/ 648313 h 2530838"/>
            <a:gd name="connsiteX200" fmla="*/ 175559 w 1374290"/>
            <a:gd name="connsiteY200" fmla="*/ 636640 h 2530838"/>
            <a:gd name="connsiteX201" fmla="*/ 163884 w 1374290"/>
            <a:gd name="connsiteY201" fmla="*/ 603006 h 2530838"/>
            <a:gd name="connsiteX202" fmla="*/ 159135 w 1374290"/>
            <a:gd name="connsiteY202" fmla="*/ 594103 h 2530838"/>
            <a:gd name="connsiteX203" fmla="*/ 152209 w 1374290"/>
            <a:gd name="connsiteY203" fmla="*/ 585200 h 2530838"/>
            <a:gd name="connsiteX204" fmla="*/ 155375 w 1374290"/>
            <a:gd name="connsiteY204" fmla="*/ 593311 h 2530838"/>
            <a:gd name="connsiteX205" fmla="*/ 157354 w 1374290"/>
            <a:gd name="connsiteY205" fmla="*/ 601621 h 2530838"/>
            <a:gd name="connsiteX206" fmla="*/ 146471 w 1374290"/>
            <a:gd name="connsiteY206" fmla="*/ 585595 h 2530838"/>
            <a:gd name="connsiteX207" fmla="*/ 150033 w 1374290"/>
            <a:gd name="connsiteY207" fmla="*/ 563832 h 2530838"/>
            <a:gd name="connsiteX208" fmla="*/ 153594 w 1374290"/>
            <a:gd name="connsiteY208" fmla="*/ 546224 h 2530838"/>
            <a:gd name="connsiteX209" fmla="*/ 148252 w 1374290"/>
            <a:gd name="connsiteY209" fmla="*/ 528418 h 2530838"/>
            <a:gd name="connsiteX210" fmla="*/ 144294 w 1374290"/>
            <a:gd name="connsiteY210" fmla="*/ 515954 h 2530838"/>
            <a:gd name="connsiteX211" fmla="*/ 142711 w 1374290"/>
            <a:gd name="connsiteY211" fmla="*/ 503292 h 2530838"/>
            <a:gd name="connsiteX212" fmla="*/ 140534 w 1374290"/>
            <a:gd name="connsiteY212" fmla="*/ 487860 h 2530838"/>
            <a:gd name="connsiteX213" fmla="*/ 145284 w 1374290"/>
            <a:gd name="connsiteY213" fmla="*/ 453434 h 2530838"/>
            <a:gd name="connsiteX214" fmla="*/ 152011 w 1374290"/>
            <a:gd name="connsiteY214" fmla="*/ 406545 h 2530838"/>
            <a:gd name="connsiteX215" fmla="*/ 155771 w 1374290"/>
            <a:gd name="connsiteY215" fmla="*/ 351346 h 2530838"/>
            <a:gd name="connsiteX216" fmla="*/ 162103 w 1374290"/>
            <a:gd name="connsiteY216" fmla="*/ 351742 h 2530838"/>
            <a:gd name="connsiteX217" fmla="*/ 164676 w 1374290"/>
            <a:gd name="connsiteY217" fmla="*/ 355698 h 2530838"/>
            <a:gd name="connsiteX218" fmla="*/ 163884 w 1374290"/>
            <a:gd name="connsiteY218" fmla="*/ 361040 h 2530838"/>
            <a:gd name="connsiteX219" fmla="*/ 166457 w 1374290"/>
            <a:gd name="connsiteY219" fmla="*/ 360249 h 2530838"/>
            <a:gd name="connsiteX220" fmla="*/ 171403 w 1374290"/>
            <a:gd name="connsiteY220" fmla="*/ 363217 h 2530838"/>
            <a:gd name="connsiteX221" fmla="*/ 175163 w 1374290"/>
            <a:gd name="connsiteY221" fmla="*/ 367965 h 2530838"/>
            <a:gd name="connsiteX222" fmla="*/ 174767 w 1374290"/>
            <a:gd name="connsiteY222" fmla="*/ 379242 h 2530838"/>
            <a:gd name="connsiteX223" fmla="*/ 169029 w 1374290"/>
            <a:gd name="connsiteY223" fmla="*/ 385375 h 2530838"/>
            <a:gd name="connsiteX224" fmla="*/ 173976 w 1374290"/>
            <a:gd name="connsiteY224" fmla="*/ 392696 h 2530838"/>
            <a:gd name="connsiteX225" fmla="*/ 173976 w 1374290"/>
            <a:gd name="connsiteY225" fmla="*/ 405160 h 2530838"/>
            <a:gd name="connsiteX226" fmla="*/ 160124 w 1374290"/>
            <a:gd name="connsiteY226" fmla="*/ 417624 h 2530838"/>
            <a:gd name="connsiteX227" fmla="*/ 165071 w 1374290"/>
            <a:gd name="connsiteY227" fmla="*/ 418020 h 2530838"/>
            <a:gd name="connsiteX228" fmla="*/ 171601 w 1374290"/>
            <a:gd name="connsiteY228" fmla="*/ 413074 h 2530838"/>
            <a:gd name="connsiteX229" fmla="*/ 178725 w 1374290"/>
            <a:gd name="connsiteY229" fmla="*/ 424549 h 2530838"/>
            <a:gd name="connsiteX230" fmla="*/ 190993 w 1374290"/>
            <a:gd name="connsiteY230" fmla="*/ 446708 h 2530838"/>
            <a:gd name="connsiteX231" fmla="*/ 202668 w 1374290"/>
            <a:gd name="connsiteY231" fmla="*/ 455809 h 2530838"/>
            <a:gd name="connsiteX232" fmla="*/ 204647 w 1374290"/>
            <a:gd name="connsiteY232" fmla="*/ 460557 h 2530838"/>
            <a:gd name="connsiteX233" fmla="*/ 205439 w 1374290"/>
            <a:gd name="connsiteY233" fmla="*/ 457589 h 2530838"/>
            <a:gd name="connsiteX234" fmla="*/ 211375 w 1374290"/>
            <a:gd name="connsiteY234" fmla="*/ 460161 h 2530838"/>
            <a:gd name="connsiteX235" fmla="*/ 215530 w 1374290"/>
            <a:gd name="connsiteY235" fmla="*/ 462140 h 2530838"/>
            <a:gd name="connsiteX236" fmla="*/ 211969 w 1374290"/>
            <a:gd name="connsiteY236" fmla="*/ 450269 h 2530838"/>
            <a:gd name="connsiteX237" fmla="*/ 214739 w 1374290"/>
            <a:gd name="connsiteY237" fmla="*/ 438992 h 2530838"/>
            <a:gd name="connsiteX238" fmla="*/ 220477 w 1374290"/>
            <a:gd name="connsiteY238" fmla="*/ 445125 h 2530838"/>
            <a:gd name="connsiteX239" fmla="*/ 220477 w 1374290"/>
            <a:gd name="connsiteY239" fmla="*/ 438992 h 2530838"/>
            <a:gd name="connsiteX240" fmla="*/ 225226 w 1374290"/>
            <a:gd name="connsiteY240" fmla="*/ 427912 h 2530838"/>
            <a:gd name="connsiteX241" fmla="*/ 229382 w 1374290"/>
            <a:gd name="connsiteY241" fmla="*/ 407138 h 2530838"/>
            <a:gd name="connsiteX242" fmla="*/ 229778 w 1374290"/>
            <a:gd name="connsiteY242" fmla="*/ 391311 h 2530838"/>
            <a:gd name="connsiteX243" fmla="*/ 233339 w 1374290"/>
            <a:gd name="connsiteY243" fmla="*/ 394674 h 2530838"/>
            <a:gd name="connsiteX244" fmla="*/ 239078 w 1374290"/>
            <a:gd name="connsiteY244" fmla="*/ 395466 h 2530838"/>
            <a:gd name="connsiteX245" fmla="*/ 250555 w 1374290"/>
            <a:gd name="connsiteY245" fmla="*/ 393883 h 2530838"/>
            <a:gd name="connsiteX246" fmla="*/ 265989 w 1374290"/>
            <a:gd name="connsiteY246" fmla="*/ 380429 h 2530838"/>
            <a:gd name="connsiteX247" fmla="*/ 263615 w 1374290"/>
            <a:gd name="connsiteY247" fmla="*/ 365591 h 2530838"/>
            <a:gd name="connsiteX248" fmla="*/ 268166 w 1374290"/>
            <a:gd name="connsiteY248" fmla="*/ 354116 h 2530838"/>
            <a:gd name="connsiteX249" fmla="*/ 268562 w 1374290"/>
            <a:gd name="connsiteY249" fmla="*/ 355698 h 2530838"/>
            <a:gd name="connsiteX250" fmla="*/ 270936 w 1374290"/>
            <a:gd name="connsiteY250" fmla="*/ 363612 h 2530838"/>
            <a:gd name="connsiteX251" fmla="*/ 275685 w 1374290"/>
            <a:gd name="connsiteY251" fmla="*/ 351544 h 2530838"/>
            <a:gd name="connsiteX252" fmla="*/ 274498 w 1374290"/>
            <a:gd name="connsiteY252" fmla="*/ 333738 h 2530838"/>
            <a:gd name="connsiteX253" fmla="*/ 276675 w 1374290"/>
            <a:gd name="connsiteY253" fmla="*/ 315338 h 2530838"/>
            <a:gd name="connsiteX254" fmla="*/ 283996 w 1374290"/>
            <a:gd name="connsiteY254" fmla="*/ 301093 h 2530838"/>
            <a:gd name="connsiteX255" fmla="*/ 287954 w 1374290"/>
            <a:gd name="connsiteY255" fmla="*/ 305050 h 2530838"/>
            <a:gd name="connsiteX256" fmla="*/ 287954 w 1374290"/>
            <a:gd name="connsiteY256" fmla="*/ 312964 h 2530838"/>
            <a:gd name="connsiteX257" fmla="*/ 288745 w 1374290"/>
            <a:gd name="connsiteY257" fmla="*/ 320878 h 2530838"/>
            <a:gd name="connsiteX258" fmla="*/ 289141 w 1374290"/>
            <a:gd name="connsiteY258" fmla="*/ 336705 h 2530838"/>
            <a:gd name="connsiteX259" fmla="*/ 288547 w 1374290"/>
            <a:gd name="connsiteY259" fmla="*/ 349763 h 2530838"/>
            <a:gd name="connsiteX260" fmla="*/ 298639 w 1374290"/>
            <a:gd name="connsiteY260" fmla="*/ 343828 h 2530838"/>
            <a:gd name="connsiteX261" fmla="*/ 307742 w 1374290"/>
            <a:gd name="connsiteY261" fmla="*/ 335914 h 2530838"/>
            <a:gd name="connsiteX262" fmla="*/ 312293 w 1374290"/>
            <a:gd name="connsiteY262" fmla="*/ 329979 h 2530838"/>
            <a:gd name="connsiteX263" fmla="*/ 315261 w 1374290"/>
            <a:gd name="connsiteY263" fmla="*/ 321273 h 2530838"/>
            <a:gd name="connsiteX264" fmla="*/ 328321 w 1374290"/>
            <a:gd name="connsiteY264" fmla="*/ 287046 h 2530838"/>
            <a:gd name="connsiteX265" fmla="*/ 334455 w 1374290"/>
            <a:gd name="connsiteY265" fmla="*/ 276560 h 2530838"/>
            <a:gd name="connsiteX266" fmla="*/ 337226 w 1374290"/>
            <a:gd name="connsiteY266" fmla="*/ 271614 h 2530838"/>
            <a:gd name="connsiteX267" fmla="*/ 335247 w 1374290"/>
            <a:gd name="connsiteY267" fmla="*/ 264492 h 2530838"/>
            <a:gd name="connsiteX268" fmla="*/ 343162 w 1374290"/>
            <a:gd name="connsiteY268" fmla="*/ 266668 h 2530838"/>
            <a:gd name="connsiteX269" fmla="*/ 352660 w 1374290"/>
            <a:gd name="connsiteY269" fmla="*/ 275175 h 2530838"/>
            <a:gd name="connsiteX270" fmla="*/ 362158 w 1374290"/>
            <a:gd name="connsiteY270" fmla="*/ 275967 h 2530838"/>
            <a:gd name="connsiteX271" fmla="*/ 360971 w 1374290"/>
            <a:gd name="connsiteY271" fmla="*/ 269833 h 2530838"/>
            <a:gd name="connsiteX272" fmla="*/ 358992 w 1374290"/>
            <a:gd name="connsiteY272" fmla="*/ 260535 h 2530838"/>
            <a:gd name="connsiteX273" fmla="*/ 371063 w 1374290"/>
            <a:gd name="connsiteY273" fmla="*/ 249455 h 2530838"/>
            <a:gd name="connsiteX274" fmla="*/ 383727 w 1374290"/>
            <a:gd name="connsiteY274" fmla="*/ 224131 h 2530838"/>
            <a:gd name="connsiteX275" fmla="*/ 383529 w 1374290"/>
            <a:gd name="connsiteY275" fmla="*/ 209095 h 2530838"/>
            <a:gd name="connsiteX276" fmla="*/ 393027 w 1374290"/>
            <a:gd name="connsiteY276" fmla="*/ 195641 h 2530838"/>
            <a:gd name="connsiteX277" fmla="*/ 402525 w 1374290"/>
            <a:gd name="connsiteY277" fmla="*/ 189310 h 2530838"/>
            <a:gd name="connsiteX278" fmla="*/ 408066 w 1374290"/>
            <a:gd name="connsiteY278" fmla="*/ 186540 h 2530838"/>
            <a:gd name="connsiteX279" fmla="*/ 411430 w 1374290"/>
            <a:gd name="connsiteY279" fmla="*/ 182979 h 2530838"/>
            <a:gd name="connsiteX280" fmla="*/ 409847 w 1374290"/>
            <a:gd name="connsiteY280" fmla="*/ 176252 h 2530838"/>
            <a:gd name="connsiteX281" fmla="*/ 416377 w 1374290"/>
            <a:gd name="connsiteY281" fmla="*/ 173680 h 2530838"/>
            <a:gd name="connsiteX282" fmla="*/ 423303 w 1374290"/>
            <a:gd name="connsiteY282" fmla="*/ 168932 h 2530838"/>
            <a:gd name="connsiteX283" fmla="*/ 428448 w 1374290"/>
            <a:gd name="connsiteY283" fmla="*/ 160820 h 2530838"/>
            <a:gd name="connsiteX284" fmla="*/ 429437 w 1374290"/>
            <a:gd name="connsiteY284" fmla="*/ 156665 h 2530838"/>
            <a:gd name="connsiteX285" fmla="*/ 432207 w 1374290"/>
            <a:gd name="connsiteY285" fmla="*/ 155874 h 2530838"/>
            <a:gd name="connsiteX286" fmla="*/ 439924 w 1374290"/>
            <a:gd name="connsiteY286" fmla="*/ 149939 h 2530838"/>
            <a:gd name="connsiteX287" fmla="*/ 447246 w 1374290"/>
            <a:gd name="connsiteY287" fmla="*/ 144993 h 2530838"/>
            <a:gd name="connsiteX288" fmla="*/ 451995 w 1374290"/>
            <a:gd name="connsiteY288" fmla="*/ 149939 h 2530838"/>
            <a:gd name="connsiteX289" fmla="*/ 453578 w 1374290"/>
            <a:gd name="connsiteY289" fmla="*/ 142816 h 2530838"/>
            <a:gd name="connsiteX290" fmla="*/ 453776 w 1374290"/>
            <a:gd name="connsiteY290" fmla="*/ 131539 h 2530838"/>
            <a:gd name="connsiteX291" fmla="*/ 465055 w 1374290"/>
            <a:gd name="connsiteY291" fmla="*/ 163590 h 2530838"/>
            <a:gd name="connsiteX292" fmla="*/ 467034 w 1374290"/>
            <a:gd name="connsiteY292" fmla="*/ 175857 h 2530838"/>
            <a:gd name="connsiteX293" fmla="*/ 472772 w 1374290"/>
            <a:gd name="connsiteY293" fmla="*/ 175065 h 2530838"/>
            <a:gd name="connsiteX294" fmla="*/ 478313 w 1374290"/>
            <a:gd name="connsiteY294" fmla="*/ 172889 h 2530838"/>
            <a:gd name="connsiteX295" fmla="*/ 485634 w 1374290"/>
            <a:gd name="connsiteY295" fmla="*/ 171702 h 2530838"/>
            <a:gd name="connsiteX296" fmla="*/ 488998 w 1374290"/>
            <a:gd name="connsiteY296" fmla="*/ 162799 h 2530838"/>
            <a:gd name="connsiteX297" fmla="*/ 493352 w 1374290"/>
            <a:gd name="connsiteY297" fmla="*/ 151126 h 2530838"/>
            <a:gd name="connsiteX298" fmla="*/ 503246 w 1374290"/>
            <a:gd name="connsiteY298" fmla="*/ 145982 h 2530838"/>
            <a:gd name="connsiteX299" fmla="*/ 525408 w 1374290"/>
            <a:gd name="connsiteY299" fmla="*/ 138068 h 2530838"/>
            <a:gd name="connsiteX300" fmla="*/ 545196 w 1374290"/>
            <a:gd name="connsiteY300" fmla="*/ 130154 h 2530838"/>
            <a:gd name="connsiteX301" fmla="*/ 552913 w 1374290"/>
            <a:gd name="connsiteY301" fmla="*/ 133517 h 2530838"/>
            <a:gd name="connsiteX302" fmla="*/ 561818 w 1374290"/>
            <a:gd name="connsiteY302" fmla="*/ 133517 h 2530838"/>
            <a:gd name="connsiteX303" fmla="*/ 567754 w 1374290"/>
            <a:gd name="connsiteY303" fmla="*/ 130154 h 2530838"/>
            <a:gd name="connsiteX304" fmla="*/ 572701 w 1374290"/>
            <a:gd name="connsiteY304" fmla="*/ 117294 h 2530838"/>
            <a:gd name="connsiteX305" fmla="*/ 574878 w 1374290"/>
            <a:gd name="connsiteY305" fmla="*/ 109380 h 2530838"/>
            <a:gd name="connsiteX306" fmla="*/ 576263 w 1374290"/>
            <a:gd name="connsiteY306" fmla="*/ 101862 h 2530838"/>
            <a:gd name="connsiteX307" fmla="*/ 582595 w 1374290"/>
            <a:gd name="connsiteY307" fmla="*/ 96125 h 2530838"/>
            <a:gd name="connsiteX308" fmla="*/ 596248 w 1374290"/>
            <a:gd name="connsiteY308" fmla="*/ 99686 h 2530838"/>
            <a:gd name="connsiteX309" fmla="*/ 604164 w 1374290"/>
            <a:gd name="connsiteY309" fmla="*/ 100675 h 2530838"/>
            <a:gd name="connsiteX310" fmla="*/ 612079 w 1374290"/>
            <a:gd name="connsiteY310" fmla="*/ 98103 h 2530838"/>
            <a:gd name="connsiteX311" fmla="*/ 619796 w 1374290"/>
            <a:gd name="connsiteY311" fmla="*/ 87815 h 2530838"/>
            <a:gd name="connsiteX312" fmla="*/ 618015 w 1374290"/>
            <a:gd name="connsiteY312" fmla="*/ 75549 h 2530838"/>
            <a:gd name="connsiteX313" fmla="*/ 620587 w 1374290"/>
            <a:gd name="connsiteY313" fmla="*/ 59919 h 2530838"/>
            <a:gd name="connsiteX314" fmla="*/ 621181 w 1374290"/>
            <a:gd name="connsiteY314" fmla="*/ 46267 h 2530838"/>
            <a:gd name="connsiteX315" fmla="*/ 612277 w 1374290"/>
            <a:gd name="connsiteY315" fmla="*/ 42904 h 2530838"/>
            <a:gd name="connsiteX316" fmla="*/ 602778 w 1374290"/>
            <a:gd name="connsiteY316" fmla="*/ 33012 h 2530838"/>
            <a:gd name="connsiteX317" fmla="*/ 600206 w 1374290"/>
            <a:gd name="connsiteY317" fmla="*/ 24109 h 2530838"/>
            <a:gd name="connsiteX318" fmla="*/ 611881 w 1374290"/>
            <a:gd name="connsiteY318" fmla="*/ 12238 h 2530838"/>
            <a:gd name="connsiteX319" fmla="*/ 622171 w 1374290"/>
            <a:gd name="connsiteY319" fmla="*/ -3194 h 2530838"/>
            <a:gd name="connsiteX320" fmla="*/ 626722 w 1374290"/>
            <a:gd name="connsiteY320" fmla="*/ -5173 h 2530838"/>
            <a:gd name="connsiteX321" fmla="*/ 645520 w 1374290"/>
            <a:gd name="connsiteY321" fmla="*/ 15403 h 2530838"/>
            <a:gd name="connsiteX322" fmla="*/ 654227 w 1374290"/>
            <a:gd name="connsiteY322" fmla="*/ 25296 h 2530838"/>
            <a:gd name="connsiteX323" fmla="*/ 664517 w 1374290"/>
            <a:gd name="connsiteY323" fmla="*/ 30242 h 2530838"/>
            <a:gd name="connsiteX324" fmla="*/ 677379 w 1374290"/>
            <a:gd name="connsiteY324" fmla="*/ 35188 h 2530838"/>
            <a:gd name="connsiteX325" fmla="*/ 688856 w 1374290"/>
            <a:gd name="connsiteY325" fmla="*/ 39145 h 2530838"/>
            <a:gd name="connsiteX326" fmla="*/ 696375 w 1374290"/>
            <a:gd name="connsiteY326" fmla="*/ 43102 h 2530838"/>
            <a:gd name="connsiteX327" fmla="*/ 710424 w 1374290"/>
            <a:gd name="connsiteY327" fmla="*/ 28066 h 2530838"/>
            <a:gd name="connsiteX328" fmla="*/ 721110 w 1374290"/>
            <a:gd name="connsiteY328" fmla="*/ 18371 h 2530838"/>
            <a:gd name="connsiteX329" fmla="*/ 731795 w 1374290"/>
            <a:gd name="connsiteY329" fmla="*/ 15997 h 2530838"/>
            <a:gd name="connsiteX330" fmla="*/ 736346 w 1374290"/>
            <a:gd name="connsiteY330" fmla="*/ 10655 h 2530838"/>
            <a:gd name="connsiteX331" fmla="*/ 738919 w 1374290"/>
            <a:gd name="connsiteY331" fmla="*/ 15601 h 2530838"/>
            <a:gd name="connsiteX332" fmla="*/ 754551 w 1374290"/>
            <a:gd name="connsiteY332" fmla="*/ 31429 h 2530838"/>
            <a:gd name="connsiteX333" fmla="*/ 757915 w 1374290"/>
            <a:gd name="connsiteY333" fmla="*/ 41915 h 2530838"/>
            <a:gd name="connsiteX334" fmla="*/ 767611 w 1374290"/>
            <a:gd name="connsiteY334" fmla="*/ 62491 h 2530838"/>
            <a:gd name="connsiteX335" fmla="*/ 779880 w 1374290"/>
            <a:gd name="connsiteY335" fmla="*/ 84650 h 2530838"/>
            <a:gd name="connsiteX336" fmla="*/ 774339 w 1374290"/>
            <a:gd name="connsiteY336" fmla="*/ 101664 h 2530838"/>
            <a:gd name="connsiteX337" fmla="*/ 762466 w 1374290"/>
            <a:gd name="connsiteY337" fmla="*/ 107600 h 2530838"/>
            <a:gd name="connsiteX338" fmla="*/ 758113 w 1374290"/>
            <a:gd name="connsiteY338" fmla="*/ 110963 h 2530838"/>
            <a:gd name="connsiteX339" fmla="*/ 751781 w 1374290"/>
            <a:gd name="connsiteY339" fmla="*/ 122240 h 2530838"/>
            <a:gd name="connsiteX340" fmla="*/ 744657 w 1374290"/>
            <a:gd name="connsiteY340" fmla="*/ 129165 h 2530838"/>
            <a:gd name="connsiteX341" fmla="*/ 740898 w 1374290"/>
            <a:gd name="connsiteY341" fmla="*/ 124812 h 2530838"/>
            <a:gd name="connsiteX342" fmla="*/ 737336 w 1374290"/>
            <a:gd name="connsiteY342" fmla="*/ 124021 h 2530838"/>
            <a:gd name="connsiteX343" fmla="*/ 735753 w 1374290"/>
            <a:gd name="connsiteY343" fmla="*/ 133517 h 2530838"/>
            <a:gd name="connsiteX344" fmla="*/ 679951 w 1374290"/>
            <a:gd name="connsiteY344" fmla="*/ 204544 h 2530838"/>
            <a:gd name="connsiteX345" fmla="*/ 653435 w 1374290"/>
            <a:gd name="connsiteY345" fmla="*/ 213447 h 2530838"/>
            <a:gd name="connsiteX346" fmla="*/ 645124 w 1374290"/>
            <a:gd name="connsiteY346" fmla="*/ 216019 h 2530838"/>
            <a:gd name="connsiteX347" fmla="*/ 648488 w 1374290"/>
            <a:gd name="connsiteY347" fmla="*/ 211271 h 2530838"/>
            <a:gd name="connsiteX348" fmla="*/ 656403 w 1374290"/>
            <a:gd name="connsiteY348" fmla="*/ 205138 h 2530838"/>
            <a:gd name="connsiteX349" fmla="*/ 648884 w 1374290"/>
            <a:gd name="connsiteY349" fmla="*/ 205336 h 2530838"/>
            <a:gd name="connsiteX350" fmla="*/ 638397 w 1374290"/>
            <a:gd name="connsiteY350" fmla="*/ 203951 h 2530838"/>
            <a:gd name="connsiteX351" fmla="*/ 618213 w 1374290"/>
            <a:gd name="connsiteY351" fmla="*/ 199796 h 2530838"/>
            <a:gd name="connsiteX352" fmla="*/ 582991 w 1374290"/>
            <a:gd name="connsiteY352" fmla="*/ 210677 h 2530838"/>
            <a:gd name="connsiteX353" fmla="*/ 571316 w 1374290"/>
            <a:gd name="connsiteY353" fmla="*/ 215821 h 2530838"/>
            <a:gd name="connsiteX354" fmla="*/ 545987 w 1374290"/>
            <a:gd name="connsiteY354" fmla="*/ 246488 h 2530838"/>
            <a:gd name="connsiteX355" fmla="*/ 530751 w 1374290"/>
            <a:gd name="connsiteY355" fmla="*/ 263898 h 2530838"/>
            <a:gd name="connsiteX356" fmla="*/ 519274 w 1374290"/>
            <a:gd name="connsiteY356" fmla="*/ 278341 h 2530838"/>
            <a:gd name="connsiteX357" fmla="*/ 487217 w 1374290"/>
            <a:gd name="connsiteY357" fmla="*/ 412678 h 2530838"/>
            <a:gd name="connsiteX358" fmla="*/ 480292 w 1374290"/>
            <a:gd name="connsiteY358" fmla="*/ 426923 h 2530838"/>
            <a:gd name="connsiteX359" fmla="*/ 475740 w 1374290"/>
            <a:gd name="connsiteY359" fmla="*/ 428901 h 2530838"/>
            <a:gd name="connsiteX360" fmla="*/ 479896 w 1374290"/>
            <a:gd name="connsiteY360" fmla="*/ 430880 h 2530838"/>
            <a:gd name="connsiteX361" fmla="*/ 482666 w 1374290"/>
            <a:gd name="connsiteY361" fmla="*/ 435430 h 2530838"/>
            <a:gd name="connsiteX362" fmla="*/ 461889 w 1374290"/>
            <a:gd name="connsiteY362" fmla="*/ 475395 h 2530838"/>
            <a:gd name="connsiteX363" fmla="*/ 456151 w 1374290"/>
            <a:gd name="connsiteY363" fmla="*/ 473021 h 2530838"/>
            <a:gd name="connsiteX364" fmla="*/ 463274 w 1374290"/>
            <a:gd name="connsiteY364" fmla="*/ 458974 h 2530838"/>
            <a:gd name="connsiteX365" fmla="*/ 469013 w 1374290"/>
            <a:gd name="connsiteY365" fmla="*/ 445521 h 2530838"/>
            <a:gd name="connsiteX366" fmla="*/ 467034 w 1374290"/>
            <a:gd name="connsiteY366" fmla="*/ 442157 h 2530838"/>
            <a:gd name="connsiteX367" fmla="*/ 462087 w 1374290"/>
            <a:gd name="connsiteY367" fmla="*/ 448093 h 2530838"/>
            <a:gd name="connsiteX368" fmla="*/ 451797 w 1374290"/>
            <a:gd name="connsiteY368" fmla="*/ 462140 h 2530838"/>
            <a:gd name="connsiteX369" fmla="*/ 439924 w 1374290"/>
            <a:gd name="connsiteY369" fmla="*/ 477176 h 2530838"/>
            <a:gd name="connsiteX370" fmla="*/ 431020 w 1374290"/>
            <a:gd name="connsiteY370" fmla="*/ 493795 h 2530838"/>
            <a:gd name="connsiteX371" fmla="*/ 424094 w 1374290"/>
            <a:gd name="connsiteY371" fmla="*/ 537915 h 2530838"/>
            <a:gd name="connsiteX372" fmla="*/ 419345 w 1374290"/>
            <a:gd name="connsiteY372" fmla="*/ 577879 h 2530838"/>
            <a:gd name="connsiteX373" fmla="*/ 416377 w 1374290"/>
            <a:gd name="connsiteY373" fmla="*/ 588167 h 2530838"/>
            <a:gd name="connsiteX374" fmla="*/ 413409 w 1374290"/>
            <a:gd name="connsiteY374" fmla="*/ 598258 h 2530838"/>
            <a:gd name="connsiteX375" fmla="*/ 410441 w 1374290"/>
            <a:gd name="connsiteY375" fmla="*/ 604984 h 2530838"/>
            <a:gd name="connsiteX376" fmla="*/ 396985 w 1374290"/>
            <a:gd name="connsiteY376" fmla="*/ 611118 h 2530838"/>
            <a:gd name="connsiteX377" fmla="*/ 383727 w 1374290"/>
            <a:gd name="connsiteY377" fmla="*/ 614481 h 2530838"/>
            <a:gd name="connsiteX378" fmla="*/ 378384 w 1374290"/>
            <a:gd name="connsiteY378" fmla="*/ 609535 h 2530838"/>
            <a:gd name="connsiteX379" fmla="*/ 365126 w 1374290"/>
            <a:gd name="connsiteY379" fmla="*/ 605776 h 2530838"/>
            <a:gd name="connsiteX380" fmla="*/ 354045 w 1374290"/>
            <a:gd name="connsiteY380" fmla="*/ 601027 h 2530838"/>
            <a:gd name="connsiteX381" fmla="*/ 349494 w 1374290"/>
            <a:gd name="connsiteY381" fmla="*/ 594894 h 2530838"/>
            <a:gd name="connsiteX382" fmla="*/ 342568 w 1374290"/>
            <a:gd name="connsiteY382" fmla="*/ 594301 h 2530838"/>
            <a:gd name="connsiteX383" fmla="*/ 335049 w 1374290"/>
            <a:gd name="connsiteY383" fmla="*/ 590542 h 2530838"/>
            <a:gd name="connsiteX384" fmla="*/ 329310 w 1374290"/>
            <a:gd name="connsiteY384" fmla="*/ 587178 h 2530838"/>
            <a:gd name="connsiteX385" fmla="*/ 328321 w 1374290"/>
            <a:gd name="connsiteY385" fmla="*/ 591927 h 2530838"/>
            <a:gd name="connsiteX386" fmla="*/ 331289 w 1374290"/>
            <a:gd name="connsiteY386" fmla="*/ 595883 h 2530838"/>
            <a:gd name="connsiteX387" fmla="*/ 321000 w 1374290"/>
            <a:gd name="connsiteY387" fmla="*/ 599445 h 2530838"/>
            <a:gd name="connsiteX388" fmla="*/ 308929 w 1374290"/>
            <a:gd name="connsiteY388" fmla="*/ 605776 h 2530838"/>
            <a:gd name="connsiteX389" fmla="*/ 313282 w 1374290"/>
            <a:gd name="connsiteY389" fmla="*/ 616262 h 2530838"/>
            <a:gd name="connsiteX390" fmla="*/ 313678 w 1374290"/>
            <a:gd name="connsiteY390" fmla="*/ 636442 h 2530838"/>
            <a:gd name="connsiteX391" fmla="*/ 305763 w 1374290"/>
            <a:gd name="connsiteY391" fmla="*/ 654446 h 2530838"/>
            <a:gd name="connsiteX392" fmla="*/ 298639 w 1374290"/>
            <a:gd name="connsiteY392" fmla="*/ 673043 h 2530838"/>
            <a:gd name="connsiteX393" fmla="*/ 296858 w 1374290"/>
            <a:gd name="connsiteY393" fmla="*/ 699159 h 2530838"/>
            <a:gd name="connsiteX394" fmla="*/ 298837 w 1374290"/>
            <a:gd name="connsiteY394" fmla="*/ 713998 h 2530838"/>
            <a:gd name="connsiteX395" fmla="*/ 300816 w 1374290"/>
            <a:gd name="connsiteY395" fmla="*/ 727847 h 2530838"/>
            <a:gd name="connsiteX396" fmla="*/ 299827 w 1374290"/>
            <a:gd name="connsiteY396" fmla="*/ 734969 h 2530838"/>
            <a:gd name="connsiteX397" fmla="*/ 295275 w 1374290"/>
            <a:gd name="connsiteY397" fmla="*/ 742685 h 2530838"/>
            <a:gd name="connsiteX398" fmla="*/ 305763 w 1374290"/>
            <a:gd name="connsiteY398" fmla="*/ 761283 h 2530838"/>
            <a:gd name="connsiteX399" fmla="*/ 309127 w 1374290"/>
            <a:gd name="connsiteY399" fmla="*/ 766822 h 2530838"/>
            <a:gd name="connsiteX400" fmla="*/ 301014 w 1374290"/>
            <a:gd name="connsiteY400" fmla="*/ 771571 h 2530838"/>
            <a:gd name="connsiteX401" fmla="*/ 296067 w 1374290"/>
            <a:gd name="connsiteY401" fmla="*/ 783441 h 2530838"/>
            <a:gd name="connsiteX402" fmla="*/ 301410 w 1374290"/>
            <a:gd name="connsiteY402" fmla="*/ 790564 h 2530838"/>
            <a:gd name="connsiteX403" fmla="*/ 308731 w 1374290"/>
            <a:gd name="connsiteY403" fmla="*/ 787992 h 2530838"/>
            <a:gd name="connsiteX404" fmla="*/ 317438 w 1374290"/>
            <a:gd name="connsiteY404" fmla="*/ 791355 h 2530838"/>
            <a:gd name="connsiteX405" fmla="*/ 313480 w 1374290"/>
            <a:gd name="connsiteY405" fmla="*/ 801841 h 2530838"/>
            <a:gd name="connsiteX406" fmla="*/ 312095 w 1374290"/>
            <a:gd name="connsiteY406" fmla="*/ 816086 h 2530838"/>
            <a:gd name="connsiteX407" fmla="*/ 320010 w 1374290"/>
            <a:gd name="connsiteY407" fmla="*/ 829144 h 2530838"/>
            <a:gd name="connsiteX408" fmla="*/ 327925 w 1374290"/>
            <a:gd name="connsiteY408" fmla="*/ 840421 h 2530838"/>
            <a:gd name="connsiteX409" fmla="*/ 342964 w 1374290"/>
            <a:gd name="connsiteY409" fmla="*/ 863569 h 2530838"/>
            <a:gd name="connsiteX410" fmla="*/ 350681 w 1374290"/>
            <a:gd name="connsiteY410" fmla="*/ 872472 h 2530838"/>
            <a:gd name="connsiteX411" fmla="*/ 354243 w 1374290"/>
            <a:gd name="connsiteY411" fmla="*/ 882958 h 2530838"/>
            <a:gd name="connsiteX412" fmla="*/ 354837 w 1374290"/>
            <a:gd name="connsiteY412" fmla="*/ 925099 h 2530838"/>
            <a:gd name="connsiteX413" fmla="*/ 362554 w 1374290"/>
            <a:gd name="connsiteY413" fmla="*/ 927078 h 2530838"/>
            <a:gd name="connsiteX414" fmla="*/ 364335 w 1374290"/>
            <a:gd name="connsiteY414" fmla="*/ 933606 h 2530838"/>
            <a:gd name="connsiteX415" fmla="*/ 360971 w 1374290"/>
            <a:gd name="connsiteY415" fmla="*/ 944290 h 2530838"/>
            <a:gd name="connsiteX416" fmla="*/ 388278 w 1374290"/>
            <a:gd name="connsiteY416" fmla="*/ 997709 h 2530838"/>
            <a:gd name="connsiteX417" fmla="*/ 392632 w 1374290"/>
            <a:gd name="connsiteY417" fmla="*/ 1007007 h 2530838"/>
            <a:gd name="connsiteX418" fmla="*/ 398568 w 1374290"/>
            <a:gd name="connsiteY418" fmla="*/ 1016504 h 2530838"/>
            <a:gd name="connsiteX419" fmla="*/ 404504 w 1374290"/>
            <a:gd name="connsiteY419" fmla="*/ 1027979 h 2530838"/>
            <a:gd name="connsiteX420" fmla="*/ 406483 w 1374290"/>
            <a:gd name="connsiteY420" fmla="*/ 1035299 h 2530838"/>
            <a:gd name="connsiteX421" fmla="*/ 407275 w 1374290"/>
            <a:gd name="connsiteY421" fmla="*/ 1044005 h 2530838"/>
            <a:gd name="connsiteX422" fmla="*/ 417366 w 1374290"/>
            <a:gd name="connsiteY422" fmla="*/ 1064185 h 2530838"/>
            <a:gd name="connsiteX423" fmla="*/ 431218 w 1374290"/>
            <a:gd name="connsiteY423" fmla="*/ 1082782 h 2530838"/>
            <a:gd name="connsiteX424" fmla="*/ 436561 w 1374290"/>
            <a:gd name="connsiteY424" fmla="*/ 1092081 h 2530838"/>
            <a:gd name="connsiteX425" fmla="*/ 434582 w 1374290"/>
            <a:gd name="connsiteY425" fmla="*/ 1104348 h 2530838"/>
            <a:gd name="connsiteX426" fmla="*/ 432999 w 1374290"/>
            <a:gd name="connsiteY426" fmla="*/ 1119186 h 2530838"/>
            <a:gd name="connsiteX427" fmla="*/ 433197 w 1374290"/>
            <a:gd name="connsiteY427" fmla="*/ 1140158 h 2530838"/>
            <a:gd name="connsiteX428" fmla="*/ 430228 w 1374290"/>
            <a:gd name="connsiteY428" fmla="*/ 1172802 h 2530838"/>
            <a:gd name="connsiteX429" fmla="*/ 439331 w 1374290"/>
            <a:gd name="connsiteY429" fmla="*/ 1212569 h 2530838"/>
            <a:gd name="connsiteX430" fmla="*/ 451401 w 1374290"/>
            <a:gd name="connsiteY430" fmla="*/ 1238487 h 2530838"/>
            <a:gd name="connsiteX431" fmla="*/ 451401 w 1374290"/>
            <a:gd name="connsiteY431" fmla="*/ 1245610 h 2530838"/>
            <a:gd name="connsiteX432" fmla="*/ 446850 w 1374290"/>
            <a:gd name="connsiteY432" fmla="*/ 1254710 h 2530838"/>
            <a:gd name="connsiteX433" fmla="*/ 424292 w 1374290"/>
            <a:gd name="connsiteY433" fmla="*/ 1279639 h 2530838"/>
            <a:gd name="connsiteX434" fmla="*/ 422313 w 1374290"/>
            <a:gd name="connsiteY434" fmla="*/ 1281618 h 2530838"/>
            <a:gd name="connsiteX435" fmla="*/ 425281 w 1374290"/>
            <a:gd name="connsiteY435" fmla="*/ 1283596 h 2530838"/>
            <a:gd name="connsiteX436" fmla="*/ 440122 w 1374290"/>
            <a:gd name="connsiteY436" fmla="*/ 1295071 h 2530838"/>
            <a:gd name="connsiteX437" fmla="*/ 463472 w 1374290"/>
            <a:gd name="connsiteY437" fmla="*/ 1309909 h 2530838"/>
            <a:gd name="connsiteX438" fmla="*/ 478709 w 1374290"/>
            <a:gd name="connsiteY438" fmla="*/ 1316043 h 2530838"/>
            <a:gd name="connsiteX439" fmla="*/ 479302 w 1374290"/>
            <a:gd name="connsiteY439" fmla="*/ 1324946 h 2530838"/>
            <a:gd name="connsiteX440" fmla="*/ 476136 w 1374290"/>
            <a:gd name="connsiteY440" fmla="*/ 1330881 h 2530838"/>
            <a:gd name="connsiteX441" fmla="*/ 480687 w 1374290"/>
            <a:gd name="connsiteY441" fmla="*/ 1328705 h 2530838"/>
            <a:gd name="connsiteX442" fmla="*/ 484645 w 1374290"/>
            <a:gd name="connsiteY442" fmla="*/ 1325144 h 2530838"/>
            <a:gd name="connsiteX443" fmla="*/ 488207 w 1374290"/>
            <a:gd name="connsiteY443" fmla="*/ 1319406 h 2530838"/>
            <a:gd name="connsiteX444" fmla="*/ 509578 w 1374290"/>
            <a:gd name="connsiteY444" fmla="*/ 1317428 h 2530838"/>
            <a:gd name="connsiteX445" fmla="*/ 531740 w 1374290"/>
            <a:gd name="connsiteY445" fmla="*/ 1321187 h 2530838"/>
            <a:gd name="connsiteX446" fmla="*/ 544009 w 1374290"/>
            <a:gd name="connsiteY446" fmla="*/ 1320395 h 2530838"/>
            <a:gd name="connsiteX447" fmla="*/ 568545 w 1374290"/>
            <a:gd name="connsiteY447" fmla="*/ 1319010 h 2530838"/>
            <a:gd name="connsiteX448" fmla="*/ 574482 w 1374290"/>
            <a:gd name="connsiteY448" fmla="*/ 1317428 h 2530838"/>
            <a:gd name="connsiteX449" fmla="*/ 588531 w 1374290"/>
            <a:gd name="connsiteY449" fmla="*/ 1313273 h 2530838"/>
            <a:gd name="connsiteX450" fmla="*/ 598425 w 1374290"/>
            <a:gd name="connsiteY450" fmla="*/ 1313273 h 2530838"/>
            <a:gd name="connsiteX451" fmla="*/ 598425 w 1374290"/>
            <a:gd name="connsiteY451" fmla="*/ 1303578 h 2530838"/>
            <a:gd name="connsiteX452" fmla="*/ 593676 w 1374290"/>
            <a:gd name="connsiteY452" fmla="*/ 1290916 h 2530838"/>
            <a:gd name="connsiteX453" fmla="*/ 587938 w 1374290"/>
            <a:gd name="connsiteY453" fmla="*/ 1277265 h 2530838"/>
            <a:gd name="connsiteX454" fmla="*/ 585365 w 1374290"/>
            <a:gd name="connsiteY454" fmla="*/ 1256689 h 2530838"/>
            <a:gd name="connsiteX455" fmla="*/ 586355 w 1374290"/>
            <a:gd name="connsiteY455" fmla="*/ 1245214 h 2530838"/>
            <a:gd name="connsiteX456" fmla="*/ 586355 w 1374290"/>
            <a:gd name="connsiteY456" fmla="*/ 1232947 h 2530838"/>
            <a:gd name="connsiteX457" fmla="*/ 585167 w 1374290"/>
            <a:gd name="connsiteY457" fmla="*/ 1214943 h 2530838"/>
            <a:gd name="connsiteX458" fmla="*/ 586157 w 1374290"/>
            <a:gd name="connsiteY458" fmla="*/ 1198127 h 2530838"/>
            <a:gd name="connsiteX459" fmla="*/ 580418 w 1374290"/>
            <a:gd name="connsiteY459" fmla="*/ 1194763 h 2530838"/>
            <a:gd name="connsiteX460" fmla="*/ 581210 w 1374290"/>
            <a:gd name="connsiteY460" fmla="*/ 1173989 h 2530838"/>
            <a:gd name="connsiteX461" fmla="*/ 587344 w 1374290"/>
            <a:gd name="connsiteY461" fmla="*/ 1170230 h 2530838"/>
            <a:gd name="connsiteX462" fmla="*/ 589718 w 1374290"/>
            <a:gd name="connsiteY462" fmla="*/ 1165284 h 2530838"/>
            <a:gd name="connsiteX463" fmla="*/ 596446 w 1374290"/>
            <a:gd name="connsiteY463" fmla="*/ 1167658 h 2530838"/>
            <a:gd name="connsiteX464" fmla="*/ 610100 w 1374290"/>
            <a:gd name="connsiteY464" fmla="*/ 1176561 h 2530838"/>
            <a:gd name="connsiteX465" fmla="*/ 623951 w 1374290"/>
            <a:gd name="connsiteY465" fmla="*/ 1175176 h 2530838"/>
            <a:gd name="connsiteX466" fmla="*/ 630086 w 1374290"/>
            <a:gd name="connsiteY466" fmla="*/ 1172802 h 2530838"/>
            <a:gd name="connsiteX467" fmla="*/ 644729 w 1374290"/>
            <a:gd name="connsiteY467" fmla="*/ 1174781 h 2530838"/>
            <a:gd name="connsiteX468" fmla="*/ 662142 w 1374290"/>
            <a:gd name="connsiteY468" fmla="*/ 1169439 h 2530838"/>
            <a:gd name="connsiteX469" fmla="*/ 673421 w 1374290"/>
            <a:gd name="connsiteY469" fmla="*/ 1167460 h 2530838"/>
            <a:gd name="connsiteX470" fmla="*/ 687075 w 1374290"/>
            <a:gd name="connsiteY470" fmla="*/ 1170824 h 2530838"/>
            <a:gd name="connsiteX471" fmla="*/ 696375 w 1374290"/>
            <a:gd name="connsiteY471" fmla="*/ 1173000 h 2530838"/>
            <a:gd name="connsiteX472" fmla="*/ 703103 w 1374290"/>
            <a:gd name="connsiteY472" fmla="*/ 1173791 h 2530838"/>
            <a:gd name="connsiteX473" fmla="*/ 713195 w 1374290"/>
            <a:gd name="connsiteY473" fmla="*/ 1177748 h 2530838"/>
            <a:gd name="connsiteX474" fmla="*/ 738325 w 1374290"/>
            <a:gd name="connsiteY474" fmla="*/ 1176363 h 2530838"/>
            <a:gd name="connsiteX475" fmla="*/ 745647 w 1374290"/>
            <a:gd name="connsiteY475" fmla="*/ 1165482 h 2530838"/>
            <a:gd name="connsiteX476" fmla="*/ 765237 w 1374290"/>
            <a:gd name="connsiteY476" fmla="*/ 1151039 h 2530838"/>
            <a:gd name="connsiteX477" fmla="*/ 777307 w 1374290"/>
            <a:gd name="connsiteY477" fmla="*/ 1145302 h 2530838"/>
            <a:gd name="connsiteX478" fmla="*/ 809166 w 1374290"/>
            <a:gd name="connsiteY478" fmla="*/ 1115427 h 2530838"/>
            <a:gd name="connsiteX479" fmla="*/ 808176 w 1374290"/>
            <a:gd name="connsiteY479" fmla="*/ 1127298 h 2530838"/>
            <a:gd name="connsiteX480" fmla="*/ 808968 w 1374290"/>
            <a:gd name="connsiteY480" fmla="*/ 1133035 h 2530838"/>
            <a:gd name="connsiteX481" fmla="*/ 815102 w 1374290"/>
            <a:gd name="connsiteY481" fmla="*/ 1123539 h 2530838"/>
            <a:gd name="connsiteX482" fmla="*/ 822819 w 1374290"/>
            <a:gd name="connsiteY482" fmla="*/ 1122945 h 2530838"/>
            <a:gd name="connsiteX483" fmla="*/ 827964 w 1374290"/>
            <a:gd name="connsiteY483" fmla="*/ 1125715 h 2530838"/>
            <a:gd name="connsiteX484" fmla="*/ 816091 w 1374290"/>
            <a:gd name="connsiteY484" fmla="*/ 1111470 h 2530838"/>
            <a:gd name="connsiteX485" fmla="*/ 814113 w 1374290"/>
            <a:gd name="connsiteY485" fmla="*/ 1103556 h 2530838"/>
            <a:gd name="connsiteX486" fmla="*/ 819257 w 1374290"/>
            <a:gd name="connsiteY486" fmla="*/ 1095642 h 2530838"/>
            <a:gd name="connsiteX487" fmla="*/ 834494 w 1374290"/>
            <a:gd name="connsiteY487" fmla="*/ 1092477 h 2530838"/>
            <a:gd name="connsiteX488" fmla="*/ 858042 w 1374290"/>
            <a:gd name="connsiteY488" fmla="*/ 1073484 h 2530838"/>
            <a:gd name="connsiteX489" fmla="*/ 862593 w 1374290"/>
            <a:gd name="connsiteY489" fmla="*/ 1072494 h 2530838"/>
            <a:gd name="connsiteX490" fmla="*/ 860812 w 1374290"/>
            <a:gd name="connsiteY490" fmla="*/ 1082585 h 2530838"/>
            <a:gd name="connsiteX491" fmla="*/ 857646 w 1374290"/>
            <a:gd name="connsiteY491" fmla="*/ 1095642 h 2530838"/>
            <a:gd name="connsiteX492" fmla="*/ 862197 w 1374290"/>
            <a:gd name="connsiteY492" fmla="*/ 1100391 h 2530838"/>
            <a:gd name="connsiteX493" fmla="*/ 873476 w 1374290"/>
            <a:gd name="connsiteY493" fmla="*/ 1088718 h 2530838"/>
            <a:gd name="connsiteX494" fmla="*/ 882183 w 1374290"/>
            <a:gd name="connsiteY494" fmla="*/ 1078232 h 2530838"/>
            <a:gd name="connsiteX495" fmla="*/ 894649 w 1374290"/>
            <a:gd name="connsiteY495" fmla="*/ 1052512 h 2530838"/>
            <a:gd name="connsiteX496" fmla="*/ 902762 w 1374290"/>
            <a:gd name="connsiteY496" fmla="*/ 1036486 h 2530838"/>
            <a:gd name="connsiteX497" fmla="*/ 914239 w 1374290"/>
            <a:gd name="connsiteY497" fmla="*/ 1016702 h 2530838"/>
            <a:gd name="connsiteX498" fmla="*/ 916614 w 1374290"/>
            <a:gd name="connsiteY498" fmla="*/ 1007601 h 2530838"/>
            <a:gd name="connsiteX499" fmla="*/ 916811 w 1374290"/>
            <a:gd name="connsiteY499" fmla="*/ 1016900 h 2530838"/>
            <a:gd name="connsiteX500" fmla="*/ 909490 w 1374290"/>
            <a:gd name="connsiteY500" fmla="*/ 1038069 h 2530838"/>
            <a:gd name="connsiteX501" fmla="*/ 898409 w 1374290"/>
            <a:gd name="connsiteY501" fmla="*/ 1061217 h 2530838"/>
            <a:gd name="connsiteX502" fmla="*/ 890296 w 1374290"/>
            <a:gd name="connsiteY502" fmla="*/ 1082782 h 2530838"/>
            <a:gd name="connsiteX503" fmla="*/ 889900 w 1374290"/>
            <a:gd name="connsiteY503" fmla="*/ 1126111 h 2530838"/>
            <a:gd name="connsiteX504" fmla="*/ 897419 w 1374290"/>
            <a:gd name="connsiteY504" fmla="*/ 1131650 h 2530838"/>
            <a:gd name="connsiteX505" fmla="*/ 895638 w 1374290"/>
            <a:gd name="connsiteY505" fmla="*/ 1138377 h 2530838"/>
            <a:gd name="connsiteX506" fmla="*/ 889900 w 1374290"/>
            <a:gd name="connsiteY506" fmla="*/ 1147676 h 2530838"/>
            <a:gd name="connsiteX507" fmla="*/ 886536 w 1374290"/>
            <a:gd name="connsiteY507" fmla="*/ 1151039 h 2530838"/>
            <a:gd name="connsiteX508" fmla="*/ 873476 w 1374290"/>
            <a:gd name="connsiteY508" fmla="*/ 1165086 h 2530838"/>
            <a:gd name="connsiteX509" fmla="*/ 857448 w 1374290"/>
            <a:gd name="connsiteY509" fmla="*/ 1174781 h 2530838"/>
            <a:gd name="connsiteX510" fmla="*/ 853095 w 1374290"/>
            <a:gd name="connsiteY510" fmla="*/ 1192983 h 2530838"/>
            <a:gd name="connsiteX511" fmla="*/ 851709 w 1374290"/>
            <a:gd name="connsiteY511" fmla="*/ 1212767 h 2530838"/>
            <a:gd name="connsiteX512" fmla="*/ 850918 w 1374290"/>
            <a:gd name="connsiteY512" fmla="*/ 1230375 h 2530838"/>
            <a:gd name="connsiteX513" fmla="*/ 851314 w 1374290"/>
            <a:gd name="connsiteY513" fmla="*/ 1235519 h 2530838"/>
            <a:gd name="connsiteX514" fmla="*/ 832120 w 1374290"/>
            <a:gd name="connsiteY514" fmla="*/ 1267768 h 2530838"/>
            <a:gd name="connsiteX515" fmla="*/ 826975 w 1374290"/>
            <a:gd name="connsiteY515" fmla="*/ 1299424 h 2530838"/>
            <a:gd name="connsiteX516" fmla="*/ 825194 w 1374290"/>
            <a:gd name="connsiteY516" fmla="*/ 1324550 h 2530838"/>
            <a:gd name="connsiteX517" fmla="*/ 823611 w 1374290"/>
            <a:gd name="connsiteY517" fmla="*/ 1330881 h 2530838"/>
            <a:gd name="connsiteX518" fmla="*/ 840233 w 1374290"/>
            <a:gd name="connsiteY518" fmla="*/ 1330485 h 2530838"/>
            <a:gd name="connsiteX519" fmla="*/ 861999 w 1374290"/>
            <a:gd name="connsiteY519" fmla="*/ 1334245 h 2530838"/>
            <a:gd name="connsiteX520" fmla="*/ 867342 w 1374290"/>
            <a:gd name="connsiteY520" fmla="*/ 1338399 h 2530838"/>
            <a:gd name="connsiteX521" fmla="*/ 862593 w 1374290"/>
            <a:gd name="connsiteY521" fmla="*/ 1340576 h 2530838"/>
            <a:gd name="connsiteX522" fmla="*/ 857646 w 1374290"/>
            <a:gd name="connsiteY522" fmla="*/ 1345522 h 2530838"/>
            <a:gd name="connsiteX523" fmla="*/ 883766 w 1374290"/>
            <a:gd name="connsiteY523" fmla="*/ 1363328 h 2530838"/>
            <a:gd name="connsiteX524" fmla="*/ 896232 w 1374290"/>
            <a:gd name="connsiteY524" fmla="*/ 1385487 h 2530838"/>
            <a:gd name="connsiteX525" fmla="*/ 907313 w 1374290"/>
            <a:gd name="connsiteY525" fmla="*/ 1398940 h 2530838"/>
            <a:gd name="connsiteX526" fmla="*/ 917009 w 1374290"/>
            <a:gd name="connsiteY526" fmla="*/ 1412394 h 2530838"/>
            <a:gd name="connsiteX527" fmla="*/ 920175 w 1374290"/>
            <a:gd name="connsiteY527" fmla="*/ 1428024 h 2530838"/>
            <a:gd name="connsiteX528" fmla="*/ 928684 w 1374290"/>
            <a:gd name="connsiteY528" fmla="*/ 1438905 h 2530838"/>
            <a:gd name="connsiteX529" fmla="*/ 938974 w 1374290"/>
            <a:gd name="connsiteY529" fmla="*/ 1446423 h 2530838"/>
            <a:gd name="connsiteX530" fmla="*/ 954804 w 1374290"/>
            <a:gd name="connsiteY530" fmla="*/ 1456118 h 2530838"/>
            <a:gd name="connsiteX531" fmla="*/ 988443 w 1374290"/>
            <a:gd name="connsiteY531" fmla="*/ 1463636 h 2530838"/>
            <a:gd name="connsiteX532" fmla="*/ 999525 w 1374290"/>
            <a:gd name="connsiteY532" fmla="*/ 1466603 h 2530838"/>
            <a:gd name="connsiteX533" fmla="*/ 1006648 w 1374290"/>
            <a:gd name="connsiteY533" fmla="*/ 1468384 h 2530838"/>
            <a:gd name="connsiteX534" fmla="*/ 1018125 w 1374290"/>
            <a:gd name="connsiteY534" fmla="*/ 1471550 h 2530838"/>
            <a:gd name="connsiteX535" fmla="*/ 1033758 w 1374290"/>
            <a:gd name="connsiteY535" fmla="*/ 1474913 h 2530838"/>
            <a:gd name="connsiteX536" fmla="*/ 1044839 w 1374290"/>
            <a:gd name="connsiteY536" fmla="*/ 1478276 h 2530838"/>
            <a:gd name="connsiteX537" fmla="*/ 1048599 w 1374290"/>
            <a:gd name="connsiteY537" fmla="*/ 1482431 h 2530838"/>
            <a:gd name="connsiteX538" fmla="*/ 1049192 w 1374290"/>
            <a:gd name="connsiteY538" fmla="*/ 1478276 h 2530838"/>
            <a:gd name="connsiteX539" fmla="*/ 1055129 w 1374290"/>
            <a:gd name="connsiteY539" fmla="*/ 1468978 h 2530838"/>
            <a:gd name="connsiteX540" fmla="*/ 1084415 w 1374290"/>
            <a:gd name="connsiteY540" fmla="*/ 1462449 h 2530838"/>
            <a:gd name="connsiteX541" fmla="*/ 1113305 w 1374290"/>
            <a:gd name="connsiteY541" fmla="*/ 1464427 h 2530838"/>
            <a:gd name="connsiteX542" fmla="*/ 1124188 w 1374290"/>
            <a:gd name="connsiteY542" fmla="*/ 1466406 h 2530838"/>
            <a:gd name="connsiteX543" fmla="*/ 1136852 w 1374290"/>
            <a:gd name="connsiteY543" fmla="*/ 1468186 h 2530838"/>
            <a:gd name="connsiteX544" fmla="*/ 1147934 w 1374290"/>
            <a:gd name="connsiteY544" fmla="*/ 1469373 h 2530838"/>
            <a:gd name="connsiteX545" fmla="*/ 1168117 w 1374290"/>
            <a:gd name="connsiteY545" fmla="*/ 1466999 h 2530838"/>
            <a:gd name="connsiteX546" fmla="*/ 1185530 w 1374290"/>
            <a:gd name="connsiteY546" fmla="*/ 1465021 h 2530838"/>
            <a:gd name="connsiteX547" fmla="*/ 1200569 w 1374290"/>
            <a:gd name="connsiteY547" fmla="*/ 1470363 h 2530838"/>
            <a:gd name="connsiteX548" fmla="*/ 1250435 w 1374290"/>
            <a:gd name="connsiteY548" fmla="*/ 1472143 h 2530838"/>
            <a:gd name="connsiteX549" fmla="*/ 1264484 w 1374290"/>
            <a:gd name="connsiteY549" fmla="*/ 1464625 h 2530838"/>
            <a:gd name="connsiteX550" fmla="*/ 1279721 w 1374290"/>
            <a:gd name="connsiteY550" fmla="*/ 1439894 h 2530838"/>
            <a:gd name="connsiteX551" fmla="*/ 1291989 w 1374290"/>
            <a:gd name="connsiteY551" fmla="*/ 1453150 h 2530838"/>
            <a:gd name="connsiteX552" fmla="*/ 1298321 w 1374290"/>
            <a:gd name="connsiteY552" fmla="*/ 1460668 h 2530838"/>
            <a:gd name="connsiteX553" fmla="*/ 1304851 w 1374290"/>
            <a:gd name="connsiteY553" fmla="*/ 1462647 h 2530838"/>
            <a:gd name="connsiteX554" fmla="*/ 1312568 w 1374290"/>
            <a:gd name="connsiteY554" fmla="*/ 1463834 h 2530838"/>
            <a:gd name="connsiteX555" fmla="*/ 1316130 w 1374290"/>
            <a:gd name="connsiteY555" fmla="*/ 1466406 h 2530838"/>
            <a:gd name="connsiteX556" fmla="*/ 1324837 w 1374290"/>
            <a:gd name="connsiteY556" fmla="*/ 1470560 h 2530838"/>
            <a:gd name="connsiteX557" fmla="*/ 1340271 w 1374290"/>
            <a:gd name="connsiteY557" fmla="*/ 1482431 h 2530838"/>
            <a:gd name="connsiteX558" fmla="*/ 1352936 w 1374290"/>
            <a:gd name="connsiteY558" fmla="*/ 1495489 h 2530838"/>
            <a:gd name="connsiteX559" fmla="*/ 1351550 w 1374290"/>
            <a:gd name="connsiteY559" fmla="*/ 1510525 h 2530838"/>
            <a:gd name="connsiteX560" fmla="*/ 1352342 w 1374290"/>
            <a:gd name="connsiteY560" fmla="*/ 1527936 h 2530838"/>
            <a:gd name="connsiteX561" fmla="*/ 1351155 w 1374290"/>
            <a:gd name="connsiteY561" fmla="*/ 1536443 h 2530838"/>
            <a:gd name="connsiteX562" fmla="*/ 1353133 w 1374290"/>
            <a:gd name="connsiteY562" fmla="*/ 1549303 h 2530838"/>
            <a:gd name="connsiteX563" fmla="*/ 1357091 w 1374290"/>
            <a:gd name="connsiteY563" fmla="*/ 1559789 h 2530838"/>
            <a:gd name="connsiteX564" fmla="*/ 1361049 w 1374290"/>
            <a:gd name="connsiteY564" fmla="*/ 1566516 h 2530838"/>
            <a:gd name="connsiteX565" fmla="*/ 1364610 w 1374290"/>
            <a:gd name="connsiteY565" fmla="*/ 1572451 h 2530838"/>
            <a:gd name="connsiteX566" fmla="*/ 1359070 w 1374290"/>
            <a:gd name="connsiteY566" fmla="*/ 1579376 h 2530838"/>
            <a:gd name="connsiteX567" fmla="*/ 1349967 w 1374290"/>
            <a:gd name="connsiteY567" fmla="*/ 1588477 h 2530838"/>
            <a:gd name="connsiteX568" fmla="*/ 1344229 w 1374290"/>
            <a:gd name="connsiteY568" fmla="*/ 1603909 h 2530838"/>
            <a:gd name="connsiteX569" fmla="*/ 1354321 w 1374290"/>
            <a:gd name="connsiteY569" fmla="*/ 1616373 h 2530838"/>
            <a:gd name="connsiteX570" fmla="*/ 1354519 w 1374290"/>
            <a:gd name="connsiteY570" fmla="*/ 1629826 h 2530838"/>
            <a:gd name="connsiteX571" fmla="*/ 1353529 w 1374290"/>
            <a:gd name="connsiteY571" fmla="*/ 1643478 h 2530838"/>
            <a:gd name="connsiteX572" fmla="*/ 1363225 w 1374290"/>
            <a:gd name="connsiteY572" fmla="*/ 1654953 h 2530838"/>
            <a:gd name="connsiteX573" fmla="*/ 1368370 w 1374290"/>
            <a:gd name="connsiteY573" fmla="*/ 1672957 h 2530838"/>
            <a:gd name="connsiteX574" fmla="*/ 1368172 w 1374290"/>
            <a:gd name="connsiteY574" fmla="*/ 1690961 h 2530838"/>
            <a:gd name="connsiteX575" fmla="*/ 1344031 w 1374290"/>
            <a:gd name="connsiteY575" fmla="*/ 1705404 h 2530838"/>
            <a:gd name="connsiteX576" fmla="*/ 1333939 w 1374290"/>
            <a:gd name="connsiteY576" fmla="*/ 1709756 h 2530838"/>
            <a:gd name="connsiteX577" fmla="*/ 1324639 w 1374290"/>
            <a:gd name="connsiteY577" fmla="*/ 1732311 h 2530838"/>
            <a:gd name="connsiteX578" fmla="*/ 1329190 w 1374290"/>
            <a:gd name="connsiteY578" fmla="*/ 1743192 h 2530838"/>
            <a:gd name="connsiteX579" fmla="*/ 1311183 w 1374290"/>
            <a:gd name="connsiteY579" fmla="*/ 1753876 h 2530838"/>
            <a:gd name="connsiteX580" fmla="*/ 1282887 w 1374290"/>
            <a:gd name="connsiteY580" fmla="*/ 1762185 h 2530838"/>
            <a:gd name="connsiteX581" fmla="*/ 1268244 w 1374290"/>
            <a:gd name="connsiteY581" fmla="*/ 1779596 h 2530838"/>
            <a:gd name="connsiteX582" fmla="*/ 1254194 w 1374290"/>
            <a:gd name="connsiteY582" fmla="*/ 1800765 h 2530838"/>
            <a:gd name="connsiteX583" fmla="*/ 1239947 w 1374290"/>
            <a:gd name="connsiteY583" fmla="*/ 1818176 h 2530838"/>
            <a:gd name="connsiteX584" fmla="*/ 1228074 w 1374290"/>
            <a:gd name="connsiteY584" fmla="*/ 1836971 h 2530838"/>
            <a:gd name="connsiteX585" fmla="*/ 1222138 w 1374290"/>
            <a:gd name="connsiteY585" fmla="*/ 1857745 h 2530838"/>
            <a:gd name="connsiteX586" fmla="*/ 1221544 w 1374290"/>
            <a:gd name="connsiteY586" fmla="*/ 1894544 h 2530838"/>
            <a:gd name="connsiteX587" fmla="*/ 1219368 w 1374290"/>
            <a:gd name="connsiteY587" fmla="*/ 1920858 h 2530838"/>
            <a:gd name="connsiteX588" fmla="*/ 1225700 w 1374290"/>
            <a:gd name="connsiteY588" fmla="*/ 1932926 h 2530838"/>
            <a:gd name="connsiteX589" fmla="*/ 1231042 w 1374290"/>
            <a:gd name="connsiteY589" fmla="*/ 1964384 h 2530838"/>
            <a:gd name="connsiteX590" fmla="*/ 1195029 w 1374290"/>
            <a:gd name="connsiteY590" fmla="*/ 2023540 h 2530838"/>
            <a:gd name="connsiteX591" fmla="*/ 1162577 w 1374290"/>
            <a:gd name="connsiteY591" fmla="*/ 2054799 h 2530838"/>
            <a:gd name="connsiteX592" fmla="*/ 1151100 w 1374290"/>
            <a:gd name="connsiteY592" fmla="*/ 2066670 h 2530838"/>
            <a:gd name="connsiteX593" fmla="*/ 1137050 w 1374290"/>
            <a:gd name="connsiteY593" fmla="*/ 2083883 h 2530838"/>
            <a:gd name="connsiteX594" fmla="*/ 1124188 w 1374290"/>
            <a:gd name="connsiteY594" fmla="*/ 2105250 h 2530838"/>
            <a:gd name="connsiteX595" fmla="*/ 1108951 w 1374290"/>
            <a:gd name="connsiteY595" fmla="*/ 2130179 h 2530838"/>
            <a:gd name="connsiteX596" fmla="*/ 1092330 w 1374290"/>
            <a:gd name="connsiteY596" fmla="*/ 2147787 h 2530838"/>
            <a:gd name="connsiteX597" fmla="*/ 1080457 w 1374290"/>
            <a:gd name="connsiteY597" fmla="*/ 2144424 h 2530838"/>
            <a:gd name="connsiteX598" fmla="*/ 1076104 w 1374290"/>
            <a:gd name="connsiteY598" fmla="*/ 2140269 h 2530838"/>
            <a:gd name="connsiteX599" fmla="*/ 1071552 w 1374290"/>
            <a:gd name="connsiteY599" fmla="*/ 2145017 h 2530838"/>
            <a:gd name="connsiteX600" fmla="*/ 1059878 w 1374290"/>
            <a:gd name="connsiteY600" fmla="*/ 2151150 h 2530838"/>
            <a:gd name="connsiteX601" fmla="*/ 1036726 w 1374290"/>
            <a:gd name="connsiteY601" fmla="*/ 2160647 h 2530838"/>
            <a:gd name="connsiteX602" fmla="*/ 1004076 w 1374290"/>
            <a:gd name="connsiteY602" fmla="*/ 2171133 h 2530838"/>
            <a:gd name="connsiteX603" fmla="*/ 987256 w 1374290"/>
            <a:gd name="connsiteY603" fmla="*/ 2173507 h 2530838"/>
            <a:gd name="connsiteX604" fmla="*/ 980924 w 1374290"/>
            <a:gd name="connsiteY604" fmla="*/ 2166385 h 2530838"/>
            <a:gd name="connsiteX605" fmla="*/ 977956 w 1374290"/>
            <a:gd name="connsiteY605" fmla="*/ 2149568 h 2530838"/>
            <a:gd name="connsiteX606" fmla="*/ 979341 w 1374290"/>
            <a:gd name="connsiteY606" fmla="*/ 2144819 h 2530838"/>
            <a:gd name="connsiteX607" fmla="*/ 958564 w 1374290"/>
            <a:gd name="connsiteY607" fmla="*/ 2131366 h 2530838"/>
            <a:gd name="connsiteX608" fmla="*/ 952034 w 1374290"/>
            <a:gd name="connsiteY608" fmla="*/ 2120287 h 2530838"/>
            <a:gd name="connsiteX609" fmla="*/ 946691 w 1374290"/>
            <a:gd name="connsiteY609" fmla="*/ 2106042 h 2530838"/>
            <a:gd name="connsiteX610" fmla="*/ 941942 w 1374290"/>
            <a:gd name="connsiteY610" fmla="*/ 2093577 h 2530838"/>
            <a:gd name="connsiteX611" fmla="*/ 931059 w 1374290"/>
            <a:gd name="connsiteY611" fmla="*/ 2090610 h 2530838"/>
            <a:gd name="connsiteX612" fmla="*/ 901773 w 1374290"/>
            <a:gd name="connsiteY612" fmla="*/ 2082498 h 2530838"/>
            <a:gd name="connsiteX613" fmla="*/ 888119 w 1374290"/>
            <a:gd name="connsiteY613" fmla="*/ 2073199 h 2530838"/>
            <a:gd name="connsiteX614" fmla="*/ 880995 w 1374290"/>
            <a:gd name="connsiteY614" fmla="*/ 2063307 h 2530838"/>
            <a:gd name="connsiteX615" fmla="*/ 878819 w 1374290"/>
            <a:gd name="connsiteY615" fmla="*/ 2058361 h 2530838"/>
            <a:gd name="connsiteX616" fmla="*/ 874663 w 1374290"/>
            <a:gd name="connsiteY616" fmla="*/ 2062318 h 2530838"/>
            <a:gd name="connsiteX617" fmla="*/ 869519 w 1374290"/>
            <a:gd name="connsiteY617" fmla="*/ 2065087 h 2530838"/>
            <a:gd name="connsiteX618" fmla="*/ 867936 w 1374290"/>
            <a:gd name="connsiteY618" fmla="*/ 2073001 h 2530838"/>
            <a:gd name="connsiteX619" fmla="*/ 868331 w 1374290"/>
            <a:gd name="connsiteY619" fmla="*/ 2082300 h 2530838"/>
            <a:gd name="connsiteX620" fmla="*/ 852699 w 1374290"/>
            <a:gd name="connsiteY620" fmla="*/ 2089422 h 2530838"/>
            <a:gd name="connsiteX621" fmla="*/ 832911 w 1374290"/>
            <a:gd name="connsiteY621" fmla="*/ 2096743 h 2530838"/>
            <a:gd name="connsiteX622" fmla="*/ 820643 w 1374290"/>
            <a:gd name="connsiteY622" fmla="*/ 2102678 h 2530838"/>
            <a:gd name="connsiteX623" fmla="*/ 804021 w 1374290"/>
            <a:gd name="connsiteY623" fmla="*/ 2115538 h 2530838"/>
            <a:gd name="connsiteX624" fmla="*/ 787201 w 1374290"/>
            <a:gd name="connsiteY624" fmla="*/ 2129585 h 2530838"/>
            <a:gd name="connsiteX625" fmla="*/ 772360 w 1374290"/>
            <a:gd name="connsiteY625" fmla="*/ 2124441 h 2530838"/>
            <a:gd name="connsiteX626" fmla="*/ 748813 w 1374290"/>
            <a:gd name="connsiteY626" fmla="*/ 2098721 h 2530838"/>
            <a:gd name="connsiteX627" fmla="*/ 741689 w 1374290"/>
            <a:gd name="connsiteY627" fmla="*/ 2101887 h 2530838"/>
            <a:gd name="connsiteX628" fmla="*/ 725265 w 1374290"/>
            <a:gd name="connsiteY628" fmla="*/ 2092588 h 2530838"/>
            <a:gd name="connsiteX629" fmla="*/ 711018 w 1374290"/>
            <a:gd name="connsiteY629" fmla="*/ 2076958 h 2530838"/>
            <a:gd name="connsiteX630" fmla="*/ 695188 w 1374290"/>
            <a:gd name="connsiteY630" fmla="*/ 2064692 h 2530838"/>
            <a:gd name="connsiteX631" fmla="*/ 695386 w 1374290"/>
            <a:gd name="connsiteY631" fmla="*/ 2061131 h 2530838"/>
            <a:gd name="connsiteX632" fmla="*/ 694000 w 1374290"/>
            <a:gd name="connsiteY632" fmla="*/ 2055789 h 2530838"/>
            <a:gd name="connsiteX633" fmla="*/ 686877 w 1374290"/>
            <a:gd name="connsiteY633" fmla="*/ 2050843 h 2530838"/>
            <a:gd name="connsiteX634" fmla="*/ 675796 w 1374290"/>
            <a:gd name="connsiteY634" fmla="*/ 2047281 h 2530838"/>
            <a:gd name="connsiteX635" fmla="*/ 666891 w 1374290"/>
            <a:gd name="connsiteY635" fmla="*/ 2044314 h 2530838"/>
            <a:gd name="connsiteX636" fmla="*/ 659570 w 1374290"/>
            <a:gd name="connsiteY636" fmla="*/ 2037587 h 2530838"/>
            <a:gd name="connsiteX637" fmla="*/ 647103 w 1374290"/>
            <a:gd name="connsiteY637" fmla="*/ 2025123 h 2530838"/>
            <a:gd name="connsiteX638" fmla="*/ 636616 w 1374290"/>
            <a:gd name="connsiteY638" fmla="*/ 2012065 h 2530838"/>
            <a:gd name="connsiteX639" fmla="*/ 632064 w 1374290"/>
            <a:gd name="connsiteY639" fmla="*/ 2004151 h 2530838"/>
            <a:gd name="connsiteX640" fmla="*/ 617619 w 1374290"/>
            <a:gd name="connsiteY640" fmla="*/ 2006921 h 2530838"/>
            <a:gd name="connsiteX641" fmla="*/ 601987 w 1374290"/>
            <a:gd name="connsiteY641" fmla="*/ 2015626 h 2530838"/>
            <a:gd name="connsiteX642" fmla="*/ 598623 w 1374290"/>
            <a:gd name="connsiteY642" fmla="*/ 2026705 h 2530838"/>
            <a:gd name="connsiteX643" fmla="*/ 601591 w 1374290"/>
            <a:gd name="connsiteY643" fmla="*/ 2048271 h 2530838"/>
            <a:gd name="connsiteX644" fmla="*/ 604164 w 1374290"/>
            <a:gd name="connsiteY644" fmla="*/ 2064692 h 2530838"/>
            <a:gd name="connsiteX645" fmla="*/ 606340 w 1374290"/>
            <a:gd name="connsiteY645" fmla="*/ 2070034 h 2530838"/>
            <a:gd name="connsiteX646" fmla="*/ 613068 w 1374290"/>
            <a:gd name="connsiteY646" fmla="*/ 2078541 h 2530838"/>
            <a:gd name="connsiteX647" fmla="*/ 621379 w 1374290"/>
            <a:gd name="connsiteY647" fmla="*/ 2089620 h 2530838"/>
            <a:gd name="connsiteX648" fmla="*/ 625337 w 1374290"/>
            <a:gd name="connsiteY648" fmla="*/ 2096743 h 2530838"/>
            <a:gd name="connsiteX649" fmla="*/ 629690 w 1374290"/>
            <a:gd name="connsiteY649" fmla="*/ 2110592 h 2530838"/>
            <a:gd name="connsiteX650" fmla="*/ 630877 w 1374290"/>
            <a:gd name="connsiteY650" fmla="*/ 2124243 h 2530838"/>
            <a:gd name="connsiteX651" fmla="*/ 630086 w 1374290"/>
            <a:gd name="connsiteY651" fmla="*/ 2134334 h 2530838"/>
            <a:gd name="connsiteX652" fmla="*/ 629096 w 1374290"/>
            <a:gd name="connsiteY652" fmla="*/ 2147391 h 2530838"/>
            <a:gd name="connsiteX653" fmla="*/ 623160 w 1374290"/>
            <a:gd name="connsiteY653" fmla="*/ 2156294 h 2530838"/>
            <a:gd name="connsiteX654" fmla="*/ 614849 w 1374290"/>
            <a:gd name="connsiteY654" fmla="*/ 2173507 h 2530838"/>
            <a:gd name="connsiteX655" fmla="*/ 619004 w 1374290"/>
            <a:gd name="connsiteY655" fmla="*/ 2181223 h 2530838"/>
            <a:gd name="connsiteX656" fmla="*/ 625139 w 1374290"/>
            <a:gd name="connsiteY656" fmla="*/ 2188543 h 2530838"/>
            <a:gd name="connsiteX657" fmla="*/ 630086 w 1374290"/>
            <a:gd name="connsiteY657" fmla="*/ 2194677 h 2530838"/>
            <a:gd name="connsiteX658" fmla="*/ 638001 w 1374290"/>
            <a:gd name="connsiteY658" fmla="*/ 2202590 h 2530838"/>
            <a:gd name="connsiteX659" fmla="*/ 643146 w 1374290"/>
            <a:gd name="connsiteY659" fmla="*/ 2218814 h 2530838"/>
            <a:gd name="connsiteX660" fmla="*/ 640969 w 1374290"/>
            <a:gd name="connsiteY660" fmla="*/ 2239192 h 2530838"/>
            <a:gd name="connsiteX661" fmla="*/ 642750 w 1374290"/>
            <a:gd name="connsiteY661" fmla="*/ 2245523 h 2530838"/>
            <a:gd name="connsiteX662" fmla="*/ 644927 w 1374290"/>
            <a:gd name="connsiteY662" fmla="*/ 2253041 h 2530838"/>
            <a:gd name="connsiteX663" fmla="*/ 649676 w 1374290"/>
            <a:gd name="connsiteY663" fmla="*/ 2262142 h 2530838"/>
            <a:gd name="connsiteX664" fmla="*/ 653435 w 1374290"/>
            <a:gd name="connsiteY664" fmla="*/ 2267484 h 2530838"/>
            <a:gd name="connsiteX665" fmla="*/ 657789 w 1374290"/>
            <a:gd name="connsiteY665" fmla="*/ 2271045 h 2530838"/>
            <a:gd name="connsiteX666" fmla="*/ 653040 w 1374290"/>
            <a:gd name="connsiteY666" fmla="*/ 2282718 h 2530838"/>
            <a:gd name="connsiteX667" fmla="*/ 645124 w 1374290"/>
            <a:gd name="connsiteY667" fmla="*/ 2296963 h 2530838"/>
            <a:gd name="connsiteX668" fmla="*/ 636616 w 1374290"/>
            <a:gd name="connsiteY668" fmla="*/ 2332773 h 2530838"/>
            <a:gd name="connsiteX669" fmla="*/ 635824 w 1374290"/>
            <a:gd name="connsiteY669" fmla="*/ 2344050 h 2530838"/>
            <a:gd name="connsiteX670" fmla="*/ 642354 w 1374290"/>
            <a:gd name="connsiteY670" fmla="*/ 2351371 h 2530838"/>
            <a:gd name="connsiteX671" fmla="*/ 643937 w 1374290"/>
            <a:gd name="connsiteY671" fmla="*/ 2373727 h 2530838"/>
            <a:gd name="connsiteX672" fmla="*/ 634241 w 1374290"/>
            <a:gd name="connsiteY672" fmla="*/ 2372738 h 2530838"/>
            <a:gd name="connsiteX673" fmla="*/ 613662 w 1374290"/>
            <a:gd name="connsiteY673" fmla="*/ 2373727 h 2530838"/>
            <a:gd name="connsiteX674" fmla="*/ 596842 w 1374290"/>
            <a:gd name="connsiteY674" fmla="*/ 2377684 h 2530838"/>
            <a:gd name="connsiteX675" fmla="*/ 584969 w 1374290"/>
            <a:gd name="connsiteY675" fmla="*/ 2377684 h 2530838"/>
            <a:gd name="connsiteX676" fmla="*/ 574680 w 1374290"/>
            <a:gd name="connsiteY676" fmla="*/ 2365813 h 2530838"/>
            <a:gd name="connsiteX677" fmla="*/ 556871 w 1374290"/>
            <a:gd name="connsiteY677" fmla="*/ 2356910 h 2530838"/>
            <a:gd name="connsiteX678" fmla="*/ 546779 w 1374290"/>
            <a:gd name="connsiteY678" fmla="*/ 2362252 h 2530838"/>
            <a:gd name="connsiteX679" fmla="*/ 535500 w 1374290"/>
            <a:gd name="connsiteY679" fmla="*/ 2361263 h 2530838"/>
            <a:gd name="connsiteX680" fmla="*/ 527980 w 1374290"/>
            <a:gd name="connsiteY680" fmla="*/ 2357899 h 2530838"/>
            <a:gd name="connsiteX681" fmla="*/ 515316 w 1374290"/>
            <a:gd name="connsiteY681" fmla="*/ 2367792 h 2530838"/>
            <a:gd name="connsiteX682" fmla="*/ 511161 w 1374290"/>
            <a:gd name="connsiteY682" fmla="*/ 2378673 h 2530838"/>
            <a:gd name="connsiteX683" fmla="*/ 508193 w 1374290"/>
            <a:gd name="connsiteY683" fmla="*/ 2388763 h 2530838"/>
            <a:gd name="connsiteX684" fmla="*/ 506412 w 1374290"/>
            <a:gd name="connsiteY684" fmla="*/ 2396677 h 2530838"/>
            <a:gd name="connsiteX685" fmla="*/ 506610 w 1374290"/>
            <a:gd name="connsiteY685" fmla="*/ 2407757 h 2530838"/>
            <a:gd name="connsiteX686" fmla="*/ 515316 w 1374290"/>
            <a:gd name="connsiteY686" fmla="*/ 2419232 h 2530838"/>
            <a:gd name="connsiteX687" fmla="*/ 525210 w 1374290"/>
            <a:gd name="connsiteY687" fmla="*/ 2447128 h 2530838"/>
            <a:gd name="connsiteX688" fmla="*/ 528178 w 1374290"/>
            <a:gd name="connsiteY688" fmla="*/ 2458010 h 2530838"/>
            <a:gd name="connsiteX689" fmla="*/ 524023 w 1374290"/>
            <a:gd name="connsiteY689" fmla="*/ 2472650 h 2530838"/>
            <a:gd name="connsiteX690" fmla="*/ 508588 w 1374290"/>
            <a:gd name="connsiteY690" fmla="*/ 2484125 h 2530838"/>
            <a:gd name="connsiteX691" fmla="*/ 498694 w 1374290"/>
            <a:gd name="connsiteY691" fmla="*/ 2506680 h 2530838"/>
            <a:gd name="connsiteX692" fmla="*/ 472574 w 1374290"/>
            <a:gd name="connsiteY692" fmla="*/ 2503316 h 2530838"/>
            <a:gd name="connsiteX693" fmla="*/ 467430 w 1374290"/>
            <a:gd name="connsiteY693" fmla="*/ 2498370 h 2530838"/>
            <a:gd name="connsiteX694" fmla="*/ 464264 w 1374290"/>
            <a:gd name="connsiteY694" fmla="*/ 2493028 h 2530838"/>
            <a:gd name="connsiteX695" fmla="*/ 459514 w 1374290"/>
            <a:gd name="connsiteY695" fmla="*/ 2486895 h 2530838"/>
            <a:gd name="connsiteX696" fmla="*/ 451006 w 1374290"/>
            <a:gd name="connsiteY696" fmla="*/ 2496787 h 2530838"/>
            <a:gd name="connsiteX697" fmla="*/ 441310 w 1374290"/>
            <a:gd name="connsiteY697" fmla="*/ 2516176 h 2530838"/>
            <a:gd name="connsiteX698" fmla="*/ 424688 w 1374290"/>
            <a:gd name="connsiteY698" fmla="*/ 2525079 h 2530838"/>
            <a:gd name="connsiteX699" fmla="*/ 414596 w 1374290"/>
            <a:gd name="connsiteY699" fmla="*/ 2525079 h 2530838"/>
            <a:gd name="connsiteX700" fmla="*/ 410243 w 1374290"/>
            <a:gd name="connsiteY700" fmla="*/ 2513406 h 25308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 ang="0">
              <a:pos x="connsiteX171" y="connsiteY171"/>
            </a:cxn>
            <a:cxn ang="0">
              <a:pos x="connsiteX172" y="connsiteY172"/>
            </a:cxn>
            <a:cxn ang="0">
              <a:pos x="connsiteX173" y="connsiteY173"/>
            </a:cxn>
            <a:cxn ang="0">
              <a:pos x="connsiteX174" y="connsiteY174"/>
            </a:cxn>
            <a:cxn ang="0">
              <a:pos x="connsiteX175" y="connsiteY175"/>
            </a:cxn>
            <a:cxn ang="0">
              <a:pos x="connsiteX176" y="connsiteY176"/>
            </a:cxn>
            <a:cxn ang="0">
              <a:pos x="connsiteX177" y="connsiteY177"/>
            </a:cxn>
            <a:cxn ang="0">
              <a:pos x="connsiteX178" y="connsiteY178"/>
            </a:cxn>
            <a:cxn ang="0">
              <a:pos x="connsiteX179" y="connsiteY179"/>
            </a:cxn>
            <a:cxn ang="0">
              <a:pos x="connsiteX180" y="connsiteY180"/>
            </a:cxn>
            <a:cxn ang="0">
              <a:pos x="connsiteX181" y="connsiteY181"/>
            </a:cxn>
            <a:cxn ang="0">
              <a:pos x="connsiteX182" y="connsiteY182"/>
            </a:cxn>
            <a:cxn ang="0">
              <a:pos x="connsiteX183" y="connsiteY183"/>
            </a:cxn>
            <a:cxn ang="0">
              <a:pos x="connsiteX184" y="connsiteY184"/>
            </a:cxn>
            <a:cxn ang="0">
              <a:pos x="connsiteX185" y="connsiteY185"/>
            </a:cxn>
            <a:cxn ang="0">
              <a:pos x="connsiteX186" y="connsiteY186"/>
            </a:cxn>
            <a:cxn ang="0">
              <a:pos x="connsiteX187" y="connsiteY187"/>
            </a:cxn>
            <a:cxn ang="0">
              <a:pos x="connsiteX188" y="connsiteY188"/>
            </a:cxn>
            <a:cxn ang="0">
              <a:pos x="connsiteX189" y="connsiteY189"/>
            </a:cxn>
            <a:cxn ang="0">
              <a:pos x="connsiteX190" y="connsiteY190"/>
            </a:cxn>
            <a:cxn ang="0">
              <a:pos x="connsiteX191" y="connsiteY191"/>
            </a:cxn>
            <a:cxn ang="0">
              <a:pos x="connsiteX192" y="connsiteY192"/>
            </a:cxn>
            <a:cxn ang="0">
              <a:pos x="connsiteX193" y="connsiteY193"/>
            </a:cxn>
            <a:cxn ang="0">
              <a:pos x="connsiteX194" y="connsiteY194"/>
            </a:cxn>
            <a:cxn ang="0">
              <a:pos x="connsiteX195" y="connsiteY195"/>
            </a:cxn>
            <a:cxn ang="0">
              <a:pos x="connsiteX196" y="connsiteY196"/>
            </a:cxn>
            <a:cxn ang="0">
              <a:pos x="connsiteX197" y="connsiteY197"/>
            </a:cxn>
            <a:cxn ang="0">
              <a:pos x="connsiteX198" y="connsiteY198"/>
            </a:cxn>
            <a:cxn ang="0">
              <a:pos x="connsiteX199" y="connsiteY199"/>
            </a:cxn>
            <a:cxn ang="0">
              <a:pos x="connsiteX200" y="connsiteY200"/>
            </a:cxn>
            <a:cxn ang="0">
              <a:pos x="connsiteX201" y="connsiteY201"/>
            </a:cxn>
            <a:cxn ang="0">
              <a:pos x="connsiteX202" y="connsiteY202"/>
            </a:cxn>
            <a:cxn ang="0">
              <a:pos x="connsiteX203" y="connsiteY203"/>
            </a:cxn>
            <a:cxn ang="0">
              <a:pos x="connsiteX204" y="connsiteY204"/>
            </a:cxn>
            <a:cxn ang="0">
              <a:pos x="connsiteX205" y="connsiteY205"/>
            </a:cxn>
            <a:cxn ang="0">
              <a:pos x="connsiteX206" y="connsiteY206"/>
            </a:cxn>
            <a:cxn ang="0">
              <a:pos x="connsiteX207" y="connsiteY207"/>
            </a:cxn>
            <a:cxn ang="0">
              <a:pos x="connsiteX208" y="connsiteY208"/>
            </a:cxn>
            <a:cxn ang="0">
              <a:pos x="connsiteX209" y="connsiteY209"/>
            </a:cxn>
            <a:cxn ang="0">
              <a:pos x="connsiteX210" y="connsiteY210"/>
            </a:cxn>
            <a:cxn ang="0">
              <a:pos x="connsiteX211" y="connsiteY211"/>
            </a:cxn>
            <a:cxn ang="0">
              <a:pos x="connsiteX212" y="connsiteY212"/>
            </a:cxn>
            <a:cxn ang="0">
              <a:pos x="connsiteX213" y="connsiteY213"/>
            </a:cxn>
            <a:cxn ang="0">
              <a:pos x="connsiteX214" y="connsiteY214"/>
            </a:cxn>
            <a:cxn ang="0">
              <a:pos x="connsiteX215" y="connsiteY215"/>
            </a:cxn>
            <a:cxn ang="0">
              <a:pos x="connsiteX216" y="connsiteY216"/>
            </a:cxn>
            <a:cxn ang="0">
              <a:pos x="connsiteX217" y="connsiteY217"/>
            </a:cxn>
            <a:cxn ang="0">
              <a:pos x="connsiteX218" y="connsiteY218"/>
            </a:cxn>
            <a:cxn ang="0">
              <a:pos x="connsiteX219" y="connsiteY219"/>
            </a:cxn>
            <a:cxn ang="0">
              <a:pos x="connsiteX220" y="connsiteY220"/>
            </a:cxn>
            <a:cxn ang="0">
              <a:pos x="connsiteX221" y="connsiteY221"/>
            </a:cxn>
            <a:cxn ang="0">
              <a:pos x="connsiteX222" y="connsiteY222"/>
            </a:cxn>
            <a:cxn ang="0">
              <a:pos x="connsiteX223" y="connsiteY223"/>
            </a:cxn>
            <a:cxn ang="0">
              <a:pos x="connsiteX224" y="connsiteY224"/>
            </a:cxn>
            <a:cxn ang="0">
              <a:pos x="connsiteX225" y="connsiteY225"/>
            </a:cxn>
            <a:cxn ang="0">
              <a:pos x="connsiteX226" y="connsiteY226"/>
            </a:cxn>
            <a:cxn ang="0">
              <a:pos x="connsiteX227" y="connsiteY227"/>
            </a:cxn>
            <a:cxn ang="0">
              <a:pos x="connsiteX228" y="connsiteY228"/>
            </a:cxn>
            <a:cxn ang="0">
              <a:pos x="connsiteX229" y="connsiteY229"/>
            </a:cxn>
            <a:cxn ang="0">
              <a:pos x="connsiteX230" y="connsiteY230"/>
            </a:cxn>
            <a:cxn ang="0">
              <a:pos x="connsiteX231" y="connsiteY231"/>
            </a:cxn>
            <a:cxn ang="0">
              <a:pos x="connsiteX232" y="connsiteY232"/>
            </a:cxn>
            <a:cxn ang="0">
              <a:pos x="connsiteX233" y="connsiteY233"/>
            </a:cxn>
            <a:cxn ang="0">
              <a:pos x="connsiteX234" y="connsiteY234"/>
            </a:cxn>
            <a:cxn ang="0">
              <a:pos x="connsiteX235" y="connsiteY235"/>
            </a:cxn>
            <a:cxn ang="0">
              <a:pos x="connsiteX236" y="connsiteY236"/>
            </a:cxn>
            <a:cxn ang="0">
              <a:pos x="connsiteX237" y="connsiteY237"/>
            </a:cxn>
            <a:cxn ang="0">
              <a:pos x="connsiteX238" y="connsiteY238"/>
            </a:cxn>
            <a:cxn ang="0">
              <a:pos x="connsiteX239" y="connsiteY239"/>
            </a:cxn>
            <a:cxn ang="0">
              <a:pos x="connsiteX240" y="connsiteY240"/>
            </a:cxn>
            <a:cxn ang="0">
              <a:pos x="connsiteX241" y="connsiteY241"/>
            </a:cxn>
            <a:cxn ang="0">
              <a:pos x="connsiteX242" y="connsiteY242"/>
            </a:cxn>
            <a:cxn ang="0">
              <a:pos x="connsiteX243" y="connsiteY243"/>
            </a:cxn>
            <a:cxn ang="0">
              <a:pos x="connsiteX244" y="connsiteY244"/>
            </a:cxn>
            <a:cxn ang="0">
              <a:pos x="connsiteX245" y="connsiteY245"/>
            </a:cxn>
            <a:cxn ang="0">
              <a:pos x="connsiteX246" y="connsiteY246"/>
            </a:cxn>
            <a:cxn ang="0">
              <a:pos x="connsiteX247" y="connsiteY247"/>
            </a:cxn>
            <a:cxn ang="0">
              <a:pos x="connsiteX248" y="connsiteY248"/>
            </a:cxn>
            <a:cxn ang="0">
              <a:pos x="connsiteX249" y="connsiteY249"/>
            </a:cxn>
            <a:cxn ang="0">
              <a:pos x="connsiteX250" y="connsiteY250"/>
            </a:cxn>
            <a:cxn ang="0">
              <a:pos x="connsiteX251" y="connsiteY251"/>
            </a:cxn>
            <a:cxn ang="0">
              <a:pos x="connsiteX252" y="connsiteY252"/>
            </a:cxn>
            <a:cxn ang="0">
              <a:pos x="connsiteX253" y="connsiteY253"/>
            </a:cxn>
            <a:cxn ang="0">
              <a:pos x="connsiteX254" y="connsiteY254"/>
            </a:cxn>
            <a:cxn ang="0">
              <a:pos x="connsiteX255" y="connsiteY255"/>
            </a:cxn>
            <a:cxn ang="0">
              <a:pos x="connsiteX256" y="connsiteY256"/>
            </a:cxn>
            <a:cxn ang="0">
              <a:pos x="connsiteX257" y="connsiteY257"/>
            </a:cxn>
            <a:cxn ang="0">
              <a:pos x="connsiteX258" y="connsiteY258"/>
            </a:cxn>
            <a:cxn ang="0">
              <a:pos x="connsiteX259" y="connsiteY259"/>
            </a:cxn>
            <a:cxn ang="0">
              <a:pos x="connsiteX260" y="connsiteY260"/>
            </a:cxn>
            <a:cxn ang="0">
              <a:pos x="connsiteX261" y="connsiteY261"/>
            </a:cxn>
            <a:cxn ang="0">
              <a:pos x="connsiteX262" y="connsiteY262"/>
            </a:cxn>
            <a:cxn ang="0">
              <a:pos x="connsiteX263" y="connsiteY263"/>
            </a:cxn>
            <a:cxn ang="0">
              <a:pos x="connsiteX264" y="connsiteY264"/>
            </a:cxn>
            <a:cxn ang="0">
              <a:pos x="connsiteX265" y="connsiteY265"/>
            </a:cxn>
            <a:cxn ang="0">
              <a:pos x="connsiteX266" y="connsiteY266"/>
            </a:cxn>
            <a:cxn ang="0">
              <a:pos x="connsiteX267" y="connsiteY267"/>
            </a:cxn>
            <a:cxn ang="0">
              <a:pos x="connsiteX268" y="connsiteY268"/>
            </a:cxn>
            <a:cxn ang="0">
              <a:pos x="connsiteX269" y="connsiteY269"/>
            </a:cxn>
            <a:cxn ang="0">
              <a:pos x="connsiteX270" y="connsiteY270"/>
            </a:cxn>
            <a:cxn ang="0">
              <a:pos x="connsiteX271" y="connsiteY271"/>
            </a:cxn>
            <a:cxn ang="0">
              <a:pos x="connsiteX272" y="connsiteY272"/>
            </a:cxn>
            <a:cxn ang="0">
              <a:pos x="connsiteX273" y="connsiteY273"/>
            </a:cxn>
            <a:cxn ang="0">
              <a:pos x="connsiteX274" y="connsiteY274"/>
            </a:cxn>
            <a:cxn ang="0">
              <a:pos x="connsiteX275" y="connsiteY275"/>
            </a:cxn>
            <a:cxn ang="0">
              <a:pos x="connsiteX276" y="connsiteY276"/>
            </a:cxn>
            <a:cxn ang="0">
              <a:pos x="connsiteX277" y="connsiteY277"/>
            </a:cxn>
            <a:cxn ang="0">
              <a:pos x="connsiteX278" y="connsiteY278"/>
            </a:cxn>
            <a:cxn ang="0">
              <a:pos x="connsiteX279" y="connsiteY279"/>
            </a:cxn>
            <a:cxn ang="0">
              <a:pos x="connsiteX280" y="connsiteY280"/>
            </a:cxn>
            <a:cxn ang="0">
              <a:pos x="connsiteX281" y="connsiteY281"/>
            </a:cxn>
            <a:cxn ang="0">
              <a:pos x="connsiteX282" y="connsiteY282"/>
            </a:cxn>
            <a:cxn ang="0">
              <a:pos x="connsiteX283" y="connsiteY283"/>
            </a:cxn>
            <a:cxn ang="0">
              <a:pos x="connsiteX284" y="connsiteY284"/>
            </a:cxn>
            <a:cxn ang="0">
              <a:pos x="connsiteX285" y="connsiteY285"/>
            </a:cxn>
            <a:cxn ang="0">
              <a:pos x="connsiteX286" y="connsiteY286"/>
            </a:cxn>
            <a:cxn ang="0">
              <a:pos x="connsiteX287" y="connsiteY287"/>
            </a:cxn>
            <a:cxn ang="0">
              <a:pos x="connsiteX288" y="connsiteY288"/>
            </a:cxn>
            <a:cxn ang="0">
              <a:pos x="connsiteX289" y="connsiteY289"/>
            </a:cxn>
            <a:cxn ang="0">
              <a:pos x="connsiteX290" y="connsiteY290"/>
            </a:cxn>
            <a:cxn ang="0">
              <a:pos x="connsiteX291" y="connsiteY291"/>
            </a:cxn>
            <a:cxn ang="0">
              <a:pos x="connsiteX292" y="connsiteY292"/>
            </a:cxn>
            <a:cxn ang="0">
              <a:pos x="connsiteX293" y="connsiteY293"/>
            </a:cxn>
            <a:cxn ang="0">
              <a:pos x="connsiteX294" y="connsiteY294"/>
            </a:cxn>
            <a:cxn ang="0">
              <a:pos x="connsiteX295" y="connsiteY295"/>
            </a:cxn>
            <a:cxn ang="0">
              <a:pos x="connsiteX296" y="connsiteY296"/>
            </a:cxn>
            <a:cxn ang="0">
              <a:pos x="connsiteX297" y="connsiteY297"/>
            </a:cxn>
            <a:cxn ang="0">
              <a:pos x="connsiteX298" y="connsiteY298"/>
            </a:cxn>
            <a:cxn ang="0">
              <a:pos x="connsiteX299" y="connsiteY299"/>
            </a:cxn>
            <a:cxn ang="0">
              <a:pos x="connsiteX300" y="connsiteY300"/>
            </a:cxn>
            <a:cxn ang="0">
              <a:pos x="connsiteX301" y="connsiteY301"/>
            </a:cxn>
            <a:cxn ang="0">
              <a:pos x="connsiteX302" y="connsiteY302"/>
            </a:cxn>
            <a:cxn ang="0">
              <a:pos x="connsiteX303" y="connsiteY303"/>
            </a:cxn>
            <a:cxn ang="0">
              <a:pos x="connsiteX304" y="connsiteY304"/>
            </a:cxn>
            <a:cxn ang="0">
              <a:pos x="connsiteX305" y="connsiteY305"/>
            </a:cxn>
            <a:cxn ang="0">
              <a:pos x="connsiteX306" y="connsiteY306"/>
            </a:cxn>
            <a:cxn ang="0">
              <a:pos x="connsiteX307" y="connsiteY307"/>
            </a:cxn>
            <a:cxn ang="0">
              <a:pos x="connsiteX308" y="connsiteY308"/>
            </a:cxn>
            <a:cxn ang="0">
              <a:pos x="connsiteX309" y="connsiteY309"/>
            </a:cxn>
            <a:cxn ang="0">
              <a:pos x="connsiteX310" y="connsiteY310"/>
            </a:cxn>
            <a:cxn ang="0">
              <a:pos x="connsiteX311" y="connsiteY311"/>
            </a:cxn>
            <a:cxn ang="0">
              <a:pos x="connsiteX312" y="connsiteY312"/>
            </a:cxn>
            <a:cxn ang="0">
              <a:pos x="connsiteX313" y="connsiteY313"/>
            </a:cxn>
            <a:cxn ang="0">
              <a:pos x="connsiteX314" y="connsiteY314"/>
            </a:cxn>
            <a:cxn ang="0">
              <a:pos x="connsiteX315" y="connsiteY315"/>
            </a:cxn>
            <a:cxn ang="0">
              <a:pos x="connsiteX316" y="connsiteY316"/>
            </a:cxn>
            <a:cxn ang="0">
              <a:pos x="connsiteX317" y="connsiteY317"/>
            </a:cxn>
            <a:cxn ang="0">
              <a:pos x="connsiteX318" y="connsiteY318"/>
            </a:cxn>
            <a:cxn ang="0">
              <a:pos x="connsiteX319" y="connsiteY319"/>
            </a:cxn>
            <a:cxn ang="0">
              <a:pos x="connsiteX320" y="connsiteY320"/>
            </a:cxn>
            <a:cxn ang="0">
              <a:pos x="connsiteX321" y="connsiteY321"/>
            </a:cxn>
            <a:cxn ang="0">
              <a:pos x="connsiteX322" y="connsiteY322"/>
            </a:cxn>
            <a:cxn ang="0">
              <a:pos x="connsiteX323" y="connsiteY323"/>
            </a:cxn>
            <a:cxn ang="0">
              <a:pos x="connsiteX324" y="connsiteY324"/>
            </a:cxn>
            <a:cxn ang="0">
              <a:pos x="connsiteX325" y="connsiteY325"/>
            </a:cxn>
            <a:cxn ang="0">
              <a:pos x="connsiteX326" y="connsiteY326"/>
            </a:cxn>
            <a:cxn ang="0">
              <a:pos x="connsiteX327" y="connsiteY327"/>
            </a:cxn>
            <a:cxn ang="0">
              <a:pos x="connsiteX328" y="connsiteY328"/>
            </a:cxn>
            <a:cxn ang="0">
              <a:pos x="connsiteX329" y="connsiteY329"/>
            </a:cxn>
            <a:cxn ang="0">
              <a:pos x="connsiteX330" y="connsiteY330"/>
            </a:cxn>
            <a:cxn ang="0">
              <a:pos x="connsiteX331" y="connsiteY331"/>
            </a:cxn>
            <a:cxn ang="0">
              <a:pos x="connsiteX332" y="connsiteY332"/>
            </a:cxn>
            <a:cxn ang="0">
              <a:pos x="connsiteX333" y="connsiteY333"/>
            </a:cxn>
            <a:cxn ang="0">
              <a:pos x="connsiteX334" y="connsiteY334"/>
            </a:cxn>
            <a:cxn ang="0">
              <a:pos x="connsiteX335" y="connsiteY335"/>
            </a:cxn>
            <a:cxn ang="0">
              <a:pos x="connsiteX336" y="connsiteY336"/>
            </a:cxn>
            <a:cxn ang="0">
              <a:pos x="connsiteX337" y="connsiteY337"/>
            </a:cxn>
            <a:cxn ang="0">
              <a:pos x="connsiteX338" y="connsiteY338"/>
            </a:cxn>
            <a:cxn ang="0">
              <a:pos x="connsiteX339" y="connsiteY339"/>
            </a:cxn>
            <a:cxn ang="0">
              <a:pos x="connsiteX340" y="connsiteY340"/>
            </a:cxn>
            <a:cxn ang="0">
              <a:pos x="connsiteX341" y="connsiteY341"/>
            </a:cxn>
            <a:cxn ang="0">
              <a:pos x="connsiteX342" y="connsiteY342"/>
            </a:cxn>
            <a:cxn ang="0">
              <a:pos x="connsiteX343" y="connsiteY343"/>
            </a:cxn>
            <a:cxn ang="0">
              <a:pos x="connsiteX344" y="connsiteY344"/>
            </a:cxn>
            <a:cxn ang="0">
              <a:pos x="connsiteX345" y="connsiteY345"/>
            </a:cxn>
            <a:cxn ang="0">
              <a:pos x="connsiteX346" y="connsiteY346"/>
            </a:cxn>
            <a:cxn ang="0">
              <a:pos x="connsiteX347" y="connsiteY347"/>
            </a:cxn>
            <a:cxn ang="0">
              <a:pos x="connsiteX348" y="connsiteY348"/>
            </a:cxn>
            <a:cxn ang="0">
              <a:pos x="connsiteX349" y="connsiteY349"/>
            </a:cxn>
            <a:cxn ang="0">
              <a:pos x="connsiteX350" y="connsiteY350"/>
            </a:cxn>
            <a:cxn ang="0">
              <a:pos x="connsiteX351" y="connsiteY351"/>
            </a:cxn>
            <a:cxn ang="0">
              <a:pos x="connsiteX352" y="connsiteY352"/>
            </a:cxn>
            <a:cxn ang="0">
              <a:pos x="connsiteX353" y="connsiteY353"/>
            </a:cxn>
            <a:cxn ang="0">
              <a:pos x="connsiteX354" y="connsiteY354"/>
            </a:cxn>
            <a:cxn ang="0">
              <a:pos x="connsiteX355" y="connsiteY355"/>
            </a:cxn>
            <a:cxn ang="0">
              <a:pos x="connsiteX356" y="connsiteY356"/>
            </a:cxn>
            <a:cxn ang="0">
              <a:pos x="connsiteX357" y="connsiteY357"/>
            </a:cxn>
            <a:cxn ang="0">
              <a:pos x="connsiteX358" y="connsiteY358"/>
            </a:cxn>
            <a:cxn ang="0">
              <a:pos x="connsiteX359" y="connsiteY359"/>
            </a:cxn>
            <a:cxn ang="0">
              <a:pos x="connsiteX360" y="connsiteY360"/>
            </a:cxn>
            <a:cxn ang="0">
              <a:pos x="connsiteX361" y="connsiteY361"/>
            </a:cxn>
            <a:cxn ang="0">
              <a:pos x="connsiteX362" y="connsiteY362"/>
            </a:cxn>
            <a:cxn ang="0">
              <a:pos x="connsiteX363" y="connsiteY363"/>
            </a:cxn>
            <a:cxn ang="0">
              <a:pos x="connsiteX364" y="connsiteY364"/>
            </a:cxn>
            <a:cxn ang="0">
              <a:pos x="connsiteX365" y="connsiteY365"/>
            </a:cxn>
            <a:cxn ang="0">
              <a:pos x="connsiteX366" y="connsiteY366"/>
            </a:cxn>
            <a:cxn ang="0">
              <a:pos x="connsiteX367" y="connsiteY367"/>
            </a:cxn>
            <a:cxn ang="0">
              <a:pos x="connsiteX368" y="connsiteY368"/>
            </a:cxn>
            <a:cxn ang="0">
              <a:pos x="connsiteX369" y="connsiteY369"/>
            </a:cxn>
            <a:cxn ang="0">
              <a:pos x="connsiteX370" y="connsiteY370"/>
            </a:cxn>
            <a:cxn ang="0">
              <a:pos x="connsiteX371" y="connsiteY371"/>
            </a:cxn>
            <a:cxn ang="0">
              <a:pos x="connsiteX372" y="connsiteY372"/>
            </a:cxn>
            <a:cxn ang="0">
              <a:pos x="connsiteX373" y="connsiteY373"/>
            </a:cxn>
            <a:cxn ang="0">
              <a:pos x="connsiteX374" y="connsiteY374"/>
            </a:cxn>
            <a:cxn ang="0">
              <a:pos x="connsiteX375" y="connsiteY375"/>
            </a:cxn>
            <a:cxn ang="0">
              <a:pos x="connsiteX376" y="connsiteY376"/>
            </a:cxn>
            <a:cxn ang="0">
              <a:pos x="connsiteX377" y="connsiteY377"/>
            </a:cxn>
            <a:cxn ang="0">
              <a:pos x="connsiteX378" y="connsiteY378"/>
            </a:cxn>
            <a:cxn ang="0">
              <a:pos x="connsiteX379" y="connsiteY379"/>
            </a:cxn>
            <a:cxn ang="0">
              <a:pos x="connsiteX380" y="connsiteY380"/>
            </a:cxn>
            <a:cxn ang="0">
              <a:pos x="connsiteX381" y="connsiteY381"/>
            </a:cxn>
            <a:cxn ang="0">
              <a:pos x="connsiteX382" y="connsiteY382"/>
            </a:cxn>
            <a:cxn ang="0">
              <a:pos x="connsiteX383" y="connsiteY383"/>
            </a:cxn>
            <a:cxn ang="0">
              <a:pos x="connsiteX384" y="connsiteY384"/>
            </a:cxn>
            <a:cxn ang="0">
              <a:pos x="connsiteX385" y="connsiteY385"/>
            </a:cxn>
            <a:cxn ang="0">
              <a:pos x="connsiteX386" y="connsiteY386"/>
            </a:cxn>
            <a:cxn ang="0">
              <a:pos x="connsiteX387" y="connsiteY387"/>
            </a:cxn>
            <a:cxn ang="0">
              <a:pos x="connsiteX388" y="connsiteY388"/>
            </a:cxn>
            <a:cxn ang="0">
              <a:pos x="connsiteX389" y="connsiteY389"/>
            </a:cxn>
            <a:cxn ang="0">
              <a:pos x="connsiteX390" y="connsiteY390"/>
            </a:cxn>
            <a:cxn ang="0">
              <a:pos x="connsiteX391" y="connsiteY391"/>
            </a:cxn>
            <a:cxn ang="0">
              <a:pos x="connsiteX392" y="connsiteY392"/>
            </a:cxn>
            <a:cxn ang="0">
              <a:pos x="connsiteX393" y="connsiteY393"/>
            </a:cxn>
            <a:cxn ang="0">
              <a:pos x="connsiteX394" y="connsiteY394"/>
            </a:cxn>
            <a:cxn ang="0">
              <a:pos x="connsiteX395" y="connsiteY395"/>
            </a:cxn>
            <a:cxn ang="0">
              <a:pos x="connsiteX396" y="connsiteY396"/>
            </a:cxn>
            <a:cxn ang="0">
              <a:pos x="connsiteX397" y="connsiteY397"/>
            </a:cxn>
            <a:cxn ang="0">
              <a:pos x="connsiteX398" y="connsiteY398"/>
            </a:cxn>
            <a:cxn ang="0">
              <a:pos x="connsiteX399" y="connsiteY399"/>
            </a:cxn>
            <a:cxn ang="0">
              <a:pos x="connsiteX400" y="connsiteY400"/>
            </a:cxn>
            <a:cxn ang="0">
              <a:pos x="connsiteX401" y="connsiteY401"/>
            </a:cxn>
            <a:cxn ang="0">
              <a:pos x="connsiteX402" y="connsiteY402"/>
            </a:cxn>
            <a:cxn ang="0">
              <a:pos x="connsiteX403" y="connsiteY403"/>
            </a:cxn>
            <a:cxn ang="0">
              <a:pos x="connsiteX404" y="connsiteY404"/>
            </a:cxn>
            <a:cxn ang="0">
              <a:pos x="connsiteX405" y="connsiteY405"/>
            </a:cxn>
            <a:cxn ang="0">
              <a:pos x="connsiteX406" y="connsiteY406"/>
            </a:cxn>
            <a:cxn ang="0">
              <a:pos x="connsiteX407" y="connsiteY407"/>
            </a:cxn>
            <a:cxn ang="0">
              <a:pos x="connsiteX408" y="connsiteY408"/>
            </a:cxn>
            <a:cxn ang="0">
              <a:pos x="connsiteX409" y="connsiteY409"/>
            </a:cxn>
            <a:cxn ang="0">
              <a:pos x="connsiteX410" y="connsiteY410"/>
            </a:cxn>
            <a:cxn ang="0">
              <a:pos x="connsiteX411" y="connsiteY411"/>
            </a:cxn>
            <a:cxn ang="0">
              <a:pos x="connsiteX412" y="connsiteY412"/>
            </a:cxn>
            <a:cxn ang="0">
              <a:pos x="connsiteX413" y="connsiteY413"/>
            </a:cxn>
            <a:cxn ang="0">
              <a:pos x="connsiteX414" y="connsiteY414"/>
            </a:cxn>
            <a:cxn ang="0">
              <a:pos x="connsiteX415" y="connsiteY415"/>
            </a:cxn>
            <a:cxn ang="0">
              <a:pos x="connsiteX416" y="connsiteY416"/>
            </a:cxn>
            <a:cxn ang="0">
              <a:pos x="connsiteX417" y="connsiteY417"/>
            </a:cxn>
            <a:cxn ang="0">
              <a:pos x="connsiteX418" y="connsiteY418"/>
            </a:cxn>
            <a:cxn ang="0">
              <a:pos x="connsiteX419" y="connsiteY419"/>
            </a:cxn>
            <a:cxn ang="0">
              <a:pos x="connsiteX420" y="connsiteY420"/>
            </a:cxn>
            <a:cxn ang="0">
              <a:pos x="connsiteX421" y="connsiteY421"/>
            </a:cxn>
            <a:cxn ang="0">
              <a:pos x="connsiteX422" y="connsiteY422"/>
            </a:cxn>
            <a:cxn ang="0">
              <a:pos x="connsiteX423" y="connsiteY423"/>
            </a:cxn>
            <a:cxn ang="0">
              <a:pos x="connsiteX424" y="connsiteY424"/>
            </a:cxn>
            <a:cxn ang="0">
              <a:pos x="connsiteX425" y="connsiteY425"/>
            </a:cxn>
            <a:cxn ang="0">
              <a:pos x="connsiteX426" y="connsiteY426"/>
            </a:cxn>
            <a:cxn ang="0">
              <a:pos x="connsiteX427" y="connsiteY427"/>
            </a:cxn>
            <a:cxn ang="0">
              <a:pos x="connsiteX428" y="connsiteY428"/>
            </a:cxn>
            <a:cxn ang="0">
              <a:pos x="connsiteX429" y="connsiteY429"/>
            </a:cxn>
            <a:cxn ang="0">
              <a:pos x="connsiteX430" y="connsiteY430"/>
            </a:cxn>
            <a:cxn ang="0">
              <a:pos x="connsiteX431" y="connsiteY431"/>
            </a:cxn>
            <a:cxn ang="0">
              <a:pos x="connsiteX432" y="connsiteY432"/>
            </a:cxn>
            <a:cxn ang="0">
              <a:pos x="connsiteX433" y="connsiteY433"/>
            </a:cxn>
            <a:cxn ang="0">
              <a:pos x="connsiteX434" y="connsiteY434"/>
            </a:cxn>
            <a:cxn ang="0">
              <a:pos x="connsiteX435" y="connsiteY435"/>
            </a:cxn>
            <a:cxn ang="0">
              <a:pos x="connsiteX436" y="connsiteY436"/>
            </a:cxn>
            <a:cxn ang="0">
              <a:pos x="connsiteX437" y="connsiteY437"/>
            </a:cxn>
            <a:cxn ang="0">
              <a:pos x="connsiteX438" y="connsiteY438"/>
            </a:cxn>
            <a:cxn ang="0">
              <a:pos x="connsiteX439" y="connsiteY439"/>
            </a:cxn>
            <a:cxn ang="0">
              <a:pos x="connsiteX440" y="connsiteY440"/>
            </a:cxn>
            <a:cxn ang="0">
              <a:pos x="connsiteX441" y="connsiteY441"/>
            </a:cxn>
            <a:cxn ang="0">
              <a:pos x="connsiteX442" y="connsiteY442"/>
            </a:cxn>
            <a:cxn ang="0">
              <a:pos x="connsiteX443" y="connsiteY443"/>
            </a:cxn>
            <a:cxn ang="0">
              <a:pos x="connsiteX444" y="connsiteY444"/>
            </a:cxn>
            <a:cxn ang="0">
              <a:pos x="connsiteX445" y="connsiteY445"/>
            </a:cxn>
            <a:cxn ang="0">
              <a:pos x="connsiteX446" y="connsiteY446"/>
            </a:cxn>
            <a:cxn ang="0">
              <a:pos x="connsiteX447" y="connsiteY447"/>
            </a:cxn>
            <a:cxn ang="0">
              <a:pos x="connsiteX448" y="connsiteY448"/>
            </a:cxn>
            <a:cxn ang="0">
              <a:pos x="connsiteX449" y="connsiteY449"/>
            </a:cxn>
            <a:cxn ang="0">
              <a:pos x="connsiteX450" y="connsiteY450"/>
            </a:cxn>
            <a:cxn ang="0">
              <a:pos x="connsiteX451" y="connsiteY451"/>
            </a:cxn>
            <a:cxn ang="0">
              <a:pos x="connsiteX452" y="connsiteY452"/>
            </a:cxn>
            <a:cxn ang="0">
              <a:pos x="connsiteX453" y="connsiteY453"/>
            </a:cxn>
            <a:cxn ang="0">
              <a:pos x="connsiteX454" y="connsiteY454"/>
            </a:cxn>
            <a:cxn ang="0">
              <a:pos x="connsiteX455" y="connsiteY455"/>
            </a:cxn>
            <a:cxn ang="0">
              <a:pos x="connsiteX456" y="connsiteY456"/>
            </a:cxn>
            <a:cxn ang="0">
              <a:pos x="connsiteX457" y="connsiteY457"/>
            </a:cxn>
            <a:cxn ang="0">
              <a:pos x="connsiteX458" y="connsiteY458"/>
            </a:cxn>
            <a:cxn ang="0">
              <a:pos x="connsiteX459" y="connsiteY459"/>
            </a:cxn>
            <a:cxn ang="0">
              <a:pos x="connsiteX460" y="connsiteY460"/>
            </a:cxn>
            <a:cxn ang="0">
              <a:pos x="connsiteX461" y="connsiteY461"/>
            </a:cxn>
            <a:cxn ang="0">
              <a:pos x="connsiteX462" y="connsiteY462"/>
            </a:cxn>
            <a:cxn ang="0">
              <a:pos x="connsiteX463" y="connsiteY463"/>
            </a:cxn>
            <a:cxn ang="0">
              <a:pos x="connsiteX464" y="connsiteY464"/>
            </a:cxn>
            <a:cxn ang="0">
              <a:pos x="connsiteX465" y="connsiteY465"/>
            </a:cxn>
            <a:cxn ang="0">
              <a:pos x="connsiteX466" y="connsiteY466"/>
            </a:cxn>
            <a:cxn ang="0">
              <a:pos x="connsiteX467" y="connsiteY467"/>
            </a:cxn>
            <a:cxn ang="0">
              <a:pos x="connsiteX468" y="connsiteY468"/>
            </a:cxn>
            <a:cxn ang="0">
              <a:pos x="connsiteX469" y="connsiteY469"/>
            </a:cxn>
            <a:cxn ang="0">
              <a:pos x="connsiteX470" y="connsiteY470"/>
            </a:cxn>
            <a:cxn ang="0">
              <a:pos x="connsiteX471" y="connsiteY471"/>
            </a:cxn>
            <a:cxn ang="0">
              <a:pos x="connsiteX472" y="connsiteY472"/>
            </a:cxn>
            <a:cxn ang="0">
              <a:pos x="connsiteX473" y="connsiteY473"/>
            </a:cxn>
            <a:cxn ang="0">
              <a:pos x="connsiteX474" y="connsiteY474"/>
            </a:cxn>
            <a:cxn ang="0">
              <a:pos x="connsiteX475" y="connsiteY475"/>
            </a:cxn>
            <a:cxn ang="0">
              <a:pos x="connsiteX476" y="connsiteY476"/>
            </a:cxn>
            <a:cxn ang="0">
              <a:pos x="connsiteX477" y="connsiteY477"/>
            </a:cxn>
            <a:cxn ang="0">
              <a:pos x="connsiteX478" y="connsiteY478"/>
            </a:cxn>
            <a:cxn ang="0">
              <a:pos x="connsiteX479" y="connsiteY479"/>
            </a:cxn>
            <a:cxn ang="0">
              <a:pos x="connsiteX480" y="connsiteY480"/>
            </a:cxn>
            <a:cxn ang="0">
              <a:pos x="connsiteX481" y="connsiteY481"/>
            </a:cxn>
            <a:cxn ang="0">
              <a:pos x="connsiteX482" y="connsiteY482"/>
            </a:cxn>
            <a:cxn ang="0">
              <a:pos x="connsiteX483" y="connsiteY483"/>
            </a:cxn>
            <a:cxn ang="0">
              <a:pos x="connsiteX484" y="connsiteY484"/>
            </a:cxn>
            <a:cxn ang="0">
              <a:pos x="connsiteX485" y="connsiteY485"/>
            </a:cxn>
            <a:cxn ang="0">
              <a:pos x="connsiteX486" y="connsiteY486"/>
            </a:cxn>
            <a:cxn ang="0">
              <a:pos x="connsiteX487" y="connsiteY487"/>
            </a:cxn>
            <a:cxn ang="0">
              <a:pos x="connsiteX488" y="connsiteY488"/>
            </a:cxn>
            <a:cxn ang="0">
              <a:pos x="connsiteX489" y="connsiteY489"/>
            </a:cxn>
            <a:cxn ang="0">
              <a:pos x="connsiteX490" y="connsiteY490"/>
            </a:cxn>
            <a:cxn ang="0">
              <a:pos x="connsiteX491" y="connsiteY491"/>
            </a:cxn>
            <a:cxn ang="0">
              <a:pos x="connsiteX492" y="connsiteY492"/>
            </a:cxn>
            <a:cxn ang="0">
              <a:pos x="connsiteX493" y="connsiteY493"/>
            </a:cxn>
            <a:cxn ang="0">
              <a:pos x="connsiteX494" y="connsiteY494"/>
            </a:cxn>
            <a:cxn ang="0">
              <a:pos x="connsiteX495" y="connsiteY495"/>
            </a:cxn>
            <a:cxn ang="0">
              <a:pos x="connsiteX496" y="connsiteY496"/>
            </a:cxn>
            <a:cxn ang="0">
              <a:pos x="connsiteX497" y="connsiteY497"/>
            </a:cxn>
            <a:cxn ang="0">
              <a:pos x="connsiteX498" y="connsiteY498"/>
            </a:cxn>
            <a:cxn ang="0">
              <a:pos x="connsiteX499" y="connsiteY499"/>
            </a:cxn>
            <a:cxn ang="0">
              <a:pos x="connsiteX500" y="connsiteY500"/>
            </a:cxn>
            <a:cxn ang="0">
              <a:pos x="connsiteX501" y="connsiteY501"/>
            </a:cxn>
            <a:cxn ang="0">
              <a:pos x="connsiteX502" y="connsiteY502"/>
            </a:cxn>
            <a:cxn ang="0">
              <a:pos x="connsiteX503" y="connsiteY503"/>
            </a:cxn>
            <a:cxn ang="0">
              <a:pos x="connsiteX504" y="connsiteY504"/>
            </a:cxn>
            <a:cxn ang="0">
              <a:pos x="connsiteX505" y="connsiteY505"/>
            </a:cxn>
            <a:cxn ang="0">
              <a:pos x="connsiteX506" y="connsiteY506"/>
            </a:cxn>
            <a:cxn ang="0">
              <a:pos x="connsiteX507" y="connsiteY507"/>
            </a:cxn>
            <a:cxn ang="0">
              <a:pos x="connsiteX508" y="connsiteY508"/>
            </a:cxn>
            <a:cxn ang="0">
              <a:pos x="connsiteX509" y="connsiteY509"/>
            </a:cxn>
            <a:cxn ang="0">
              <a:pos x="connsiteX510" y="connsiteY510"/>
            </a:cxn>
            <a:cxn ang="0">
              <a:pos x="connsiteX511" y="connsiteY511"/>
            </a:cxn>
            <a:cxn ang="0">
              <a:pos x="connsiteX512" y="connsiteY512"/>
            </a:cxn>
            <a:cxn ang="0">
              <a:pos x="connsiteX513" y="connsiteY513"/>
            </a:cxn>
            <a:cxn ang="0">
              <a:pos x="connsiteX514" y="connsiteY514"/>
            </a:cxn>
            <a:cxn ang="0">
              <a:pos x="connsiteX515" y="connsiteY515"/>
            </a:cxn>
            <a:cxn ang="0">
              <a:pos x="connsiteX516" y="connsiteY516"/>
            </a:cxn>
            <a:cxn ang="0">
              <a:pos x="connsiteX517" y="connsiteY517"/>
            </a:cxn>
            <a:cxn ang="0">
              <a:pos x="connsiteX518" y="connsiteY518"/>
            </a:cxn>
            <a:cxn ang="0">
              <a:pos x="connsiteX519" y="connsiteY519"/>
            </a:cxn>
            <a:cxn ang="0">
              <a:pos x="connsiteX520" y="connsiteY520"/>
            </a:cxn>
            <a:cxn ang="0">
              <a:pos x="connsiteX521" y="connsiteY521"/>
            </a:cxn>
            <a:cxn ang="0">
              <a:pos x="connsiteX522" y="connsiteY522"/>
            </a:cxn>
            <a:cxn ang="0">
              <a:pos x="connsiteX523" y="connsiteY523"/>
            </a:cxn>
            <a:cxn ang="0">
              <a:pos x="connsiteX524" y="connsiteY524"/>
            </a:cxn>
            <a:cxn ang="0">
              <a:pos x="connsiteX525" y="connsiteY525"/>
            </a:cxn>
            <a:cxn ang="0">
              <a:pos x="connsiteX526" y="connsiteY526"/>
            </a:cxn>
            <a:cxn ang="0">
              <a:pos x="connsiteX527" y="connsiteY527"/>
            </a:cxn>
            <a:cxn ang="0">
              <a:pos x="connsiteX528" y="connsiteY528"/>
            </a:cxn>
            <a:cxn ang="0">
              <a:pos x="connsiteX529" y="connsiteY529"/>
            </a:cxn>
            <a:cxn ang="0">
              <a:pos x="connsiteX530" y="connsiteY530"/>
            </a:cxn>
            <a:cxn ang="0">
              <a:pos x="connsiteX531" y="connsiteY531"/>
            </a:cxn>
            <a:cxn ang="0">
              <a:pos x="connsiteX532" y="connsiteY532"/>
            </a:cxn>
            <a:cxn ang="0">
              <a:pos x="connsiteX533" y="connsiteY533"/>
            </a:cxn>
            <a:cxn ang="0">
              <a:pos x="connsiteX534" y="connsiteY534"/>
            </a:cxn>
            <a:cxn ang="0">
              <a:pos x="connsiteX535" y="connsiteY535"/>
            </a:cxn>
            <a:cxn ang="0">
              <a:pos x="connsiteX536" y="connsiteY536"/>
            </a:cxn>
            <a:cxn ang="0">
              <a:pos x="connsiteX537" y="connsiteY537"/>
            </a:cxn>
            <a:cxn ang="0">
              <a:pos x="connsiteX538" y="connsiteY538"/>
            </a:cxn>
            <a:cxn ang="0">
              <a:pos x="connsiteX539" y="connsiteY539"/>
            </a:cxn>
            <a:cxn ang="0">
              <a:pos x="connsiteX540" y="connsiteY540"/>
            </a:cxn>
            <a:cxn ang="0">
              <a:pos x="connsiteX541" y="connsiteY541"/>
            </a:cxn>
            <a:cxn ang="0">
              <a:pos x="connsiteX542" y="connsiteY542"/>
            </a:cxn>
            <a:cxn ang="0">
              <a:pos x="connsiteX543" y="connsiteY543"/>
            </a:cxn>
            <a:cxn ang="0">
              <a:pos x="connsiteX544" y="connsiteY544"/>
            </a:cxn>
            <a:cxn ang="0">
              <a:pos x="connsiteX545" y="connsiteY545"/>
            </a:cxn>
            <a:cxn ang="0">
              <a:pos x="connsiteX546" y="connsiteY546"/>
            </a:cxn>
            <a:cxn ang="0">
              <a:pos x="connsiteX547" y="connsiteY547"/>
            </a:cxn>
            <a:cxn ang="0">
              <a:pos x="connsiteX548" y="connsiteY548"/>
            </a:cxn>
            <a:cxn ang="0">
              <a:pos x="connsiteX549" y="connsiteY549"/>
            </a:cxn>
            <a:cxn ang="0">
              <a:pos x="connsiteX550" y="connsiteY550"/>
            </a:cxn>
            <a:cxn ang="0">
              <a:pos x="connsiteX551" y="connsiteY551"/>
            </a:cxn>
            <a:cxn ang="0">
              <a:pos x="connsiteX552" y="connsiteY552"/>
            </a:cxn>
            <a:cxn ang="0">
              <a:pos x="connsiteX553" y="connsiteY553"/>
            </a:cxn>
            <a:cxn ang="0">
              <a:pos x="connsiteX554" y="connsiteY554"/>
            </a:cxn>
            <a:cxn ang="0">
              <a:pos x="connsiteX555" y="connsiteY555"/>
            </a:cxn>
            <a:cxn ang="0">
              <a:pos x="connsiteX556" y="connsiteY556"/>
            </a:cxn>
            <a:cxn ang="0">
              <a:pos x="connsiteX557" y="connsiteY557"/>
            </a:cxn>
            <a:cxn ang="0">
              <a:pos x="connsiteX558" y="connsiteY558"/>
            </a:cxn>
            <a:cxn ang="0">
              <a:pos x="connsiteX559" y="connsiteY559"/>
            </a:cxn>
            <a:cxn ang="0">
              <a:pos x="connsiteX560" y="connsiteY560"/>
            </a:cxn>
            <a:cxn ang="0">
              <a:pos x="connsiteX561" y="connsiteY561"/>
            </a:cxn>
            <a:cxn ang="0">
              <a:pos x="connsiteX562" y="connsiteY562"/>
            </a:cxn>
            <a:cxn ang="0">
              <a:pos x="connsiteX563" y="connsiteY563"/>
            </a:cxn>
            <a:cxn ang="0">
              <a:pos x="connsiteX564" y="connsiteY564"/>
            </a:cxn>
            <a:cxn ang="0">
              <a:pos x="connsiteX565" y="connsiteY565"/>
            </a:cxn>
            <a:cxn ang="0">
              <a:pos x="connsiteX566" y="connsiteY566"/>
            </a:cxn>
            <a:cxn ang="0">
              <a:pos x="connsiteX567" y="connsiteY567"/>
            </a:cxn>
            <a:cxn ang="0">
              <a:pos x="connsiteX568" y="connsiteY568"/>
            </a:cxn>
            <a:cxn ang="0">
              <a:pos x="connsiteX569" y="connsiteY569"/>
            </a:cxn>
            <a:cxn ang="0">
              <a:pos x="connsiteX570" y="connsiteY570"/>
            </a:cxn>
            <a:cxn ang="0">
              <a:pos x="connsiteX571" y="connsiteY571"/>
            </a:cxn>
            <a:cxn ang="0">
              <a:pos x="connsiteX572" y="connsiteY572"/>
            </a:cxn>
            <a:cxn ang="0">
              <a:pos x="connsiteX573" y="connsiteY573"/>
            </a:cxn>
            <a:cxn ang="0">
              <a:pos x="connsiteX574" y="connsiteY574"/>
            </a:cxn>
            <a:cxn ang="0">
              <a:pos x="connsiteX575" y="connsiteY575"/>
            </a:cxn>
            <a:cxn ang="0">
              <a:pos x="connsiteX576" y="connsiteY576"/>
            </a:cxn>
            <a:cxn ang="0">
              <a:pos x="connsiteX577" y="connsiteY577"/>
            </a:cxn>
            <a:cxn ang="0">
              <a:pos x="connsiteX578" y="connsiteY578"/>
            </a:cxn>
            <a:cxn ang="0">
              <a:pos x="connsiteX579" y="connsiteY579"/>
            </a:cxn>
            <a:cxn ang="0">
              <a:pos x="connsiteX580" y="connsiteY580"/>
            </a:cxn>
            <a:cxn ang="0">
              <a:pos x="connsiteX581" y="connsiteY581"/>
            </a:cxn>
            <a:cxn ang="0">
              <a:pos x="connsiteX582" y="connsiteY582"/>
            </a:cxn>
            <a:cxn ang="0">
              <a:pos x="connsiteX583" y="connsiteY583"/>
            </a:cxn>
            <a:cxn ang="0">
              <a:pos x="connsiteX584" y="connsiteY584"/>
            </a:cxn>
            <a:cxn ang="0">
              <a:pos x="connsiteX585" y="connsiteY585"/>
            </a:cxn>
            <a:cxn ang="0">
              <a:pos x="connsiteX586" y="connsiteY586"/>
            </a:cxn>
            <a:cxn ang="0">
              <a:pos x="connsiteX587" y="connsiteY587"/>
            </a:cxn>
            <a:cxn ang="0">
              <a:pos x="connsiteX588" y="connsiteY588"/>
            </a:cxn>
            <a:cxn ang="0">
              <a:pos x="connsiteX589" y="connsiteY589"/>
            </a:cxn>
            <a:cxn ang="0">
              <a:pos x="connsiteX590" y="connsiteY590"/>
            </a:cxn>
            <a:cxn ang="0">
              <a:pos x="connsiteX591" y="connsiteY591"/>
            </a:cxn>
            <a:cxn ang="0">
              <a:pos x="connsiteX592" y="connsiteY592"/>
            </a:cxn>
            <a:cxn ang="0">
              <a:pos x="connsiteX593" y="connsiteY593"/>
            </a:cxn>
            <a:cxn ang="0">
              <a:pos x="connsiteX594" y="connsiteY594"/>
            </a:cxn>
            <a:cxn ang="0">
              <a:pos x="connsiteX595" y="connsiteY595"/>
            </a:cxn>
            <a:cxn ang="0">
              <a:pos x="connsiteX596" y="connsiteY596"/>
            </a:cxn>
            <a:cxn ang="0">
              <a:pos x="connsiteX597" y="connsiteY597"/>
            </a:cxn>
            <a:cxn ang="0">
              <a:pos x="connsiteX598" y="connsiteY598"/>
            </a:cxn>
            <a:cxn ang="0">
              <a:pos x="connsiteX599" y="connsiteY599"/>
            </a:cxn>
            <a:cxn ang="0">
              <a:pos x="connsiteX600" y="connsiteY600"/>
            </a:cxn>
            <a:cxn ang="0">
              <a:pos x="connsiteX601" y="connsiteY601"/>
            </a:cxn>
            <a:cxn ang="0">
              <a:pos x="connsiteX602" y="connsiteY602"/>
            </a:cxn>
            <a:cxn ang="0">
              <a:pos x="connsiteX603" y="connsiteY603"/>
            </a:cxn>
            <a:cxn ang="0">
              <a:pos x="connsiteX604" y="connsiteY604"/>
            </a:cxn>
            <a:cxn ang="0">
              <a:pos x="connsiteX605" y="connsiteY605"/>
            </a:cxn>
            <a:cxn ang="0">
              <a:pos x="connsiteX606" y="connsiteY606"/>
            </a:cxn>
            <a:cxn ang="0">
              <a:pos x="connsiteX607" y="connsiteY607"/>
            </a:cxn>
            <a:cxn ang="0">
              <a:pos x="connsiteX608" y="connsiteY608"/>
            </a:cxn>
            <a:cxn ang="0">
              <a:pos x="connsiteX609" y="connsiteY609"/>
            </a:cxn>
            <a:cxn ang="0">
              <a:pos x="connsiteX610" y="connsiteY610"/>
            </a:cxn>
            <a:cxn ang="0">
              <a:pos x="connsiteX611" y="connsiteY611"/>
            </a:cxn>
            <a:cxn ang="0">
              <a:pos x="connsiteX612" y="connsiteY612"/>
            </a:cxn>
            <a:cxn ang="0">
              <a:pos x="connsiteX613" y="connsiteY613"/>
            </a:cxn>
            <a:cxn ang="0">
              <a:pos x="connsiteX614" y="connsiteY614"/>
            </a:cxn>
            <a:cxn ang="0">
              <a:pos x="connsiteX615" y="connsiteY615"/>
            </a:cxn>
            <a:cxn ang="0">
              <a:pos x="connsiteX616" y="connsiteY616"/>
            </a:cxn>
            <a:cxn ang="0">
              <a:pos x="connsiteX617" y="connsiteY617"/>
            </a:cxn>
            <a:cxn ang="0">
              <a:pos x="connsiteX618" y="connsiteY618"/>
            </a:cxn>
            <a:cxn ang="0">
              <a:pos x="connsiteX619" y="connsiteY619"/>
            </a:cxn>
            <a:cxn ang="0">
              <a:pos x="connsiteX620" y="connsiteY620"/>
            </a:cxn>
            <a:cxn ang="0">
              <a:pos x="connsiteX621" y="connsiteY621"/>
            </a:cxn>
            <a:cxn ang="0">
              <a:pos x="connsiteX622" y="connsiteY622"/>
            </a:cxn>
            <a:cxn ang="0">
              <a:pos x="connsiteX623" y="connsiteY623"/>
            </a:cxn>
            <a:cxn ang="0">
              <a:pos x="connsiteX624" y="connsiteY624"/>
            </a:cxn>
            <a:cxn ang="0">
              <a:pos x="connsiteX625" y="connsiteY625"/>
            </a:cxn>
            <a:cxn ang="0">
              <a:pos x="connsiteX626" y="connsiteY626"/>
            </a:cxn>
            <a:cxn ang="0">
              <a:pos x="connsiteX627" y="connsiteY627"/>
            </a:cxn>
            <a:cxn ang="0">
              <a:pos x="connsiteX628" y="connsiteY628"/>
            </a:cxn>
            <a:cxn ang="0">
              <a:pos x="connsiteX629" y="connsiteY629"/>
            </a:cxn>
            <a:cxn ang="0">
              <a:pos x="connsiteX630" y="connsiteY630"/>
            </a:cxn>
            <a:cxn ang="0">
              <a:pos x="connsiteX631" y="connsiteY631"/>
            </a:cxn>
            <a:cxn ang="0">
              <a:pos x="connsiteX632" y="connsiteY632"/>
            </a:cxn>
            <a:cxn ang="0">
              <a:pos x="connsiteX633" y="connsiteY633"/>
            </a:cxn>
            <a:cxn ang="0">
              <a:pos x="connsiteX634" y="connsiteY634"/>
            </a:cxn>
            <a:cxn ang="0">
              <a:pos x="connsiteX635" y="connsiteY635"/>
            </a:cxn>
            <a:cxn ang="0">
              <a:pos x="connsiteX636" y="connsiteY636"/>
            </a:cxn>
            <a:cxn ang="0">
              <a:pos x="connsiteX637" y="connsiteY637"/>
            </a:cxn>
            <a:cxn ang="0">
              <a:pos x="connsiteX638" y="connsiteY638"/>
            </a:cxn>
            <a:cxn ang="0">
              <a:pos x="connsiteX639" y="connsiteY639"/>
            </a:cxn>
            <a:cxn ang="0">
              <a:pos x="connsiteX640" y="connsiteY640"/>
            </a:cxn>
            <a:cxn ang="0">
              <a:pos x="connsiteX641" y="connsiteY641"/>
            </a:cxn>
            <a:cxn ang="0">
              <a:pos x="connsiteX642" y="connsiteY642"/>
            </a:cxn>
            <a:cxn ang="0">
              <a:pos x="connsiteX643" y="connsiteY643"/>
            </a:cxn>
            <a:cxn ang="0">
              <a:pos x="connsiteX644" y="connsiteY644"/>
            </a:cxn>
            <a:cxn ang="0">
              <a:pos x="connsiteX645" y="connsiteY645"/>
            </a:cxn>
            <a:cxn ang="0">
              <a:pos x="connsiteX646" y="connsiteY646"/>
            </a:cxn>
            <a:cxn ang="0">
              <a:pos x="connsiteX647" y="connsiteY647"/>
            </a:cxn>
            <a:cxn ang="0">
              <a:pos x="connsiteX648" y="connsiteY648"/>
            </a:cxn>
            <a:cxn ang="0">
              <a:pos x="connsiteX649" y="connsiteY649"/>
            </a:cxn>
            <a:cxn ang="0">
              <a:pos x="connsiteX650" y="connsiteY650"/>
            </a:cxn>
            <a:cxn ang="0">
              <a:pos x="connsiteX651" y="connsiteY651"/>
            </a:cxn>
            <a:cxn ang="0">
              <a:pos x="connsiteX652" y="connsiteY652"/>
            </a:cxn>
            <a:cxn ang="0">
              <a:pos x="connsiteX653" y="connsiteY653"/>
            </a:cxn>
            <a:cxn ang="0">
              <a:pos x="connsiteX654" y="connsiteY654"/>
            </a:cxn>
            <a:cxn ang="0">
              <a:pos x="connsiteX655" y="connsiteY655"/>
            </a:cxn>
            <a:cxn ang="0">
              <a:pos x="connsiteX656" y="connsiteY656"/>
            </a:cxn>
            <a:cxn ang="0">
              <a:pos x="connsiteX657" y="connsiteY657"/>
            </a:cxn>
            <a:cxn ang="0">
              <a:pos x="connsiteX658" y="connsiteY658"/>
            </a:cxn>
            <a:cxn ang="0">
              <a:pos x="connsiteX659" y="connsiteY659"/>
            </a:cxn>
            <a:cxn ang="0">
              <a:pos x="connsiteX660" y="connsiteY660"/>
            </a:cxn>
            <a:cxn ang="0">
              <a:pos x="connsiteX661" y="connsiteY661"/>
            </a:cxn>
            <a:cxn ang="0">
              <a:pos x="connsiteX662" y="connsiteY662"/>
            </a:cxn>
            <a:cxn ang="0">
              <a:pos x="connsiteX663" y="connsiteY663"/>
            </a:cxn>
            <a:cxn ang="0">
              <a:pos x="connsiteX664" y="connsiteY664"/>
            </a:cxn>
            <a:cxn ang="0">
              <a:pos x="connsiteX665" y="connsiteY665"/>
            </a:cxn>
            <a:cxn ang="0">
              <a:pos x="connsiteX666" y="connsiteY666"/>
            </a:cxn>
            <a:cxn ang="0">
              <a:pos x="connsiteX667" y="connsiteY667"/>
            </a:cxn>
            <a:cxn ang="0">
              <a:pos x="connsiteX668" y="connsiteY668"/>
            </a:cxn>
            <a:cxn ang="0">
              <a:pos x="connsiteX669" y="connsiteY669"/>
            </a:cxn>
            <a:cxn ang="0">
              <a:pos x="connsiteX670" y="connsiteY670"/>
            </a:cxn>
            <a:cxn ang="0">
              <a:pos x="connsiteX671" y="connsiteY671"/>
            </a:cxn>
            <a:cxn ang="0">
              <a:pos x="connsiteX672" y="connsiteY672"/>
            </a:cxn>
            <a:cxn ang="0">
              <a:pos x="connsiteX673" y="connsiteY673"/>
            </a:cxn>
            <a:cxn ang="0">
              <a:pos x="connsiteX674" y="connsiteY674"/>
            </a:cxn>
            <a:cxn ang="0">
              <a:pos x="connsiteX675" y="connsiteY675"/>
            </a:cxn>
            <a:cxn ang="0">
              <a:pos x="connsiteX676" y="connsiteY676"/>
            </a:cxn>
            <a:cxn ang="0">
              <a:pos x="connsiteX677" y="connsiteY677"/>
            </a:cxn>
            <a:cxn ang="0">
              <a:pos x="connsiteX678" y="connsiteY678"/>
            </a:cxn>
            <a:cxn ang="0">
              <a:pos x="connsiteX679" y="connsiteY679"/>
            </a:cxn>
            <a:cxn ang="0">
              <a:pos x="connsiteX680" y="connsiteY680"/>
            </a:cxn>
            <a:cxn ang="0">
              <a:pos x="connsiteX681" y="connsiteY681"/>
            </a:cxn>
            <a:cxn ang="0">
              <a:pos x="connsiteX682" y="connsiteY682"/>
            </a:cxn>
            <a:cxn ang="0">
              <a:pos x="connsiteX683" y="connsiteY683"/>
            </a:cxn>
            <a:cxn ang="0">
              <a:pos x="connsiteX684" y="connsiteY684"/>
            </a:cxn>
            <a:cxn ang="0">
              <a:pos x="connsiteX685" y="connsiteY685"/>
            </a:cxn>
            <a:cxn ang="0">
              <a:pos x="connsiteX686" y="connsiteY686"/>
            </a:cxn>
            <a:cxn ang="0">
              <a:pos x="connsiteX687" y="connsiteY687"/>
            </a:cxn>
            <a:cxn ang="0">
              <a:pos x="connsiteX688" y="connsiteY688"/>
            </a:cxn>
            <a:cxn ang="0">
              <a:pos x="connsiteX689" y="connsiteY689"/>
            </a:cxn>
            <a:cxn ang="0">
              <a:pos x="connsiteX690" y="connsiteY690"/>
            </a:cxn>
            <a:cxn ang="0">
              <a:pos x="connsiteX691" y="connsiteY691"/>
            </a:cxn>
            <a:cxn ang="0">
              <a:pos x="connsiteX692" y="connsiteY692"/>
            </a:cxn>
            <a:cxn ang="0">
              <a:pos x="connsiteX693" y="connsiteY693"/>
            </a:cxn>
            <a:cxn ang="0">
              <a:pos x="connsiteX694" y="connsiteY694"/>
            </a:cxn>
            <a:cxn ang="0">
              <a:pos x="connsiteX695" y="connsiteY695"/>
            </a:cxn>
            <a:cxn ang="0">
              <a:pos x="connsiteX696" y="connsiteY696"/>
            </a:cxn>
            <a:cxn ang="0">
              <a:pos x="connsiteX697" y="connsiteY697"/>
            </a:cxn>
            <a:cxn ang="0">
              <a:pos x="connsiteX698" y="connsiteY698"/>
            </a:cxn>
            <a:cxn ang="0">
              <a:pos x="connsiteX699" y="connsiteY699"/>
            </a:cxn>
            <a:cxn ang="0">
              <a:pos x="connsiteX700" y="connsiteY700"/>
            </a:cxn>
          </a:cxnLst>
          <a:rect l="l" t="t" r="r" b="b"/>
          <a:pathLst>
            <a:path w="1374290" h="2530838">
              <a:moveTo>
                <a:pt x="410243" y="2513406"/>
              </a:moveTo>
              <a:lnTo>
                <a:pt x="406087" y="2501931"/>
              </a:lnTo>
              <a:lnTo>
                <a:pt x="397183" y="2503118"/>
              </a:lnTo>
              <a:cubicBezTo>
                <a:pt x="391642" y="2503910"/>
                <a:pt x="387091" y="2503514"/>
                <a:pt x="385508" y="2502129"/>
              </a:cubicBezTo>
              <a:cubicBezTo>
                <a:pt x="383529" y="2500546"/>
                <a:pt x="380759" y="2500744"/>
                <a:pt x="374822" y="2503118"/>
              </a:cubicBezTo>
              <a:cubicBezTo>
                <a:pt x="370469" y="2504899"/>
                <a:pt x="365522" y="2506284"/>
                <a:pt x="363741" y="2506284"/>
              </a:cubicBezTo>
              <a:cubicBezTo>
                <a:pt x="361960" y="2506284"/>
                <a:pt x="358003" y="2508065"/>
                <a:pt x="354837" y="2510439"/>
              </a:cubicBezTo>
              <a:cubicBezTo>
                <a:pt x="349098" y="2514396"/>
                <a:pt x="345141" y="2514198"/>
                <a:pt x="345141" y="2509647"/>
              </a:cubicBezTo>
              <a:cubicBezTo>
                <a:pt x="345141" y="2508262"/>
                <a:pt x="346922" y="2506086"/>
                <a:pt x="348900" y="2504899"/>
              </a:cubicBezTo>
              <a:cubicBezTo>
                <a:pt x="351077" y="2503514"/>
                <a:pt x="353254" y="2499557"/>
                <a:pt x="354045" y="2495996"/>
              </a:cubicBezTo>
              <a:cubicBezTo>
                <a:pt x="354639" y="2492435"/>
                <a:pt x="356618" y="2486697"/>
                <a:pt x="358399" y="2483334"/>
              </a:cubicBezTo>
              <a:cubicBezTo>
                <a:pt x="361565" y="2477201"/>
                <a:pt x="361565" y="2477201"/>
                <a:pt x="353254" y="2468693"/>
              </a:cubicBezTo>
              <a:cubicBezTo>
                <a:pt x="345339" y="2460384"/>
                <a:pt x="344943" y="2460384"/>
                <a:pt x="334653" y="2461373"/>
              </a:cubicBezTo>
              <a:cubicBezTo>
                <a:pt x="325155" y="2462560"/>
                <a:pt x="314272" y="2464538"/>
                <a:pt x="301410" y="2467704"/>
              </a:cubicBezTo>
              <a:cubicBezTo>
                <a:pt x="298046" y="2468693"/>
                <a:pt x="295275" y="2467902"/>
                <a:pt x="293099" y="2465923"/>
              </a:cubicBezTo>
              <a:cubicBezTo>
                <a:pt x="291516" y="2464143"/>
                <a:pt x="288350" y="2462758"/>
                <a:pt x="286173" y="2462758"/>
              </a:cubicBezTo>
              <a:cubicBezTo>
                <a:pt x="280632" y="2462758"/>
                <a:pt x="275290" y="2448711"/>
                <a:pt x="276873" y="2438818"/>
              </a:cubicBezTo>
              <a:cubicBezTo>
                <a:pt x="277862" y="2433081"/>
                <a:pt x="277466" y="2431102"/>
                <a:pt x="274894" y="2429520"/>
              </a:cubicBezTo>
              <a:cubicBezTo>
                <a:pt x="271926" y="2427937"/>
                <a:pt x="271926" y="2427146"/>
                <a:pt x="274102" y="2423584"/>
              </a:cubicBezTo>
              <a:cubicBezTo>
                <a:pt x="276081" y="2420419"/>
                <a:pt x="276081" y="2418638"/>
                <a:pt x="274300" y="2414879"/>
              </a:cubicBezTo>
              <a:cubicBezTo>
                <a:pt x="270343" y="2407757"/>
                <a:pt x="266583" y="2401426"/>
                <a:pt x="265594" y="2400436"/>
              </a:cubicBezTo>
              <a:cubicBezTo>
                <a:pt x="264406" y="2399051"/>
                <a:pt x="248774" y="2406767"/>
                <a:pt x="247191" y="2409537"/>
              </a:cubicBezTo>
              <a:cubicBezTo>
                <a:pt x="246202" y="2410922"/>
                <a:pt x="243827" y="2409735"/>
                <a:pt x="240265" y="2406372"/>
              </a:cubicBezTo>
              <a:cubicBezTo>
                <a:pt x="235516" y="2401821"/>
                <a:pt x="233537" y="2401228"/>
                <a:pt x="227601" y="2402217"/>
              </a:cubicBezTo>
              <a:cubicBezTo>
                <a:pt x="214937" y="2404591"/>
                <a:pt x="197326" y="2394105"/>
                <a:pt x="200294" y="2385796"/>
              </a:cubicBezTo>
              <a:cubicBezTo>
                <a:pt x="201283" y="2382828"/>
                <a:pt x="198315" y="2384015"/>
                <a:pt x="192576" y="2388961"/>
              </a:cubicBezTo>
              <a:cubicBezTo>
                <a:pt x="190004" y="2391138"/>
                <a:pt x="185255" y="2391335"/>
                <a:pt x="168040" y="2389951"/>
              </a:cubicBezTo>
              <a:lnTo>
                <a:pt x="146669" y="2388170"/>
              </a:lnTo>
              <a:lnTo>
                <a:pt x="138358" y="2396677"/>
              </a:lnTo>
              <a:cubicBezTo>
                <a:pt x="132817" y="2402613"/>
                <a:pt x="128464" y="2405383"/>
                <a:pt x="125100" y="2405383"/>
              </a:cubicBezTo>
              <a:cubicBezTo>
                <a:pt x="122330" y="2405383"/>
                <a:pt x="118966" y="2406767"/>
                <a:pt x="117581" y="2408350"/>
              </a:cubicBezTo>
              <a:cubicBezTo>
                <a:pt x="116195" y="2409933"/>
                <a:pt x="113821" y="2411318"/>
                <a:pt x="112436" y="2411318"/>
              </a:cubicBezTo>
              <a:cubicBezTo>
                <a:pt x="110259" y="2411318"/>
                <a:pt x="109665" y="2407559"/>
                <a:pt x="109665" y="2395292"/>
              </a:cubicBezTo>
              <a:lnTo>
                <a:pt x="109665" y="2379267"/>
              </a:lnTo>
              <a:lnTo>
                <a:pt x="104718" y="2380058"/>
              </a:lnTo>
              <a:cubicBezTo>
                <a:pt x="101355" y="2380850"/>
                <a:pt x="99771" y="2380256"/>
                <a:pt x="99771" y="2378475"/>
              </a:cubicBezTo>
              <a:cubicBezTo>
                <a:pt x="99771" y="2375310"/>
                <a:pt x="89680" y="2369770"/>
                <a:pt x="83743" y="2369770"/>
              </a:cubicBezTo>
              <a:cubicBezTo>
                <a:pt x="79786" y="2369770"/>
                <a:pt x="79588" y="2368979"/>
                <a:pt x="80775" y="2362054"/>
              </a:cubicBezTo>
              <a:cubicBezTo>
                <a:pt x="81765" y="2355921"/>
                <a:pt x="80973" y="2352558"/>
                <a:pt x="77807" y="2347216"/>
              </a:cubicBezTo>
              <a:cubicBezTo>
                <a:pt x="75432" y="2343259"/>
                <a:pt x="72266" y="2340093"/>
                <a:pt x="70683" y="2340093"/>
              </a:cubicBezTo>
              <a:cubicBezTo>
                <a:pt x="66726" y="2340093"/>
                <a:pt x="69100" y="2332575"/>
                <a:pt x="75432" y="2325848"/>
              </a:cubicBezTo>
              <a:cubicBezTo>
                <a:pt x="80775" y="2320111"/>
                <a:pt x="79984" y="2315560"/>
                <a:pt x="73849" y="2317341"/>
              </a:cubicBezTo>
              <a:cubicBezTo>
                <a:pt x="68111" y="2319122"/>
                <a:pt x="69100" y="2313384"/>
                <a:pt x="75037" y="2310812"/>
              </a:cubicBezTo>
              <a:cubicBezTo>
                <a:pt x="80182" y="2308438"/>
                <a:pt x="80775" y="2306262"/>
                <a:pt x="78796" y="2294193"/>
              </a:cubicBezTo>
              <a:cubicBezTo>
                <a:pt x="77807" y="2288653"/>
                <a:pt x="75630" y="2285686"/>
                <a:pt x="69892" y="2281531"/>
              </a:cubicBezTo>
              <a:cubicBezTo>
                <a:pt x="64747" y="2277970"/>
                <a:pt x="61383" y="2273815"/>
                <a:pt x="59998" y="2268869"/>
              </a:cubicBezTo>
              <a:cubicBezTo>
                <a:pt x="58415" y="2263923"/>
                <a:pt x="56238" y="2260955"/>
                <a:pt x="52676" y="2259768"/>
              </a:cubicBezTo>
              <a:lnTo>
                <a:pt x="47532" y="2257987"/>
              </a:lnTo>
              <a:lnTo>
                <a:pt x="55249" y="2250469"/>
              </a:lnTo>
              <a:cubicBezTo>
                <a:pt x="62768" y="2243149"/>
                <a:pt x="62768" y="2242753"/>
                <a:pt x="64351" y="2223760"/>
              </a:cubicBezTo>
              <a:cubicBezTo>
                <a:pt x="66330" y="2199425"/>
                <a:pt x="65539" y="2196259"/>
                <a:pt x="57623" y="2194677"/>
              </a:cubicBezTo>
              <a:cubicBezTo>
                <a:pt x="45355" y="2192302"/>
                <a:pt x="28535" y="2185180"/>
                <a:pt x="28535" y="2182608"/>
              </a:cubicBezTo>
              <a:cubicBezTo>
                <a:pt x="28535" y="2180630"/>
                <a:pt x="25963" y="2179838"/>
                <a:pt x="20620" y="2179838"/>
              </a:cubicBezTo>
              <a:cubicBezTo>
                <a:pt x="14486" y="2179838"/>
                <a:pt x="12705" y="2180630"/>
                <a:pt x="12705" y="2183399"/>
              </a:cubicBezTo>
              <a:cubicBezTo>
                <a:pt x="12507" y="2185180"/>
                <a:pt x="8945" y="2189137"/>
                <a:pt x="4790" y="2192105"/>
              </a:cubicBezTo>
              <a:lnTo>
                <a:pt x="-3125" y="2197644"/>
              </a:lnTo>
              <a:lnTo>
                <a:pt x="-3125" y="2193094"/>
              </a:lnTo>
              <a:cubicBezTo>
                <a:pt x="-3125" y="2190522"/>
                <a:pt x="-1740" y="2186763"/>
                <a:pt x="-157" y="2184586"/>
              </a:cubicBezTo>
              <a:cubicBezTo>
                <a:pt x="1426" y="2182608"/>
                <a:pt x="2811" y="2179442"/>
                <a:pt x="2811" y="2177662"/>
              </a:cubicBezTo>
              <a:cubicBezTo>
                <a:pt x="2811" y="2175881"/>
                <a:pt x="5581" y="2170737"/>
                <a:pt x="8747" y="2166385"/>
              </a:cubicBezTo>
              <a:cubicBezTo>
                <a:pt x="12111" y="2161834"/>
                <a:pt x="14684" y="2155503"/>
                <a:pt x="14684" y="2152535"/>
              </a:cubicBezTo>
              <a:cubicBezTo>
                <a:pt x="14684" y="2149172"/>
                <a:pt x="16465" y="2145215"/>
                <a:pt x="18839" y="2143039"/>
              </a:cubicBezTo>
              <a:cubicBezTo>
                <a:pt x="22797" y="2139478"/>
                <a:pt x="22995" y="2139478"/>
                <a:pt x="28337" y="2146006"/>
              </a:cubicBezTo>
              <a:cubicBezTo>
                <a:pt x="33284" y="2152140"/>
                <a:pt x="34076" y="2152338"/>
                <a:pt x="38033" y="2149963"/>
              </a:cubicBezTo>
              <a:cubicBezTo>
                <a:pt x="42782" y="2146996"/>
                <a:pt x="42980" y="2146402"/>
                <a:pt x="42387" y="2136708"/>
              </a:cubicBezTo>
              <a:cubicBezTo>
                <a:pt x="42189" y="2132355"/>
                <a:pt x="43376" y="2128398"/>
                <a:pt x="45949" y="2125826"/>
              </a:cubicBezTo>
              <a:cubicBezTo>
                <a:pt x="48125" y="2123452"/>
                <a:pt x="50500" y="2117517"/>
                <a:pt x="51291" y="2112768"/>
              </a:cubicBezTo>
              <a:cubicBezTo>
                <a:pt x="52083" y="2108020"/>
                <a:pt x="54457" y="2102480"/>
                <a:pt x="56436" y="2100502"/>
              </a:cubicBezTo>
              <a:cubicBezTo>
                <a:pt x="61581" y="2095358"/>
                <a:pt x="61383" y="2085663"/>
                <a:pt x="56238" y="2082894"/>
              </a:cubicBezTo>
              <a:cubicBezTo>
                <a:pt x="53666" y="2081509"/>
                <a:pt x="52281" y="2078739"/>
                <a:pt x="52281" y="2074782"/>
              </a:cubicBezTo>
              <a:cubicBezTo>
                <a:pt x="52281" y="2068451"/>
                <a:pt x="61185" y="2051238"/>
                <a:pt x="64549" y="2051238"/>
              </a:cubicBezTo>
              <a:cubicBezTo>
                <a:pt x="65736" y="2051238"/>
                <a:pt x="65934" y="2049853"/>
                <a:pt x="65341" y="2048073"/>
              </a:cubicBezTo>
              <a:cubicBezTo>
                <a:pt x="64351" y="2045699"/>
                <a:pt x="68111" y="2040357"/>
                <a:pt x="78005" y="2030464"/>
              </a:cubicBezTo>
              <a:cubicBezTo>
                <a:pt x="85524" y="2022551"/>
                <a:pt x="91856" y="2014637"/>
                <a:pt x="91856" y="2012856"/>
              </a:cubicBezTo>
              <a:cubicBezTo>
                <a:pt x="91856" y="2010878"/>
                <a:pt x="93637" y="2009691"/>
                <a:pt x="96408" y="2009691"/>
              </a:cubicBezTo>
              <a:cubicBezTo>
                <a:pt x="99574" y="2009691"/>
                <a:pt x="102542" y="2007119"/>
                <a:pt x="106499" y="2000985"/>
              </a:cubicBezTo>
              <a:cubicBezTo>
                <a:pt x="113227" y="1990302"/>
                <a:pt x="118174" y="1985553"/>
                <a:pt x="121736" y="1986345"/>
              </a:cubicBezTo>
              <a:cubicBezTo>
                <a:pt x="123715" y="1986740"/>
                <a:pt x="124506" y="1984762"/>
                <a:pt x="124506" y="1979816"/>
              </a:cubicBezTo>
              <a:cubicBezTo>
                <a:pt x="124506" y="1971506"/>
                <a:pt x="129255" y="1965175"/>
                <a:pt x="138556" y="1961218"/>
              </a:cubicBezTo>
              <a:cubicBezTo>
                <a:pt x="143107" y="1959438"/>
                <a:pt x="145284" y="1956866"/>
                <a:pt x="146273" y="1952513"/>
              </a:cubicBezTo>
              <a:cubicBezTo>
                <a:pt x="147064" y="1949150"/>
                <a:pt x="148647" y="1945786"/>
                <a:pt x="150033" y="1944995"/>
              </a:cubicBezTo>
              <a:cubicBezTo>
                <a:pt x="152407" y="1943412"/>
                <a:pt x="155573" y="1937279"/>
                <a:pt x="155969" y="1933520"/>
              </a:cubicBezTo>
              <a:cubicBezTo>
                <a:pt x="156167" y="1932531"/>
                <a:pt x="159927" y="1930552"/>
                <a:pt x="164478" y="1929563"/>
              </a:cubicBezTo>
              <a:cubicBezTo>
                <a:pt x="172789" y="1927585"/>
                <a:pt x="186838" y="1915120"/>
                <a:pt x="186838" y="1909778"/>
              </a:cubicBezTo>
              <a:cubicBezTo>
                <a:pt x="186838" y="1908393"/>
                <a:pt x="188223" y="1906217"/>
                <a:pt x="189806" y="1904832"/>
              </a:cubicBezTo>
              <a:cubicBezTo>
                <a:pt x="193764" y="1901469"/>
                <a:pt x="193566" y="1897710"/>
                <a:pt x="189410" y="1895929"/>
              </a:cubicBezTo>
              <a:cubicBezTo>
                <a:pt x="186244" y="1894742"/>
                <a:pt x="186244" y="1894346"/>
                <a:pt x="190598" y="1890785"/>
              </a:cubicBezTo>
              <a:cubicBezTo>
                <a:pt x="194753" y="1887224"/>
                <a:pt x="194951" y="1887026"/>
                <a:pt x="191587" y="1885839"/>
              </a:cubicBezTo>
              <a:cubicBezTo>
                <a:pt x="182683" y="1882673"/>
                <a:pt x="177142" y="1869220"/>
                <a:pt x="184661" y="1869220"/>
              </a:cubicBezTo>
              <a:cubicBezTo>
                <a:pt x="187234" y="1869220"/>
                <a:pt x="188817" y="1867439"/>
                <a:pt x="189806" y="1863285"/>
              </a:cubicBezTo>
              <a:cubicBezTo>
                <a:pt x="190598" y="1859921"/>
                <a:pt x="192774" y="1856360"/>
                <a:pt x="194753" y="1855371"/>
              </a:cubicBezTo>
              <a:cubicBezTo>
                <a:pt x="196930" y="1854184"/>
                <a:pt x="199106" y="1850227"/>
                <a:pt x="199898" y="1846468"/>
              </a:cubicBezTo>
              <a:cubicBezTo>
                <a:pt x="200492" y="1842709"/>
                <a:pt x="203064" y="1837169"/>
                <a:pt x="205439" y="1834201"/>
              </a:cubicBezTo>
              <a:cubicBezTo>
                <a:pt x="209198" y="1829255"/>
                <a:pt x="211573" y="1821935"/>
                <a:pt x="216124" y="1799974"/>
              </a:cubicBezTo>
              <a:lnTo>
                <a:pt x="217707" y="1793049"/>
              </a:lnTo>
              <a:lnTo>
                <a:pt x="225820" y="1801557"/>
              </a:lnTo>
              <a:cubicBezTo>
                <a:pt x="230371" y="1806107"/>
                <a:pt x="234922" y="1809866"/>
                <a:pt x="235714" y="1809866"/>
              </a:cubicBezTo>
              <a:cubicBezTo>
                <a:pt x="236703" y="1809866"/>
                <a:pt x="238286" y="1811845"/>
                <a:pt x="239276" y="1814417"/>
              </a:cubicBezTo>
              <a:cubicBezTo>
                <a:pt x="242046" y="1820748"/>
                <a:pt x="250951" y="1821341"/>
                <a:pt x="254710" y="1815406"/>
              </a:cubicBezTo>
              <a:cubicBezTo>
                <a:pt x="258866" y="1809075"/>
                <a:pt x="256293" y="1793643"/>
                <a:pt x="249961" y="1786916"/>
              </a:cubicBezTo>
              <a:cubicBezTo>
                <a:pt x="246795" y="1783553"/>
                <a:pt x="245410" y="1779991"/>
                <a:pt x="245806" y="1776232"/>
              </a:cubicBezTo>
              <a:cubicBezTo>
                <a:pt x="246993" y="1766340"/>
                <a:pt x="233933" y="1761790"/>
                <a:pt x="225029" y="1768714"/>
              </a:cubicBezTo>
              <a:cubicBezTo>
                <a:pt x="221467" y="1771682"/>
                <a:pt x="217311" y="1769308"/>
                <a:pt x="214145" y="1762977"/>
              </a:cubicBezTo>
              <a:cubicBezTo>
                <a:pt x="212166" y="1758822"/>
                <a:pt x="209990" y="1757239"/>
                <a:pt x="205043" y="1756843"/>
              </a:cubicBezTo>
              <a:cubicBezTo>
                <a:pt x="198315" y="1756250"/>
                <a:pt x="196732" y="1752689"/>
                <a:pt x="201679" y="1748534"/>
              </a:cubicBezTo>
              <a:cubicBezTo>
                <a:pt x="204845" y="1745764"/>
                <a:pt x="204449" y="1736663"/>
                <a:pt x="199700" y="1707976"/>
              </a:cubicBezTo>
              <a:cubicBezTo>
                <a:pt x="196138" y="1687795"/>
                <a:pt x="196336" y="1672957"/>
                <a:pt x="199898" y="1660690"/>
              </a:cubicBezTo>
              <a:cubicBezTo>
                <a:pt x="203064" y="1649413"/>
                <a:pt x="203460" y="1640114"/>
                <a:pt x="200689" y="1635762"/>
              </a:cubicBezTo>
              <a:cubicBezTo>
                <a:pt x="199304" y="1633388"/>
                <a:pt x="198117" y="1633585"/>
                <a:pt x="193962" y="1637542"/>
              </a:cubicBezTo>
              <a:cubicBezTo>
                <a:pt x="189213" y="1642093"/>
                <a:pt x="188421" y="1642291"/>
                <a:pt x="180902" y="1639719"/>
              </a:cubicBezTo>
              <a:cubicBezTo>
                <a:pt x="170414" y="1636355"/>
                <a:pt x="168040" y="1633388"/>
                <a:pt x="171403" y="1628046"/>
              </a:cubicBezTo>
              <a:cubicBezTo>
                <a:pt x="174965" y="1622110"/>
                <a:pt x="172195" y="1620923"/>
                <a:pt x="163290" y="1624485"/>
              </a:cubicBezTo>
              <a:cubicBezTo>
                <a:pt x="155375" y="1627650"/>
                <a:pt x="155375" y="1627650"/>
                <a:pt x="151418" y="1622506"/>
              </a:cubicBezTo>
              <a:cubicBezTo>
                <a:pt x="149043" y="1619736"/>
                <a:pt x="147262" y="1616769"/>
                <a:pt x="147262" y="1615779"/>
              </a:cubicBezTo>
              <a:cubicBezTo>
                <a:pt x="147262" y="1614988"/>
                <a:pt x="145284" y="1613999"/>
                <a:pt x="142909" y="1613603"/>
              </a:cubicBezTo>
              <a:cubicBezTo>
                <a:pt x="138951" y="1613009"/>
                <a:pt x="138160" y="1611427"/>
                <a:pt x="136775" y="1601337"/>
              </a:cubicBezTo>
              <a:cubicBezTo>
                <a:pt x="135390" y="1592236"/>
                <a:pt x="135785" y="1589070"/>
                <a:pt x="138160" y="1586498"/>
              </a:cubicBezTo>
              <a:cubicBezTo>
                <a:pt x="139743" y="1584718"/>
                <a:pt x="140534" y="1581156"/>
                <a:pt x="139941" y="1578189"/>
              </a:cubicBezTo>
              <a:cubicBezTo>
                <a:pt x="139347" y="1575221"/>
                <a:pt x="140337" y="1570275"/>
                <a:pt x="142117" y="1567109"/>
              </a:cubicBezTo>
              <a:cubicBezTo>
                <a:pt x="143700" y="1563746"/>
                <a:pt x="144492" y="1559195"/>
                <a:pt x="143898" y="1557019"/>
              </a:cubicBezTo>
              <a:cubicBezTo>
                <a:pt x="143305" y="1554447"/>
                <a:pt x="143700" y="1552666"/>
                <a:pt x="145086" y="1552666"/>
              </a:cubicBezTo>
              <a:cubicBezTo>
                <a:pt x="146273" y="1552666"/>
                <a:pt x="147262" y="1549303"/>
                <a:pt x="147262" y="1545346"/>
              </a:cubicBezTo>
              <a:cubicBezTo>
                <a:pt x="147262" y="1538619"/>
                <a:pt x="149043" y="1536047"/>
                <a:pt x="163093" y="1521407"/>
              </a:cubicBezTo>
              <a:cubicBezTo>
                <a:pt x="174372" y="1509932"/>
                <a:pt x="178923" y="1503799"/>
                <a:pt x="178923" y="1500237"/>
              </a:cubicBezTo>
              <a:cubicBezTo>
                <a:pt x="178923" y="1496676"/>
                <a:pt x="179912" y="1495291"/>
                <a:pt x="182683" y="1495291"/>
              </a:cubicBezTo>
              <a:cubicBezTo>
                <a:pt x="185057" y="1495291"/>
                <a:pt x="187234" y="1493511"/>
                <a:pt x="188025" y="1490939"/>
              </a:cubicBezTo>
              <a:cubicBezTo>
                <a:pt x="188817" y="1488367"/>
                <a:pt x="192972" y="1480057"/>
                <a:pt x="197326" y="1472341"/>
              </a:cubicBezTo>
              <a:cubicBezTo>
                <a:pt x="203856" y="1460470"/>
                <a:pt x="206626" y="1457503"/>
                <a:pt x="214739" y="1453546"/>
              </a:cubicBezTo>
              <a:cubicBezTo>
                <a:pt x="220082" y="1450974"/>
                <a:pt x="224435" y="1448006"/>
                <a:pt x="224435" y="1446819"/>
              </a:cubicBezTo>
              <a:cubicBezTo>
                <a:pt x="224831" y="1442862"/>
                <a:pt x="253523" y="1422088"/>
                <a:pt x="258866" y="1422088"/>
              </a:cubicBezTo>
              <a:cubicBezTo>
                <a:pt x="262428" y="1422088"/>
                <a:pt x="264011" y="1421099"/>
                <a:pt x="264011" y="1418725"/>
              </a:cubicBezTo>
              <a:cubicBezTo>
                <a:pt x="264011" y="1416746"/>
                <a:pt x="265791" y="1412196"/>
                <a:pt x="267968" y="1408635"/>
              </a:cubicBezTo>
              <a:cubicBezTo>
                <a:pt x="270145" y="1405073"/>
                <a:pt x="271926" y="1401314"/>
                <a:pt x="271926" y="1400127"/>
              </a:cubicBezTo>
              <a:cubicBezTo>
                <a:pt x="271926" y="1398940"/>
                <a:pt x="275290" y="1394588"/>
                <a:pt x="279643" y="1390433"/>
              </a:cubicBezTo>
              <a:cubicBezTo>
                <a:pt x="286767" y="1383508"/>
                <a:pt x="289537" y="1377573"/>
                <a:pt x="290328" y="1367285"/>
              </a:cubicBezTo>
              <a:cubicBezTo>
                <a:pt x="290526" y="1364911"/>
                <a:pt x="292109" y="1361745"/>
                <a:pt x="293890" y="1360360"/>
              </a:cubicBezTo>
              <a:cubicBezTo>
                <a:pt x="297650" y="1357393"/>
                <a:pt x="302201" y="1326726"/>
                <a:pt x="302993" y="1298434"/>
              </a:cubicBezTo>
              <a:cubicBezTo>
                <a:pt x="303190" y="1288740"/>
                <a:pt x="303982" y="1277858"/>
                <a:pt x="304774" y="1274297"/>
              </a:cubicBezTo>
              <a:cubicBezTo>
                <a:pt x="305961" y="1268164"/>
                <a:pt x="305961" y="1267966"/>
                <a:pt x="297452" y="1267373"/>
              </a:cubicBezTo>
              <a:cubicBezTo>
                <a:pt x="288350" y="1266779"/>
                <a:pt x="288152" y="1266581"/>
                <a:pt x="290922" y="1255502"/>
              </a:cubicBezTo>
              <a:cubicBezTo>
                <a:pt x="291911" y="1251149"/>
                <a:pt x="291516" y="1249962"/>
                <a:pt x="288943" y="1249962"/>
              </a:cubicBezTo>
              <a:cubicBezTo>
                <a:pt x="285184" y="1249962"/>
                <a:pt x="285184" y="1249764"/>
                <a:pt x="287756" y="1243235"/>
              </a:cubicBezTo>
              <a:cubicBezTo>
                <a:pt x="288745" y="1240466"/>
                <a:pt x="290922" y="1238091"/>
                <a:pt x="292307" y="1238091"/>
              </a:cubicBezTo>
              <a:cubicBezTo>
                <a:pt x="293890" y="1238091"/>
                <a:pt x="296661" y="1236311"/>
                <a:pt x="298441" y="1234332"/>
              </a:cubicBezTo>
              <a:cubicBezTo>
                <a:pt x="301212" y="1231365"/>
                <a:pt x="301607" y="1228595"/>
                <a:pt x="300618" y="1221472"/>
              </a:cubicBezTo>
              <a:cubicBezTo>
                <a:pt x="299431" y="1214350"/>
                <a:pt x="300024" y="1211184"/>
                <a:pt x="303388" y="1205843"/>
              </a:cubicBezTo>
              <a:cubicBezTo>
                <a:pt x="305763" y="1202083"/>
                <a:pt x="307544" y="1195752"/>
                <a:pt x="307544" y="1191795"/>
              </a:cubicBezTo>
              <a:cubicBezTo>
                <a:pt x="307544" y="1186058"/>
                <a:pt x="308335" y="1184673"/>
                <a:pt x="311304" y="1184673"/>
              </a:cubicBezTo>
              <a:cubicBezTo>
                <a:pt x="313282" y="1184673"/>
                <a:pt x="315459" y="1182892"/>
                <a:pt x="316053" y="1180716"/>
              </a:cubicBezTo>
              <a:cubicBezTo>
                <a:pt x="316646" y="1177946"/>
                <a:pt x="318823" y="1176759"/>
                <a:pt x="322187" y="1176759"/>
              </a:cubicBezTo>
              <a:cubicBezTo>
                <a:pt x="325155" y="1176759"/>
                <a:pt x="327925" y="1175374"/>
                <a:pt x="328519" y="1173791"/>
              </a:cubicBezTo>
              <a:cubicBezTo>
                <a:pt x="329113" y="1172209"/>
                <a:pt x="332674" y="1170032"/>
                <a:pt x="336632" y="1168647"/>
              </a:cubicBezTo>
              <a:cubicBezTo>
                <a:pt x="343360" y="1166471"/>
                <a:pt x="343360" y="1166273"/>
                <a:pt x="341777" y="1158162"/>
              </a:cubicBezTo>
              <a:cubicBezTo>
                <a:pt x="338809" y="1142730"/>
                <a:pt x="341777" y="1118988"/>
                <a:pt x="347317" y="1111668"/>
              </a:cubicBezTo>
              <a:cubicBezTo>
                <a:pt x="351473" y="1106524"/>
                <a:pt x="352066" y="1098610"/>
                <a:pt x="349098" y="1090894"/>
              </a:cubicBezTo>
              <a:cubicBezTo>
                <a:pt x="347515" y="1086739"/>
                <a:pt x="347713" y="1085750"/>
                <a:pt x="350286" y="1085750"/>
              </a:cubicBezTo>
              <a:cubicBezTo>
                <a:pt x="351869" y="1085750"/>
                <a:pt x="355035" y="1086739"/>
                <a:pt x="357013" y="1087729"/>
              </a:cubicBezTo>
              <a:cubicBezTo>
                <a:pt x="362356" y="1090498"/>
                <a:pt x="363346" y="1087531"/>
                <a:pt x="360179" y="1077045"/>
              </a:cubicBezTo>
              <a:cubicBezTo>
                <a:pt x="357211" y="1067548"/>
                <a:pt x="357805" y="1065965"/>
                <a:pt x="365720" y="1063196"/>
              </a:cubicBezTo>
              <a:cubicBezTo>
                <a:pt x="368886" y="1062206"/>
                <a:pt x="369282" y="1060624"/>
                <a:pt x="368292" y="1053105"/>
              </a:cubicBezTo>
              <a:cubicBezTo>
                <a:pt x="367105" y="1045192"/>
                <a:pt x="367699" y="1043609"/>
                <a:pt x="373042" y="1037278"/>
              </a:cubicBezTo>
              <a:cubicBezTo>
                <a:pt x="378780" y="1030947"/>
                <a:pt x="378978" y="1029957"/>
                <a:pt x="376801" y="1023429"/>
              </a:cubicBezTo>
              <a:cubicBezTo>
                <a:pt x="375614" y="1019669"/>
                <a:pt x="373437" y="1015910"/>
                <a:pt x="371854" y="1015119"/>
              </a:cubicBezTo>
              <a:cubicBezTo>
                <a:pt x="370469" y="1014130"/>
                <a:pt x="367897" y="1010173"/>
                <a:pt x="366116" y="1005820"/>
              </a:cubicBezTo>
              <a:cubicBezTo>
                <a:pt x="362950" y="998500"/>
                <a:pt x="362752" y="998302"/>
                <a:pt x="355035" y="999291"/>
              </a:cubicBezTo>
              <a:lnTo>
                <a:pt x="347120" y="1000281"/>
              </a:lnTo>
              <a:lnTo>
                <a:pt x="347120" y="991773"/>
              </a:lnTo>
              <a:cubicBezTo>
                <a:pt x="347120" y="984849"/>
                <a:pt x="345932" y="982079"/>
                <a:pt x="341183" y="977528"/>
              </a:cubicBezTo>
              <a:cubicBezTo>
                <a:pt x="337423" y="973967"/>
                <a:pt x="335247" y="970010"/>
                <a:pt x="335247" y="966647"/>
              </a:cubicBezTo>
              <a:cubicBezTo>
                <a:pt x="335247" y="962888"/>
                <a:pt x="333070" y="959129"/>
                <a:pt x="328321" y="954974"/>
              </a:cubicBezTo>
              <a:cubicBezTo>
                <a:pt x="324561" y="951413"/>
                <a:pt x="321395" y="947060"/>
                <a:pt x="321395" y="945082"/>
              </a:cubicBezTo>
              <a:cubicBezTo>
                <a:pt x="321395" y="943103"/>
                <a:pt x="319219" y="938157"/>
                <a:pt x="316448" y="934200"/>
              </a:cubicBezTo>
              <a:cubicBezTo>
                <a:pt x="313678" y="930243"/>
                <a:pt x="311501" y="924506"/>
                <a:pt x="311501" y="921538"/>
              </a:cubicBezTo>
              <a:cubicBezTo>
                <a:pt x="311501" y="917779"/>
                <a:pt x="309918" y="915009"/>
                <a:pt x="306554" y="912833"/>
              </a:cubicBezTo>
              <a:cubicBezTo>
                <a:pt x="303784" y="910854"/>
                <a:pt x="300618" y="907293"/>
                <a:pt x="299629" y="904523"/>
              </a:cubicBezTo>
              <a:cubicBezTo>
                <a:pt x="298441" y="901555"/>
                <a:pt x="296265" y="899775"/>
                <a:pt x="293494" y="899775"/>
              </a:cubicBezTo>
              <a:cubicBezTo>
                <a:pt x="290724" y="899775"/>
                <a:pt x="288745" y="897796"/>
                <a:pt x="287162" y="893839"/>
              </a:cubicBezTo>
              <a:cubicBezTo>
                <a:pt x="285381" y="889289"/>
                <a:pt x="283601" y="887904"/>
                <a:pt x="279643" y="887904"/>
              </a:cubicBezTo>
              <a:cubicBezTo>
                <a:pt x="272717" y="887904"/>
                <a:pt x="269749" y="883947"/>
                <a:pt x="270343" y="875835"/>
              </a:cubicBezTo>
              <a:cubicBezTo>
                <a:pt x="270936" y="869504"/>
                <a:pt x="270343" y="868713"/>
                <a:pt x="259459" y="863173"/>
              </a:cubicBezTo>
              <a:cubicBezTo>
                <a:pt x="243035" y="854270"/>
                <a:pt x="232944" y="843784"/>
                <a:pt x="233142" y="835871"/>
              </a:cubicBezTo>
              <a:cubicBezTo>
                <a:pt x="233339" y="832309"/>
                <a:pt x="234329" y="828748"/>
                <a:pt x="235516" y="827561"/>
              </a:cubicBezTo>
              <a:cubicBezTo>
                <a:pt x="236901" y="826572"/>
                <a:pt x="238286" y="822021"/>
                <a:pt x="239078" y="817669"/>
              </a:cubicBezTo>
              <a:cubicBezTo>
                <a:pt x="239869" y="811338"/>
                <a:pt x="239078" y="807974"/>
                <a:pt x="235318" y="801841"/>
              </a:cubicBezTo>
              <a:cubicBezTo>
                <a:pt x="232746" y="797488"/>
                <a:pt x="230371" y="791157"/>
                <a:pt x="230371" y="787992"/>
              </a:cubicBezTo>
              <a:cubicBezTo>
                <a:pt x="230371" y="784629"/>
                <a:pt x="227799" y="775725"/>
                <a:pt x="224435" y="768207"/>
              </a:cubicBezTo>
              <a:cubicBezTo>
                <a:pt x="221269" y="760491"/>
                <a:pt x="218499" y="752973"/>
                <a:pt x="218499" y="751390"/>
              </a:cubicBezTo>
              <a:cubicBezTo>
                <a:pt x="218499" y="749610"/>
                <a:pt x="215332" y="743477"/>
                <a:pt x="211573" y="737541"/>
              </a:cubicBezTo>
              <a:cubicBezTo>
                <a:pt x="207813" y="731606"/>
                <a:pt x="204251" y="723890"/>
                <a:pt x="203460" y="720526"/>
              </a:cubicBezTo>
              <a:cubicBezTo>
                <a:pt x="202866" y="717163"/>
                <a:pt x="199700" y="711426"/>
                <a:pt x="196732" y="708062"/>
              </a:cubicBezTo>
              <a:cubicBezTo>
                <a:pt x="191983" y="702918"/>
                <a:pt x="190993" y="700346"/>
                <a:pt x="191587" y="693422"/>
              </a:cubicBezTo>
              <a:cubicBezTo>
                <a:pt x="191785" y="688871"/>
                <a:pt x="192774" y="683529"/>
                <a:pt x="193566" y="681551"/>
              </a:cubicBezTo>
              <a:cubicBezTo>
                <a:pt x="194753" y="678979"/>
                <a:pt x="193368" y="676209"/>
                <a:pt x="188025" y="671065"/>
              </a:cubicBezTo>
              <a:cubicBezTo>
                <a:pt x="184068" y="667306"/>
                <a:pt x="180902" y="663349"/>
                <a:pt x="180902" y="662162"/>
              </a:cubicBezTo>
              <a:cubicBezTo>
                <a:pt x="180902" y="661173"/>
                <a:pt x="183672" y="658601"/>
                <a:pt x="187036" y="656622"/>
              </a:cubicBezTo>
              <a:cubicBezTo>
                <a:pt x="190598" y="654446"/>
                <a:pt x="192181" y="652270"/>
                <a:pt x="190993" y="651676"/>
              </a:cubicBezTo>
              <a:cubicBezTo>
                <a:pt x="189806" y="650885"/>
                <a:pt x="188817" y="647719"/>
                <a:pt x="188817" y="644356"/>
              </a:cubicBezTo>
              <a:cubicBezTo>
                <a:pt x="188817" y="636244"/>
                <a:pt x="185651" y="637233"/>
                <a:pt x="183870" y="645741"/>
              </a:cubicBezTo>
              <a:lnTo>
                <a:pt x="182683" y="652863"/>
              </a:lnTo>
              <a:lnTo>
                <a:pt x="179319" y="648313"/>
              </a:lnTo>
              <a:cubicBezTo>
                <a:pt x="177538" y="645741"/>
                <a:pt x="175955" y="640399"/>
                <a:pt x="175559" y="636640"/>
              </a:cubicBezTo>
              <a:cubicBezTo>
                <a:pt x="174965" y="627143"/>
                <a:pt x="166654" y="603006"/>
                <a:pt x="163884" y="603006"/>
              </a:cubicBezTo>
              <a:cubicBezTo>
                <a:pt x="162697" y="603006"/>
                <a:pt x="160520" y="599049"/>
                <a:pt x="159135" y="594103"/>
              </a:cubicBezTo>
              <a:cubicBezTo>
                <a:pt x="156563" y="584606"/>
                <a:pt x="154386" y="581836"/>
                <a:pt x="152209" y="585200"/>
              </a:cubicBezTo>
              <a:cubicBezTo>
                <a:pt x="151616" y="586387"/>
                <a:pt x="153001" y="589948"/>
                <a:pt x="155375" y="593311"/>
              </a:cubicBezTo>
              <a:cubicBezTo>
                <a:pt x="158541" y="597862"/>
                <a:pt x="159135" y="599840"/>
                <a:pt x="157354" y="601621"/>
              </a:cubicBezTo>
              <a:cubicBezTo>
                <a:pt x="153792" y="605182"/>
                <a:pt x="148054" y="596279"/>
                <a:pt x="146471" y="585595"/>
              </a:cubicBezTo>
              <a:cubicBezTo>
                <a:pt x="144294" y="569768"/>
                <a:pt x="144888" y="566207"/>
                <a:pt x="150033" y="563832"/>
              </a:cubicBezTo>
              <a:cubicBezTo>
                <a:pt x="156958" y="560865"/>
                <a:pt x="157948" y="555127"/>
                <a:pt x="153594" y="546224"/>
              </a:cubicBezTo>
              <a:cubicBezTo>
                <a:pt x="151418" y="542069"/>
                <a:pt x="149043" y="534156"/>
                <a:pt x="148252" y="528418"/>
              </a:cubicBezTo>
              <a:cubicBezTo>
                <a:pt x="147460" y="522680"/>
                <a:pt x="145679" y="517141"/>
                <a:pt x="144294" y="515954"/>
              </a:cubicBezTo>
              <a:cubicBezTo>
                <a:pt x="142315" y="514371"/>
                <a:pt x="141920" y="510612"/>
                <a:pt x="142711" y="503292"/>
              </a:cubicBezTo>
              <a:cubicBezTo>
                <a:pt x="143503" y="495576"/>
                <a:pt x="142909" y="491619"/>
                <a:pt x="140534" y="487860"/>
              </a:cubicBezTo>
              <a:cubicBezTo>
                <a:pt x="137368" y="483111"/>
                <a:pt x="137566" y="481529"/>
                <a:pt x="145284" y="453434"/>
              </a:cubicBezTo>
              <a:cubicBezTo>
                <a:pt x="152605" y="426329"/>
                <a:pt x="154980" y="409513"/>
                <a:pt x="152011" y="406545"/>
              </a:cubicBezTo>
              <a:cubicBezTo>
                <a:pt x="148647" y="403182"/>
                <a:pt x="152209" y="350159"/>
                <a:pt x="155771" y="351346"/>
              </a:cubicBezTo>
              <a:cubicBezTo>
                <a:pt x="156563" y="351544"/>
                <a:pt x="159333" y="351742"/>
                <a:pt x="162103" y="351742"/>
              </a:cubicBezTo>
              <a:cubicBezTo>
                <a:pt x="166457" y="351742"/>
                <a:pt x="166852" y="352137"/>
                <a:pt x="164676" y="355698"/>
              </a:cubicBezTo>
              <a:cubicBezTo>
                <a:pt x="163290" y="357677"/>
                <a:pt x="163093" y="360249"/>
                <a:pt x="163884" y="361040"/>
              </a:cubicBezTo>
              <a:cubicBezTo>
                <a:pt x="164873" y="361832"/>
                <a:pt x="166061" y="361436"/>
                <a:pt x="166457" y="360249"/>
              </a:cubicBezTo>
              <a:cubicBezTo>
                <a:pt x="168040" y="355896"/>
                <a:pt x="170810" y="357479"/>
                <a:pt x="171403" y="363217"/>
              </a:cubicBezTo>
              <a:cubicBezTo>
                <a:pt x="171799" y="366778"/>
                <a:pt x="172986" y="368361"/>
                <a:pt x="175163" y="367965"/>
              </a:cubicBezTo>
              <a:cubicBezTo>
                <a:pt x="181100" y="367174"/>
                <a:pt x="180902" y="373109"/>
                <a:pt x="174767" y="379242"/>
              </a:cubicBezTo>
              <a:lnTo>
                <a:pt x="169029" y="385375"/>
              </a:lnTo>
              <a:lnTo>
                <a:pt x="173976" y="392696"/>
              </a:lnTo>
              <a:cubicBezTo>
                <a:pt x="180308" y="401994"/>
                <a:pt x="180308" y="405160"/>
                <a:pt x="173976" y="405160"/>
              </a:cubicBezTo>
              <a:cubicBezTo>
                <a:pt x="167644" y="405160"/>
                <a:pt x="161905" y="410304"/>
                <a:pt x="160124" y="417624"/>
              </a:cubicBezTo>
              <a:cubicBezTo>
                <a:pt x="158343" y="424549"/>
                <a:pt x="162499" y="424945"/>
                <a:pt x="165071" y="418020"/>
              </a:cubicBezTo>
              <a:cubicBezTo>
                <a:pt x="166259" y="414657"/>
                <a:pt x="168435" y="413074"/>
                <a:pt x="171601" y="413074"/>
              </a:cubicBezTo>
              <a:cubicBezTo>
                <a:pt x="175757" y="413074"/>
                <a:pt x="176548" y="414459"/>
                <a:pt x="178725" y="424549"/>
              </a:cubicBezTo>
              <a:cubicBezTo>
                <a:pt x="183078" y="445125"/>
                <a:pt x="183276" y="445521"/>
                <a:pt x="190993" y="446708"/>
              </a:cubicBezTo>
              <a:cubicBezTo>
                <a:pt x="200294" y="448290"/>
                <a:pt x="202668" y="450071"/>
                <a:pt x="202668" y="455809"/>
              </a:cubicBezTo>
              <a:cubicBezTo>
                <a:pt x="202668" y="458381"/>
                <a:pt x="203460" y="460557"/>
                <a:pt x="204647" y="460557"/>
              </a:cubicBezTo>
              <a:cubicBezTo>
                <a:pt x="205636" y="460557"/>
                <a:pt x="206032" y="459172"/>
                <a:pt x="205439" y="457589"/>
              </a:cubicBezTo>
              <a:cubicBezTo>
                <a:pt x="203262" y="452445"/>
                <a:pt x="208407" y="454424"/>
                <a:pt x="211375" y="460161"/>
              </a:cubicBezTo>
              <a:cubicBezTo>
                <a:pt x="213749" y="464514"/>
                <a:pt x="214541" y="464909"/>
                <a:pt x="215530" y="462140"/>
              </a:cubicBezTo>
              <a:cubicBezTo>
                <a:pt x="216322" y="460161"/>
                <a:pt x="214739" y="455413"/>
                <a:pt x="211969" y="450269"/>
              </a:cubicBezTo>
              <a:cubicBezTo>
                <a:pt x="202075" y="433056"/>
                <a:pt x="203658" y="427121"/>
                <a:pt x="214739" y="438992"/>
              </a:cubicBezTo>
              <a:lnTo>
                <a:pt x="220477" y="445125"/>
              </a:lnTo>
              <a:lnTo>
                <a:pt x="220477" y="438992"/>
              </a:lnTo>
              <a:cubicBezTo>
                <a:pt x="220477" y="434837"/>
                <a:pt x="222258" y="430880"/>
                <a:pt x="225226" y="427912"/>
              </a:cubicBezTo>
              <a:cubicBezTo>
                <a:pt x="229778" y="423362"/>
                <a:pt x="230173" y="421779"/>
                <a:pt x="229382" y="407138"/>
              </a:cubicBezTo>
              <a:cubicBezTo>
                <a:pt x="228788" y="398433"/>
                <a:pt x="228986" y="391311"/>
                <a:pt x="229778" y="391311"/>
              </a:cubicBezTo>
              <a:cubicBezTo>
                <a:pt x="230371" y="391311"/>
                <a:pt x="231954" y="392894"/>
                <a:pt x="233339" y="394674"/>
              </a:cubicBezTo>
              <a:cubicBezTo>
                <a:pt x="235516" y="397642"/>
                <a:pt x="236308" y="397642"/>
                <a:pt x="239078" y="395466"/>
              </a:cubicBezTo>
              <a:cubicBezTo>
                <a:pt x="241255" y="393685"/>
                <a:pt x="245014" y="393091"/>
                <a:pt x="250555" y="393883"/>
              </a:cubicBezTo>
              <a:cubicBezTo>
                <a:pt x="263219" y="395663"/>
                <a:pt x="265989" y="393091"/>
                <a:pt x="265989" y="380429"/>
              </a:cubicBezTo>
              <a:cubicBezTo>
                <a:pt x="265989" y="374296"/>
                <a:pt x="264802" y="367767"/>
                <a:pt x="263615" y="365591"/>
              </a:cubicBezTo>
              <a:cubicBezTo>
                <a:pt x="260845" y="361238"/>
                <a:pt x="263021" y="355698"/>
                <a:pt x="268166" y="354116"/>
              </a:cubicBezTo>
              <a:cubicBezTo>
                <a:pt x="270343" y="353324"/>
                <a:pt x="270343" y="353720"/>
                <a:pt x="268562" y="355698"/>
              </a:cubicBezTo>
              <a:cubicBezTo>
                <a:pt x="265791" y="358666"/>
                <a:pt x="267375" y="363612"/>
                <a:pt x="270936" y="363612"/>
              </a:cubicBezTo>
              <a:cubicBezTo>
                <a:pt x="272519" y="363612"/>
                <a:pt x="274300" y="358864"/>
                <a:pt x="275685" y="351544"/>
              </a:cubicBezTo>
              <a:cubicBezTo>
                <a:pt x="277466" y="341058"/>
                <a:pt x="277268" y="338486"/>
                <a:pt x="274498" y="333738"/>
              </a:cubicBezTo>
              <a:cubicBezTo>
                <a:pt x="271332" y="328396"/>
                <a:pt x="271530" y="327802"/>
                <a:pt x="276675" y="315338"/>
              </a:cubicBezTo>
              <a:cubicBezTo>
                <a:pt x="279841" y="308018"/>
                <a:pt x="283007" y="301687"/>
                <a:pt x="283996" y="301093"/>
              </a:cubicBezTo>
              <a:cubicBezTo>
                <a:pt x="284986" y="300499"/>
                <a:pt x="286767" y="302280"/>
                <a:pt x="287954" y="305050"/>
              </a:cubicBezTo>
              <a:cubicBezTo>
                <a:pt x="289735" y="308809"/>
                <a:pt x="289735" y="310787"/>
                <a:pt x="287954" y="312964"/>
              </a:cubicBezTo>
              <a:cubicBezTo>
                <a:pt x="285975" y="315338"/>
                <a:pt x="286173" y="316921"/>
                <a:pt x="288745" y="320878"/>
              </a:cubicBezTo>
              <a:cubicBezTo>
                <a:pt x="291714" y="325230"/>
                <a:pt x="291714" y="326813"/>
                <a:pt x="289141" y="336705"/>
              </a:cubicBezTo>
              <a:cubicBezTo>
                <a:pt x="287360" y="344223"/>
                <a:pt x="286964" y="348180"/>
                <a:pt x="288547" y="349763"/>
              </a:cubicBezTo>
              <a:cubicBezTo>
                <a:pt x="292307" y="353522"/>
                <a:pt x="295077" y="351742"/>
                <a:pt x="298639" y="343828"/>
              </a:cubicBezTo>
              <a:cubicBezTo>
                <a:pt x="301607" y="337299"/>
                <a:pt x="303190" y="335914"/>
                <a:pt x="307742" y="335914"/>
              </a:cubicBezTo>
              <a:cubicBezTo>
                <a:pt x="314470" y="335914"/>
                <a:pt x="316448" y="333342"/>
                <a:pt x="312293" y="329979"/>
              </a:cubicBezTo>
              <a:cubicBezTo>
                <a:pt x="309720" y="327604"/>
                <a:pt x="310116" y="326615"/>
                <a:pt x="315261" y="321273"/>
              </a:cubicBezTo>
              <a:cubicBezTo>
                <a:pt x="321593" y="314547"/>
                <a:pt x="326144" y="302676"/>
                <a:pt x="328321" y="287046"/>
              </a:cubicBezTo>
              <a:cubicBezTo>
                <a:pt x="329508" y="277747"/>
                <a:pt x="330102" y="276560"/>
                <a:pt x="334455" y="276560"/>
              </a:cubicBezTo>
              <a:cubicBezTo>
                <a:pt x="339204" y="276560"/>
                <a:pt x="340787" y="273790"/>
                <a:pt x="337226" y="271614"/>
              </a:cubicBezTo>
              <a:cubicBezTo>
                <a:pt x="336038" y="271020"/>
                <a:pt x="335247" y="267657"/>
                <a:pt x="335247" y="264492"/>
              </a:cubicBezTo>
              <a:cubicBezTo>
                <a:pt x="335247" y="255588"/>
                <a:pt x="341777" y="257369"/>
                <a:pt x="343162" y="266668"/>
              </a:cubicBezTo>
              <a:cubicBezTo>
                <a:pt x="344151" y="272801"/>
                <a:pt x="344943" y="273592"/>
                <a:pt x="352660" y="275175"/>
              </a:cubicBezTo>
              <a:cubicBezTo>
                <a:pt x="357409" y="276164"/>
                <a:pt x="361763" y="276560"/>
                <a:pt x="362158" y="275967"/>
              </a:cubicBezTo>
              <a:cubicBezTo>
                <a:pt x="362752" y="275571"/>
                <a:pt x="362158" y="272801"/>
                <a:pt x="360971" y="269833"/>
              </a:cubicBezTo>
              <a:cubicBezTo>
                <a:pt x="359982" y="266866"/>
                <a:pt x="358992" y="262711"/>
                <a:pt x="358992" y="260535"/>
              </a:cubicBezTo>
              <a:cubicBezTo>
                <a:pt x="358992" y="255193"/>
                <a:pt x="366512" y="248268"/>
                <a:pt x="371063" y="249455"/>
              </a:cubicBezTo>
              <a:cubicBezTo>
                <a:pt x="375614" y="250642"/>
                <a:pt x="379374" y="243124"/>
                <a:pt x="383727" y="224131"/>
              </a:cubicBezTo>
              <a:cubicBezTo>
                <a:pt x="386299" y="213843"/>
                <a:pt x="386102" y="212062"/>
                <a:pt x="383529" y="209095"/>
              </a:cubicBezTo>
              <a:cubicBezTo>
                <a:pt x="379176" y="204346"/>
                <a:pt x="383331" y="198411"/>
                <a:pt x="393027" y="195641"/>
              </a:cubicBezTo>
              <a:cubicBezTo>
                <a:pt x="397183" y="194256"/>
                <a:pt x="401536" y="191486"/>
                <a:pt x="402525" y="189310"/>
              </a:cubicBezTo>
              <a:cubicBezTo>
                <a:pt x="403911" y="186738"/>
                <a:pt x="406087" y="185749"/>
                <a:pt x="408066" y="186540"/>
              </a:cubicBezTo>
              <a:cubicBezTo>
                <a:pt x="410638" y="187332"/>
                <a:pt x="411430" y="186342"/>
                <a:pt x="411430" y="182979"/>
              </a:cubicBezTo>
              <a:cubicBezTo>
                <a:pt x="411232" y="180407"/>
                <a:pt x="410638" y="177439"/>
                <a:pt x="409847" y="176252"/>
              </a:cubicBezTo>
              <a:cubicBezTo>
                <a:pt x="407670" y="172889"/>
                <a:pt x="411826" y="171306"/>
                <a:pt x="416377" y="173680"/>
              </a:cubicBezTo>
              <a:cubicBezTo>
                <a:pt x="419939" y="175659"/>
                <a:pt x="420730" y="175065"/>
                <a:pt x="423303" y="168932"/>
              </a:cubicBezTo>
              <a:cubicBezTo>
                <a:pt x="424886" y="165173"/>
                <a:pt x="427260" y="161414"/>
                <a:pt x="428448" y="160820"/>
              </a:cubicBezTo>
              <a:cubicBezTo>
                <a:pt x="429437" y="160029"/>
                <a:pt x="430031" y="158248"/>
                <a:pt x="429437" y="156665"/>
              </a:cubicBezTo>
              <a:cubicBezTo>
                <a:pt x="428645" y="154489"/>
                <a:pt x="429041" y="154291"/>
                <a:pt x="432207" y="155874"/>
              </a:cubicBezTo>
              <a:cubicBezTo>
                <a:pt x="437352" y="158644"/>
                <a:pt x="437154" y="158842"/>
                <a:pt x="439924" y="149939"/>
              </a:cubicBezTo>
              <a:cubicBezTo>
                <a:pt x="442299" y="141827"/>
                <a:pt x="445267" y="139849"/>
                <a:pt x="447246" y="144993"/>
              </a:cubicBezTo>
              <a:cubicBezTo>
                <a:pt x="448037" y="146773"/>
                <a:pt x="450016" y="148949"/>
                <a:pt x="451995" y="149939"/>
              </a:cubicBezTo>
              <a:cubicBezTo>
                <a:pt x="455161" y="151719"/>
                <a:pt x="455359" y="151126"/>
                <a:pt x="453578" y="142816"/>
              </a:cubicBezTo>
              <a:cubicBezTo>
                <a:pt x="452193" y="136485"/>
                <a:pt x="452193" y="133122"/>
                <a:pt x="453776" y="131539"/>
              </a:cubicBezTo>
              <a:cubicBezTo>
                <a:pt x="459712" y="125604"/>
                <a:pt x="467232" y="147169"/>
                <a:pt x="465055" y="163590"/>
              </a:cubicBezTo>
              <a:cubicBezTo>
                <a:pt x="464066" y="171108"/>
                <a:pt x="464461" y="173680"/>
                <a:pt x="467034" y="175857"/>
              </a:cubicBezTo>
              <a:cubicBezTo>
                <a:pt x="469804" y="178033"/>
                <a:pt x="470596" y="178033"/>
                <a:pt x="472772" y="175065"/>
              </a:cubicBezTo>
              <a:cubicBezTo>
                <a:pt x="474157" y="173087"/>
                <a:pt x="476532" y="172097"/>
                <a:pt x="478313" y="172889"/>
              </a:cubicBezTo>
              <a:cubicBezTo>
                <a:pt x="479896" y="173482"/>
                <a:pt x="483260" y="172889"/>
                <a:pt x="485634" y="171702"/>
              </a:cubicBezTo>
              <a:cubicBezTo>
                <a:pt x="489196" y="169723"/>
                <a:pt x="489790" y="168141"/>
                <a:pt x="488998" y="162799"/>
              </a:cubicBezTo>
              <a:cubicBezTo>
                <a:pt x="488207" y="157457"/>
                <a:pt x="488998" y="155281"/>
                <a:pt x="493352" y="151126"/>
              </a:cubicBezTo>
              <a:cubicBezTo>
                <a:pt x="496320" y="148356"/>
                <a:pt x="500871" y="145982"/>
                <a:pt x="503246" y="145982"/>
              </a:cubicBezTo>
              <a:cubicBezTo>
                <a:pt x="505818" y="145982"/>
                <a:pt x="515712" y="142421"/>
                <a:pt x="525408" y="138068"/>
              </a:cubicBezTo>
              <a:cubicBezTo>
                <a:pt x="535104" y="133715"/>
                <a:pt x="544009" y="130154"/>
                <a:pt x="545196" y="130154"/>
              </a:cubicBezTo>
              <a:cubicBezTo>
                <a:pt x="546383" y="130154"/>
                <a:pt x="549945" y="131539"/>
                <a:pt x="552913" y="133517"/>
              </a:cubicBezTo>
              <a:cubicBezTo>
                <a:pt x="558058" y="136485"/>
                <a:pt x="558652" y="136485"/>
                <a:pt x="561818" y="133517"/>
              </a:cubicBezTo>
              <a:cubicBezTo>
                <a:pt x="563599" y="131539"/>
                <a:pt x="566171" y="130154"/>
                <a:pt x="567754" y="130154"/>
              </a:cubicBezTo>
              <a:cubicBezTo>
                <a:pt x="570920" y="130154"/>
                <a:pt x="572701" y="125802"/>
                <a:pt x="572701" y="117294"/>
              </a:cubicBezTo>
              <a:cubicBezTo>
                <a:pt x="572701" y="113535"/>
                <a:pt x="573690" y="109974"/>
                <a:pt x="574878" y="109380"/>
              </a:cubicBezTo>
              <a:cubicBezTo>
                <a:pt x="575867" y="108589"/>
                <a:pt x="576658" y="105226"/>
                <a:pt x="576263" y="101862"/>
              </a:cubicBezTo>
              <a:cubicBezTo>
                <a:pt x="575669" y="95729"/>
                <a:pt x="575867" y="95531"/>
                <a:pt x="582595" y="96125"/>
              </a:cubicBezTo>
              <a:cubicBezTo>
                <a:pt x="586355" y="96520"/>
                <a:pt x="592489" y="98103"/>
                <a:pt x="596248" y="99686"/>
              </a:cubicBezTo>
              <a:cubicBezTo>
                <a:pt x="600404" y="101466"/>
                <a:pt x="603570" y="101862"/>
                <a:pt x="604164" y="100675"/>
              </a:cubicBezTo>
              <a:cubicBezTo>
                <a:pt x="604955" y="99686"/>
                <a:pt x="608319" y="98499"/>
                <a:pt x="612079" y="98103"/>
              </a:cubicBezTo>
              <a:cubicBezTo>
                <a:pt x="620587" y="97312"/>
                <a:pt x="624743" y="91574"/>
                <a:pt x="619796" y="87815"/>
              </a:cubicBezTo>
              <a:cubicBezTo>
                <a:pt x="616036" y="85045"/>
                <a:pt x="615047" y="78714"/>
                <a:pt x="618015" y="75549"/>
              </a:cubicBezTo>
              <a:cubicBezTo>
                <a:pt x="619004" y="74559"/>
                <a:pt x="620192" y="67635"/>
                <a:pt x="620587" y="59919"/>
              </a:cubicBezTo>
              <a:lnTo>
                <a:pt x="621181" y="46267"/>
              </a:lnTo>
              <a:lnTo>
                <a:pt x="612277" y="42904"/>
              </a:lnTo>
              <a:cubicBezTo>
                <a:pt x="604361" y="39936"/>
                <a:pt x="603372" y="38947"/>
                <a:pt x="602778" y="33012"/>
              </a:cubicBezTo>
              <a:cubicBezTo>
                <a:pt x="602383" y="29253"/>
                <a:pt x="601195" y="25296"/>
                <a:pt x="600206" y="24109"/>
              </a:cubicBezTo>
              <a:cubicBezTo>
                <a:pt x="598029" y="21537"/>
                <a:pt x="608913" y="10457"/>
                <a:pt x="611881" y="12238"/>
              </a:cubicBezTo>
              <a:cubicBezTo>
                <a:pt x="614255" y="13623"/>
                <a:pt x="622171" y="1554"/>
                <a:pt x="622171" y="-3194"/>
              </a:cubicBezTo>
              <a:cubicBezTo>
                <a:pt x="622171" y="-5766"/>
                <a:pt x="623160" y="-6360"/>
                <a:pt x="626722" y="-5173"/>
              </a:cubicBezTo>
              <a:cubicBezTo>
                <a:pt x="639980" y="-1216"/>
                <a:pt x="646905" y="6500"/>
                <a:pt x="645520" y="15403"/>
              </a:cubicBezTo>
              <a:cubicBezTo>
                <a:pt x="644729" y="19954"/>
                <a:pt x="649478" y="25296"/>
                <a:pt x="654227" y="25296"/>
              </a:cubicBezTo>
              <a:cubicBezTo>
                <a:pt x="656403" y="25296"/>
                <a:pt x="660955" y="27472"/>
                <a:pt x="664517" y="30242"/>
              </a:cubicBezTo>
              <a:cubicBezTo>
                <a:pt x="668474" y="33210"/>
                <a:pt x="673619" y="35188"/>
                <a:pt x="677379" y="35188"/>
              </a:cubicBezTo>
              <a:cubicBezTo>
                <a:pt x="680940" y="35188"/>
                <a:pt x="686085" y="36969"/>
                <a:pt x="688856" y="39145"/>
              </a:cubicBezTo>
              <a:cubicBezTo>
                <a:pt x="691626" y="41321"/>
                <a:pt x="694990" y="43102"/>
                <a:pt x="696375" y="43102"/>
              </a:cubicBezTo>
              <a:cubicBezTo>
                <a:pt x="701520" y="43102"/>
                <a:pt x="709039" y="34792"/>
                <a:pt x="710424" y="28066"/>
              </a:cubicBezTo>
              <a:cubicBezTo>
                <a:pt x="712205" y="18371"/>
                <a:pt x="721110" y="10259"/>
                <a:pt x="721110" y="18371"/>
              </a:cubicBezTo>
              <a:cubicBezTo>
                <a:pt x="721110" y="23119"/>
                <a:pt x="726848" y="21735"/>
                <a:pt x="731795" y="15997"/>
              </a:cubicBezTo>
              <a:lnTo>
                <a:pt x="736346" y="10655"/>
              </a:lnTo>
              <a:lnTo>
                <a:pt x="738919" y="15601"/>
              </a:lnTo>
              <a:cubicBezTo>
                <a:pt x="742678" y="22724"/>
                <a:pt x="749208" y="29451"/>
                <a:pt x="754551" y="31429"/>
              </a:cubicBezTo>
              <a:cubicBezTo>
                <a:pt x="758707" y="33012"/>
                <a:pt x="759102" y="34001"/>
                <a:pt x="757915" y="41915"/>
              </a:cubicBezTo>
              <a:cubicBezTo>
                <a:pt x="756530" y="50422"/>
                <a:pt x="756926" y="50818"/>
                <a:pt x="767611" y="62491"/>
              </a:cubicBezTo>
              <a:cubicBezTo>
                <a:pt x="777307" y="72977"/>
                <a:pt x="778890" y="75746"/>
                <a:pt x="779880" y="84650"/>
              </a:cubicBezTo>
              <a:cubicBezTo>
                <a:pt x="781067" y="94146"/>
                <a:pt x="780671" y="95135"/>
                <a:pt x="774339" y="101664"/>
              </a:cubicBezTo>
              <a:cubicBezTo>
                <a:pt x="768996" y="107204"/>
                <a:pt x="766424" y="108391"/>
                <a:pt x="762466" y="107600"/>
              </a:cubicBezTo>
              <a:cubicBezTo>
                <a:pt x="758113" y="106808"/>
                <a:pt x="757519" y="107204"/>
                <a:pt x="758113" y="110963"/>
              </a:cubicBezTo>
              <a:cubicBezTo>
                <a:pt x="758707" y="113931"/>
                <a:pt x="756728" y="117294"/>
                <a:pt x="751781" y="122240"/>
              </a:cubicBezTo>
              <a:lnTo>
                <a:pt x="744657" y="129165"/>
              </a:lnTo>
              <a:lnTo>
                <a:pt x="740898" y="124812"/>
              </a:lnTo>
              <a:cubicBezTo>
                <a:pt x="736544" y="119273"/>
                <a:pt x="733972" y="118877"/>
                <a:pt x="737336" y="124021"/>
              </a:cubicBezTo>
              <a:cubicBezTo>
                <a:pt x="739117" y="126989"/>
                <a:pt x="738919" y="128769"/>
                <a:pt x="735753" y="133517"/>
              </a:cubicBezTo>
              <a:cubicBezTo>
                <a:pt x="694792" y="197224"/>
                <a:pt x="690439" y="202764"/>
                <a:pt x="679951" y="204544"/>
              </a:cubicBezTo>
              <a:cubicBezTo>
                <a:pt x="668474" y="206325"/>
                <a:pt x="659174" y="209490"/>
                <a:pt x="653435" y="213447"/>
              </a:cubicBezTo>
              <a:cubicBezTo>
                <a:pt x="650665" y="215624"/>
                <a:pt x="646905" y="216613"/>
                <a:pt x="645124" y="216019"/>
              </a:cubicBezTo>
              <a:cubicBezTo>
                <a:pt x="640969" y="214436"/>
                <a:pt x="643146" y="211271"/>
                <a:pt x="648488" y="211271"/>
              </a:cubicBezTo>
              <a:cubicBezTo>
                <a:pt x="655216" y="211271"/>
                <a:pt x="659372" y="208105"/>
                <a:pt x="656403" y="205138"/>
              </a:cubicBezTo>
              <a:cubicBezTo>
                <a:pt x="654425" y="203159"/>
                <a:pt x="652842" y="203159"/>
                <a:pt x="648884" y="205336"/>
              </a:cubicBezTo>
              <a:cubicBezTo>
                <a:pt x="644531" y="207710"/>
                <a:pt x="643344" y="207512"/>
                <a:pt x="638397" y="203951"/>
              </a:cubicBezTo>
              <a:cubicBezTo>
                <a:pt x="634043" y="200785"/>
                <a:pt x="629888" y="199994"/>
                <a:pt x="618213" y="199796"/>
              </a:cubicBezTo>
              <a:cubicBezTo>
                <a:pt x="602185" y="199796"/>
                <a:pt x="593874" y="202368"/>
                <a:pt x="582991" y="210677"/>
              </a:cubicBezTo>
              <a:cubicBezTo>
                <a:pt x="579231" y="213447"/>
                <a:pt x="574086" y="215821"/>
                <a:pt x="571316" y="215821"/>
              </a:cubicBezTo>
              <a:cubicBezTo>
                <a:pt x="565973" y="215821"/>
                <a:pt x="555683" y="228088"/>
                <a:pt x="545987" y="246488"/>
              </a:cubicBezTo>
              <a:cubicBezTo>
                <a:pt x="542426" y="253016"/>
                <a:pt x="536687" y="259545"/>
                <a:pt x="530751" y="263898"/>
              </a:cubicBezTo>
              <a:cubicBezTo>
                <a:pt x="524023" y="269042"/>
                <a:pt x="520857" y="272999"/>
                <a:pt x="519274" y="278341"/>
              </a:cubicBezTo>
              <a:cubicBezTo>
                <a:pt x="512348" y="304061"/>
                <a:pt x="489394" y="400807"/>
                <a:pt x="487217" y="412678"/>
              </a:cubicBezTo>
              <a:cubicBezTo>
                <a:pt x="485041" y="425538"/>
                <a:pt x="484447" y="426923"/>
                <a:pt x="480292" y="426923"/>
              </a:cubicBezTo>
              <a:cubicBezTo>
                <a:pt x="477719" y="426923"/>
                <a:pt x="475740" y="427912"/>
                <a:pt x="475740" y="428901"/>
              </a:cubicBezTo>
              <a:cubicBezTo>
                <a:pt x="475740" y="430089"/>
                <a:pt x="477521" y="430880"/>
                <a:pt x="479896" y="430880"/>
              </a:cubicBezTo>
              <a:cubicBezTo>
                <a:pt x="483062" y="430880"/>
                <a:pt x="483656" y="431671"/>
                <a:pt x="482666" y="435430"/>
              </a:cubicBezTo>
              <a:cubicBezTo>
                <a:pt x="480490" y="443344"/>
                <a:pt x="465649" y="472032"/>
                <a:pt x="461889" y="475395"/>
              </a:cubicBezTo>
              <a:cubicBezTo>
                <a:pt x="457338" y="479550"/>
                <a:pt x="452589" y="477572"/>
                <a:pt x="456151" y="473021"/>
              </a:cubicBezTo>
              <a:cubicBezTo>
                <a:pt x="457536" y="471438"/>
                <a:pt x="460702" y="465107"/>
                <a:pt x="463274" y="458974"/>
              </a:cubicBezTo>
              <a:cubicBezTo>
                <a:pt x="465847" y="452841"/>
                <a:pt x="468419" y="446708"/>
                <a:pt x="469013" y="445521"/>
              </a:cubicBezTo>
              <a:cubicBezTo>
                <a:pt x="469606" y="444333"/>
                <a:pt x="468617" y="442751"/>
                <a:pt x="467034" y="442157"/>
              </a:cubicBezTo>
              <a:cubicBezTo>
                <a:pt x="464857" y="441366"/>
                <a:pt x="463472" y="442949"/>
                <a:pt x="462087" y="448093"/>
              </a:cubicBezTo>
              <a:cubicBezTo>
                <a:pt x="460900" y="452247"/>
                <a:pt x="456942" y="457787"/>
                <a:pt x="451797" y="462140"/>
              </a:cubicBezTo>
              <a:cubicBezTo>
                <a:pt x="447444" y="465899"/>
                <a:pt x="441903" y="472823"/>
                <a:pt x="439924" y="477176"/>
              </a:cubicBezTo>
              <a:cubicBezTo>
                <a:pt x="437748" y="481726"/>
                <a:pt x="433790" y="489047"/>
                <a:pt x="431020" y="493795"/>
              </a:cubicBezTo>
              <a:cubicBezTo>
                <a:pt x="426271" y="501709"/>
                <a:pt x="425677" y="504874"/>
                <a:pt x="424094" y="537915"/>
              </a:cubicBezTo>
              <a:cubicBezTo>
                <a:pt x="422709" y="564030"/>
                <a:pt x="421522" y="574912"/>
                <a:pt x="419345" y="577879"/>
              </a:cubicBezTo>
              <a:cubicBezTo>
                <a:pt x="417762" y="580254"/>
                <a:pt x="416377" y="584804"/>
                <a:pt x="416377" y="588167"/>
              </a:cubicBezTo>
              <a:cubicBezTo>
                <a:pt x="416377" y="591531"/>
                <a:pt x="414992" y="596081"/>
                <a:pt x="413409" y="598258"/>
              </a:cubicBezTo>
              <a:cubicBezTo>
                <a:pt x="411826" y="600236"/>
                <a:pt x="410441" y="603402"/>
                <a:pt x="410441" y="604984"/>
              </a:cubicBezTo>
              <a:cubicBezTo>
                <a:pt x="410441" y="606963"/>
                <a:pt x="406087" y="608941"/>
                <a:pt x="396985" y="611118"/>
              </a:cubicBezTo>
              <a:lnTo>
                <a:pt x="383727" y="614481"/>
              </a:lnTo>
              <a:lnTo>
                <a:pt x="378384" y="609535"/>
              </a:lnTo>
              <a:cubicBezTo>
                <a:pt x="373833" y="605182"/>
                <a:pt x="371854" y="604589"/>
                <a:pt x="365126" y="605776"/>
              </a:cubicBezTo>
              <a:cubicBezTo>
                <a:pt x="357607" y="606963"/>
                <a:pt x="356816" y="606567"/>
                <a:pt x="354045" y="601027"/>
              </a:cubicBezTo>
              <a:cubicBezTo>
                <a:pt x="352264" y="597862"/>
                <a:pt x="350286" y="594894"/>
                <a:pt x="349494" y="594894"/>
              </a:cubicBezTo>
              <a:cubicBezTo>
                <a:pt x="348703" y="594696"/>
                <a:pt x="345536" y="594499"/>
                <a:pt x="342568" y="594301"/>
              </a:cubicBezTo>
              <a:cubicBezTo>
                <a:pt x="339402" y="594103"/>
                <a:pt x="336038" y="592322"/>
                <a:pt x="335049" y="590542"/>
              </a:cubicBezTo>
              <a:cubicBezTo>
                <a:pt x="333862" y="588761"/>
                <a:pt x="331289" y="587178"/>
                <a:pt x="329310" y="587178"/>
              </a:cubicBezTo>
              <a:cubicBezTo>
                <a:pt x="324561" y="587178"/>
                <a:pt x="324166" y="590146"/>
                <a:pt x="328321" y="591927"/>
              </a:cubicBezTo>
              <a:cubicBezTo>
                <a:pt x="329904" y="592520"/>
                <a:pt x="331289" y="594301"/>
                <a:pt x="331289" y="595883"/>
              </a:cubicBezTo>
              <a:cubicBezTo>
                <a:pt x="331289" y="598060"/>
                <a:pt x="328519" y="599049"/>
                <a:pt x="321000" y="599445"/>
              </a:cubicBezTo>
              <a:cubicBezTo>
                <a:pt x="311699" y="600038"/>
                <a:pt x="310710" y="600632"/>
                <a:pt x="308929" y="605776"/>
              </a:cubicBezTo>
              <a:cubicBezTo>
                <a:pt x="307346" y="610722"/>
                <a:pt x="307742" y="611909"/>
                <a:pt x="313282" y="616262"/>
              </a:cubicBezTo>
              <a:cubicBezTo>
                <a:pt x="320802" y="622197"/>
                <a:pt x="321000" y="624967"/>
                <a:pt x="313678" y="636442"/>
              </a:cubicBezTo>
              <a:cubicBezTo>
                <a:pt x="310314" y="641388"/>
                <a:pt x="306950" y="649500"/>
                <a:pt x="305763" y="654446"/>
              </a:cubicBezTo>
              <a:cubicBezTo>
                <a:pt x="304576" y="659392"/>
                <a:pt x="301410" y="667702"/>
                <a:pt x="298639" y="673043"/>
              </a:cubicBezTo>
              <a:cubicBezTo>
                <a:pt x="292901" y="684321"/>
                <a:pt x="292307" y="692234"/>
                <a:pt x="296858" y="699159"/>
              </a:cubicBezTo>
              <a:cubicBezTo>
                <a:pt x="299431" y="702720"/>
                <a:pt x="299827" y="706282"/>
                <a:pt x="298837" y="713998"/>
              </a:cubicBezTo>
              <a:cubicBezTo>
                <a:pt x="297650" y="722109"/>
                <a:pt x="298046" y="724879"/>
                <a:pt x="300816" y="727847"/>
              </a:cubicBezTo>
              <a:cubicBezTo>
                <a:pt x="303982" y="731408"/>
                <a:pt x="303784" y="731804"/>
                <a:pt x="299827" y="734969"/>
              </a:cubicBezTo>
              <a:cubicBezTo>
                <a:pt x="297452" y="736948"/>
                <a:pt x="295275" y="740311"/>
                <a:pt x="295275" y="742685"/>
              </a:cubicBezTo>
              <a:cubicBezTo>
                <a:pt x="294682" y="749808"/>
                <a:pt x="299827" y="758909"/>
                <a:pt x="305763" y="761283"/>
              </a:cubicBezTo>
              <a:cubicBezTo>
                <a:pt x="311304" y="763657"/>
                <a:pt x="313876" y="767812"/>
                <a:pt x="309127" y="766822"/>
              </a:cubicBezTo>
              <a:cubicBezTo>
                <a:pt x="307742" y="766625"/>
                <a:pt x="303982" y="768603"/>
                <a:pt x="301014" y="771571"/>
              </a:cubicBezTo>
              <a:cubicBezTo>
                <a:pt x="296661" y="775725"/>
                <a:pt x="295473" y="778297"/>
                <a:pt x="296067" y="783441"/>
              </a:cubicBezTo>
              <a:cubicBezTo>
                <a:pt x="296463" y="788585"/>
                <a:pt x="297650" y="790168"/>
                <a:pt x="301410" y="790564"/>
              </a:cubicBezTo>
              <a:cubicBezTo>
                <a:pt x="304378" y="791157"/>
                <a:pt x="307346" y="789970"/>
                <a:pt x="308731" y="787992"/>
              </a:cubicBezTo>
              <a:cubicBezTo>
                <a:pt x="312095" y="783441"/>
                <a:pt x="317438" y="785618"/>
                <a:pt x="317438" y="791355"/>
              </a:cubicBezTo>
              <a:cubicBezTo>
                <a:pt x="317438" y="793927"/>
                <a:pt x="315657" y="798676"/>
                <a:pt x="313480" y="801841"/>
              </a:cubicBezTo>
              <a:cubicBezTo>
                <a:pt x="308929" y="808766"/>
                <a:pt x="308335" y="813910"/>
                <a:pt x="312095" y="816086"/>
              </a:cubicBezTo>
              <a:cubicBezTo>
                <a:pt x="313678" y="816877"/>
                <a:pt x="317042" y="822813"/>
                <a:pt x="320010" y="829144"/>
              </a:cubicBezTo>
              <a:cubicBezTo>
                <a:pt x="322780" y="835277"/>
                <a:pt x="326342" y="840421"/>
                <a:pt x="327925" y="840421"/>
              </a:cubicBezTo>
              <a:cubicBezTo>
                <a:pt x="332081" y="840421"/>
                <a:pt x="341579" y="855260"/>
                <a:pt x="342964" y="863569"/>
              </a:cubicBezTo>
              <a:cubicBezTo>
                <a:pt x="343953" y="869702"/>
                <a:pt x="345141" y="871087"/>
                <a:pt x="350681" y="872472"/>
              </a:cubicBezTo>
              <a:cubicBezTo>
                <a:pt x="357607" y="874253"/>
                <a:pt x="358596" y="877023"/>
                <a:pt x="354243" y="882958"/>
              </a:cubicBezTo>
              <a:cubicBezTo>
                <a:pt x="350879" y="887706"/>
                <a:pt x="351275" y="918570"/>
                <a:pt x="354837" y="925099"/>
              </a:cubicBezTo>
              <a:cubicBezTo>
                <a:pt x="357409" y="930045"/>
                <a:pt x="359190" y="930441"/>
                <a:pt x="362554" y="927078"/>
              </a:cubicBezTo>
              <a:cubicBezTo>
                <a:pt x="366709" y="922923"/>
                <a:pt x="367897" y="927473"/>
                <a:pt x="364335" y="933606"/>
              </a:cubicBezTo>
              <a:cubicBezTo>
                <a:pt x="362554" y="936970"/>
                <a:pt x="360971" y="941718"/>
                <a:pt x="360971" y="944290"/>
              </a:cubicBezTo>
              <a:cubicBezTo>
                <a:pt x="360971" y="949038"/>
                <a:pt x="381155" y="988608"/>
                <a:pt x="388278" y="997709"/>
              </a:cubicBezTo>
              <a:cubicBezTo>
                <a:pt x="390653" y="1000676"/>
                <a:pt x="392632" y="1005029"/>
                <a:pt x="392632" y="1007007"/>
              </a:cubicBezTo>
              <a:cubicBezTo>
                <a:pt x="392632" y="1009184"/>
                <a:pt x="395402" y="1013536"/>
                <a:pt x="398568" y="1016504"/>
              </a:cubicBezTo>
              <a:cubicBezTo>
                <a:pt x="402723" y="1020263"/>
                <a:pt x="404504" y="1024022"/>
                <a:pt x="404504" y="1027979"/>
              </a:cubicBezTo>
              <a:cubicBezTo>
                <a:pt x="404504" y="1031342"/>
                <a:pt x="405494" y="1034706"/>
                <a:pt x="406483" y="1035299"/>
              </a:cubicBezTo>
              <a:cubicBezTo>
                <a:pt x="407670" y="1036091"/>
                <a:pt x="407868" y="1039850"/>
                <a:pt x="407275" y="1044005"/>
              </a:cubicBezTo>
              <a:cubicBezTo>
                <a:pt x="406087" y="1050929"/>
                <a:pt x="406879" y="1052314"/>
                <a:pt x="417366" y="1064185"/>
              </a:cubicBezTo>
              <a:cubicBezTo>
                <a:pt x="423501" y="1071109"/>
                <a:pt x="429833" y="1079617"/>
                <a:pt x="431218" y="1082782"/>
              </a:cubicBezTo>
              <a:cubicBezTo>
                <a:pt x="432801" y="1086146"/>
                <a:pt x="435175" y="1090301"/>
                <a:pt x="436561" y="1092081"/>
              </a:cubicBezTo>
              <a:cubicBezTo>
                <a:pt x="438539" y="1094851"/>
                <a:pt x="438144" y="1097027"/>
                <a:pt x="434582" y="1104348"/>
              </a:cubicBezTo>
              <a:cubicBezTo>
                <a:pt x="430426" y="1112657"/>
                <a:pt x="430228" y="1113646"/>
                <a:pt x="432999" y="1119186"/>
              </a:cubicBezTo>
              <a:cubicBezTo>
                <a:pt x="435769" y="1124330"/>
                <a:pt x="435769" y="1126506"/>
                <a:pt x="433197" y="1140158"/>
              </a:cubicBezTo>
              <a:cubicBezTo>
                <a:pt x="431614" y="1148467"/>
                <a:pt x="430228" y="1163108"/>
                <a:pt x="430228" y="1172802"/>
              </a:cubicBezTo>
              <a:cubicBezTo>
                <a:pt x="430228" y="1188828"/>
                <a:pt x="431020" y="1191993"/>
                <a:pt x="439331" y="1212569"/>
              </a:cubicBezTo>
              <a:cubicBezTo>
                <a:pt x="444278" y="1225034"/>
                <a:pt x="449621" y="1236706"/>
                <a:pt x="451401" y="1238487"/>
              </a:cubicBezTo>
              <a:cubicBezTo>
                <a:pt x="454370" y="1241653"/>
                <a:pt x="454370" y="1242444"/>
                <a:pt x="451401" y="1245610"/>
              </a:cubicBezTo>
              <a:cubicBezTo>
                <a:pt x="449818" y="1247390"/>
                <a:pt x="447642" y="1251545"/>
                <a:pt x="446850" y="1254710"/>
              </a:cubicBezTo>
              <a:cubicBezTo>
                <a:pt x="445465" y="1260448"/>
                <a:pt x="428052" y="1279639"/>
                <a:pt x="424292" y="1279639"/>
              </a:cubicBezTo>
              <a:cubicBezTo>
                <a:pt x="423105" y="1279639"/>
                <a:pt x="422313" y="1280628"/>
                <a:pt x="422313" y="1281618"/>
              </a:cubicBezTo>
              <a:cubicBezTo>
                <a:pt x="422313" y="1282805"/>
                <a:pt x="423698" y="1283596"/>
                <a:pt x="425281" y="1283596"/>
              </a:cubicBezTo>
              <a:cubicBezTo>
                <a:pt x="426865" y="1283596"/>
                <a:pt x="433592" y="1288740"/>
                <a:pt x="440122" y="1295071"/>
              </a:cubicBezTo>
              <a:cubicBezTo>
                <a:pt x="449621" y="1304370"/>
                <a:pt x="454567" y="1307337"/>
                <a:pt x="463472" y="1309909"/>
              </a:cubicBezTo>
              <a:cubicBezTo>
                <a:pt x="469606" y="1311690"/>
                <a:pt x="476532" y="1314460"/>
                <a:pt x="478709" y="1316043"/>
              </a:cubicBezTo>
              <a:cubicBezTo>
                <a:pt x="482468" y="1318813"/>
                <a:pt x="482468" y="1319208"/>
                <a:pt x="479302" y="1324946"/>
              </a:cubicBezTo>
              <a:lnTo>
                <a:pt x="476136" y="1330881"/>
              </a:lnTo>
              <a:lnTo>
                <a:pt x="480687" y="1328705"/>
              </a:lnTo>
              <a:cubicBezTo>
                <a:pt x="483458" y="1327518"/>
                <a:pt x="485041" y="1325935"/>
                <a:pt x="484645" y="1325144"/>
              </a:cubicBezTo>
              <a:cubicBezTo>
                <a:pt x="484249" y="1324352"/>
                <a:pt x="485832" y="1321780"/>
                <a:pt x="488207" y="1319406"/>
              </a:cubicBezTo>
              <a:cubicBezTo>
                <a:pt x="492560" y="1315449"/>
                <a:pt x="493747" y="1315251"/>
                <a:pt x="509578" y="1317428"/>
              </a:cubicBezTo>
              <a:cubicBezTo>
                <a:pt x="518680" y="1318417"/>
                <a:pt x="528772" y="1320197"/>
                <a:pt x="531740" y="1321187"/>
              </a:cubicBezTo>
              <a:cubicBezTo>
                <a:pt x="535698" y="1322572"/>
                <a:pt x="539457" y="1322176"/>
                <a:pt x="544009" y="1320395"/>
              </a:cubicBezTo>
              <a:cubicBezTo>
                <a:pt x="553309" y="1316438"/>
                <a:pt x="566567" y="1315647"/>
                <a:pt x="568545" y="1319010"/>
              </a:cubicBezTo>
              <a:cubicBezTo>
                <a:pt x="569931" y="1321187"/>
                <a:pt x="571118" y="1320791"/>
                <a:pt x="574482" y="1317428"/>
              </a:cubicBezTo>
              <a:cubicBezTo>
                <a:pt x="577648" y="1314262"/>
                <a:pt x="581012" y="1313273"/>
                <a:pt x="588531" y="1313273"/>
              </a:cubicBezTo>
              <a:lnTo>
                <a:pt x="598425" y="1313273"/>
              </a:lnTo>
              <a:lnTo>
                <a:pt x="598425" y="1303578"/>
              </a:lnTo>
              <a:cubicBezTo>
                <a:pt x="598425" y="1295665"/>
                <a:pt x="597634" y="1293488"/>
                <a:pt x="593676" y="1290916"/>
              </a:cubicBezTo>
              <a:cubicBezTo>
                <a:pt x="590114" y="1288542"/>
                <a:pt x="588729" y="1285377"/>
                <a:pt x="587938" y="1277265"/>
              </a:cubicBezTo>
              <a:cubicBezTo>
                <a:pt x="587146" y="1271527"/>
                <a:pt x="586157" y="1262229"/>
                <a:pt x="585365" y="1256689"/>
              </a:cubicBezTo>
              <a:cubicBezTo>
                <a:pt x="584574" y="1249962"/>
                <a:pt x="584969" y="1246005"/>
                <a:pt x="586355" y="1245214"/>
              </a:cubicBezTo>
              <a:cubicBezTo>
                <a:pt x="589125" y="1243433"/>
                <a:pt x="589125" y="1234728"/>
                <a:pt x="586355" y="1232947"/>
              </a:cubicBezTo>
              <a:cubicBezTo>
                <a:pt x="584772" y="1231958"/>
                <a:pt x="584376" y="1226221"/>
                <a:pt x="585167" y="1214943"/>
              </a:cubicBezTo>
              <a:lnTo>
                <a:pt x="586157" y="1198127"/>
              </a:lnTo>
              <a:lnTo>
                <a:pt x="580418" y="1194763"/>
              </a:lnTo>
              <a:cubicBezTo>
                <a:pt x="569535" y="1188828"/>
                <a:pt x="569931" y="1177155"/>
                <a:pt x="581210" y="1173989"/>
              </a:cubicBezTo>
              <a:cubicBezTo>
                <a:pt x="585563" y="1172802"/>
                <a:pt x="588135" y="1171219"/>
                <a:pt x="587344" y="1170230"/>
              </a:cubicBezTo>
              <a:cubicBezTo>
                <a:pt x="586552" y="1169439"/>
                <a:pt x="587542" y="1167263"/>
                <a:pt x="589718" y="1165284"/>
              </a:cubicBezTo>
              <a:cubicBezTo>
                <a:pt x="593280" y="1161921"/>
                <a:pt x="593478" y="1161921"/>
                <a:pt x="596446" y="1167658"/>
              </a:cubicBezTo>
              <a:cubicBezTo>
                <a:pt x="598821" y="1172604"/>
                <a:pt x="601591" y="1174385"/>
                <a:pt x="610100" y="1176561"/>
              </a:cubicBezTo>
              <a:cubicBezTo>
                <a:pt x="620192" y="1179331"/>
                <a:pt x="620785" y="1179331"/>
                <a:pt x="623951" y="1175176"/>
              </a:cubicBezTo>
              <a:cubicBezTo>
                <a:pt x="626326" y="1172011"/>
                <a:pt x="627909" y="1171417"/>
                <a:pt x="630086" y="1172802"/>
              </a:cubicBezTo>
              <a:cubicBezTo>
                <a:pt x="631669" y="1173791"/>
                <a:pt x="638397" y="1174781"/>
                <a:pt x="644729" y="1174781"/>
              </a:cubicBezTo>
              <a:cubicBezTo>
                <a:pt x="655018" y="1174781"/>
                <a:pt x="657393" y="1173989"/>
                <a:pt x="662142" y="1169439"/>
              </a:cubicBezTo>
              <a:cubicBezTo>
                <a:pt x="667683" y="1164097"/>
                <a:pt x="667880" y="1164097"/>
                <a:pt x="673421" y="1167460"/>
              </a:cubicBezTo>
              <a:cubicBezTo>
                <a:pt x="676587" y="1169241"/>
                <a:pt x="682721" y="1170824"/>
                <a:pt x="687075" y="1170824"/>
              </a:cubicBezTo>
              <a:cubicBezTo>
                <a:pt x="691626" y="1170824"/>
                <a:pt x="695781" y="1171813"/>
                <a:pt x="696375" y="1173000"/>
              </a:cubicBezTo>
              <a:cubicBezTo>
                <a:pt x="697166" y="1173989"/>
                <a:pt x="700135" y="1174583"/>
                <a:pt x="703103" y="1173791"/>
              </a:cubicBezTo>
              <a:cubicBezTo>
                <a:pt x="707258" y="1173000"/>
                <a:pt x="709435" y="1173791"/>
                <a:pt x="713195" y="1177748"/>
              </a:cubicBezTo>
              <a:cubicBezTo>
                <a:pt x="720120" y="1185267"/>
                <a:pt x="730410" y="1184673"/>
                <a:pt x="738325" y="1176363"/>
              </a:cubicBezTo>
              <a:cubicBezTo>
                <a:pt x="741689" y="1172802"/>
                <a:pt x="745053" y="1167856"/>
                <a:pt x="745647" y="1165482"/>
              </a:cubicBezTo>
              <a:cubicBezTo>
                <a:pt x="747823" y="1158755"/>
                <a:pt x="758113" y="1151039"/>
                <a:pt x="765237" y="1151039"/>
              </a:cubicBezTo>
              <a:cubicBezTo>
                <a:pt x="769392" y="1151039"/>
                <a:pt x="773350" y="1149061"/>
                <a:pt x="777307" y="1145302"/>
              </a:cubicBezTo>
              <a:cubicBezTo>
                <a:pt x="803823" y="1119780"/>
                <a:pt x="808374" y="1115427"/>
                <a:pt x="809166" y="1115427"/>
              </a:cubicBezTo>
              <a:cubicBezTo>
                <a:pt x="810947" y="1115427"/>
                <a:pt x="810155" y="1123539"/>
                <a:pt x="808176" y="1127298"/>
              </a:cubicBezTo>
              <a:cubicBezTo>
                <a:pt x="806791" y="1129870"/>
                <a:pt x="806989" y="1131452"/>
                <a:pt x="808968" y="1133035"/>
              </a:cubicBezTo>
              <a:cubicBezTo>
                <a:pt x="812925" y="1136399"/>
                <a:pt x="816685" y="1130859"/>
                <a:pt x="815102" y="1123539"/>
              </a:cubicBezTo>
              <a:cubicBezTo>
                <a:pt x="813321" y="1114833"/>
                <a:pt x="816883" y="1114636"/>
                <a:pt x="822819" y="1122945"/>
              </a:cubicBezTo>
              <a:cubicBezTo>
                <a:pt x="827370" y="1129276"/>
                <a:pt x="827964" y="1129672"/>
                <a:pt x="827964" y="1125715"/>
              </a:cubicBezTo>
              <a:cubicBezTo>
                <a:pt x="827964" y="1121164"/>
                <a:pt x="820049" y="1111470"/>
                <a:pt x="816091" y="1111470"/>
              </a:cubicBezTo>
              <a:cubicBezTo>
                <a:pt x="815102" y="1111470"/>
                <a:pt x="814113" y="1107909"/>
                <a:pt x="814113" y="1103556"/>
              </a:cubicBezTo>
              <a:cubicBezTo>
                <a:pt x="814113" y="1096434"/>
                <a:pt x="814508" y="1095642"/>
                <a:pt x="819257" y="1095642"/>
              </a:cubicBezTo>
              <a:cubicBezTo>
                <a:pt x="822028" y="1095642"/>
                <a:pt x="828953" y="1094257"/>
                <a:pt x="834494" y="1092477"/>
              </a:cubicBezTo>
              <a:cubicBezTo>
                <a:pt x="844190" y="1089509"/>
                <a:pt x="849929" y="1084761"/>
                <a:pt x="858042" y="1073484"/>
              </a:cubicBezTo>
              <a:cubicBezTo>
                <a:pt x="861010" y="1069329"/>
                <a:pt x="861406" y="1069329"/>
                <a:pt x="862593" y="1072494"/>
              </a:cubicBezTo>
              <a:cubicBezTo>
                <a:pt x="863384" y="1074275"/>
                <a:pt x="862593" y="1078825"/>
                <a:pt x="860812" y="1082585"/>
              </a:cubicBezTo>
              <a:cubicBezTo>
                <a:pt x="859031" y="1086344"/>
                <a:pt x="857646" y="1092081"/>
                <a:pt x="857646" y="1095642"/>
              </a:cubicBezTo>
              <a:cubicBezTo>
                <a:pt x="857646" y="1101182"/>
                <a:pt x="858042" y="1101776"/>
                <a:pt x="862197" y="1100391"/>
              </a:cubicBezTo>
              <a:cubicBezTo>
                <a:pt x="868727" y="1098412"/>
                <a:pt x="873476" y="1093664"/>
                <a:pt x="873476" y="1088718"/>
              </a:cubicBezTo>
              <a:cubicBezTo>
                <a:pt x="873476" y="1085948"/>
                <a:pt x="876444" y="1082189"/>
                <a:pt x="882183" y="1078232"/>
              </a:cubicBezTo>
              <a:cubicBezTo>
                <a:pt x="891681" y="1071307"/>
                <a:pt x="896430" y="1061613"/>
                <a:pt x="894649" y="1052512"/>
              </a:cubicBezTo>
              <a:cubicBezTo>
                <a:pt x="893858" y="1048159"/>
                <a:pt x="895441" y="1044994"/>
                <a:pt x="902762" y="1036486"/>
              </a:cubicBezTo>
              <a:cubicBezTo>
                <a:pt x="908698" y="1029562"/>
                <a:pt x="912854" y="1022439"/>
                <a:pt x="914239" y="1016702"/>
              </a:cubicBezTo>
              <a:lnTo>
                <a:pt x="916614" y="1007601"/>
              </a:lnTo>
              <a:lnTo>
                <a:pt x="916811" y="1016900"/>
              </a:lnTo>
              <a:cubicBezTo>
                <a:pt x="917009" y="1024616"/>
                <a:pt x="915624" y="1028375"/>
                <a:pt x="909490" y="1038069"/>
              </a:cubicBezTo>
              <a:cubicBezTo>
                <a:pt x="905335" y="1044400"/>
                <a:pt x="900388" y="1054886"/>
                <a:pt x="898409" y="1061217"/>
              </a:cubicBezTo>
              <a:cubicBezTo>
                <a:pt x="896628" y="1067746"/>
                <a:pt x="892868" y="1077441"/>
                <a:pt x="890296" y="1082782"/>
              </a:cubicBezTo>
              <a:cubicBezTo>
                <a:pt x="883370" y="1096829"/>
                <a:pt x="883172" y="1119384"/>
                <a:pt x="889900" y="1126111"/>
              </a:cubicBezTo>
              <a:cubicBezTo>
                <a:pt x="892472" y="1128683"/>
                <a:pt x="895836" y="1131057"/>
                <a:pt x="897419" y="1131650"/>
              </a:cubicBezTo>
              <a:cubicBezTo>
                <a:pt x="899596" y="1132442"/>
                <a:pt x="899200" y="1133827"/>
                <a:pt x="895638" y="1138377"/>
              </a:cubicBezTo>
              <a:cubicBezTo>
                <a:pt x="893264" y="1141543"/>
                <a:pt x="890692" y="1145697"/>
                <a:pt x="889900" y="1147676"/>
              </a:cubicBezTo>
              <a:cubicBezTo>
                <a:pt x="889306" y="1149456"/>
                <a:pt x="887723" y="1151039"/>
                <a:pt x="886536" y="1151039"/>
              </a:cubicBezTo>
              <a:cubicBezTo>
                <a:pt x="883172" y="1151039"/>
                <a:pt x="873476" y="1161525"/>
                <a:pt x="873476" y="1165086"/>
              </a:cubicBezTo>
              <a:cubicBezTo>
                <a:pt x="873476" y="1168252"/>
                <a:pt x="862989" y="1174781"/>
                <a:pt x="857448" y="1174781"/>
              </a:cubicBezTo>
              <a:cubicBezTo>
                <a:pt x="852105" y="1174781"/>
                <a:pt x="849335" y="1185860"/>
                <a:pt x="853095" y="1192983"/>
              </a:cubicBezTo>
              <a:cubicBezTo>
                <a:pt x="855271" y="1197731"/>
                <a:pt x="855271" y="1200303"/>
                <a:pt x="851709" y="1212767"/>
              </a:cubicBezTo>
              <a:cubicBezTo>
                <a:pt x="848148" y="1225627"/>
                <a:pt x="848148" y="1227210"/>
                <a:pt x="850918" y="1230375"/>
              </a:cubicBezTo>
              <a:cubicBezTo>
                <a:pt x="853490" y="1233145"/>
                <a:pt x="853490" y="1234135"/>
                <a:pt x="851314" y="1235519"/>
              </a:cubicBezTo>
              <a:cubicBezTo>
                <a:pt x="846763" y="1238289"/>
                <a:pt x="837264" y="1254315"/>
                <a:pt x="832120" y="1267768"/>
              </a:cubicBezTo>
              <a:cubicBezTo>
                <a:pt x="828360" y="1277858"/>
                <a:pt x="827370" y="1284783"/>
                <a:pt x="826975" y="1299424"/>
              </a:cubicBezTo>
              <a:cubicBezTo>
                <a:pt x="826975" y="1309712"/>
                <a:pt x="825985" y="1320989"/>
                <a:pt x="825194" y="1324550"/>
              </a:cubicBezTo>
              <a:lnTo>
                <a:pt x="823611" y="1330881"/>
              </a:lnTo>
              <a:lnTo>
                <a:pt x="840233" y="1330485"/>
              </a:lnTo>
              <a:cubicBezTo>
                <a:pt x="854480" y="1330090"/>
                <a:pt x="857448" y="1330683"/>
                <a:pt x="861999" y="1334245"/>
              </a:cubicBezTo>
              <a:lnTo>
                <a:pt x="867342" y="1338399"/>
              </a:lnTo>
              <a:lnTo>
                <a:pt x="862593" y="1340576"/>
              </a:lnTo>
              <a:cubicBezTo>
                <a:pt x="859823" y="1341961"/>
                <a:pt x="857646" y="1344137"/>
                <a:pt x="857646" y="1345522"/>
              </a:cubicBezTo>
              <a:cubicBezTo>
                <a:pt x="857646" y="1348094"/>
                <a:pt x="876049" y="1360558"/>
                <a:pt x="883766" y="1363328"/>
              </a:cubicBezTo>
              <a:cubicBezTo>
                <a:pt x="887525" y="1364713"/>
                <a:pt x="894055" y="1376188"/>
                <a:pt x="896232" y="1385487"/>
              </a:cubicBezTo>
              <a:cubicBezTo>
                <a:pt x="897024" y="1389444"/>
                <a:pt x="900981" y="1393994"/>
                <a:pt x="907313" y="1398940"/>
              </a:cubicBezTo>
              <a:cubicBezTo>
                <a:pt x="915228" y="1404876"/>
                <a:pt x="917009" y="1407448"/>
                <a:pt x="917009" y="1412394"/>
              </a:cubicBezTo>
              <a:cubicBezTo>
                <a:pt x="917009" y="1415757"/>
                <a:pt x="918395" y="1422682"/>
                <a:pt x="920175" y="1428024"/>
              </a:cubicBezTo>
              <a:cubicBezTo>
                <a:pt x="922748" y="1435740"/>
                <a:pt x="924331" y="1437916"/>
                <a:pt x="928684" y="1438905"/>
              </a:cubicBezTo>
              <a:cubicBezTo>
                <a:pt x="931454" y="1439499"/>
                <a:pt x="936204" y="1442862"/>
                <a:pt x="938974" y="1446423"/>
              </a:cubicBezTo>
              <a:cubicBezTo>
                <a:pt x="942536" y="1450776"/>
                <a:pt x="947483" y="1453743"/>
                <a:pt x="954804" y="1456118"/>
              </a:cubicBezTo>
              <a:cubicBezTo>
                <a:pt x="973207" y="1461855"/>
                <a:pt x="981518" y="1463636"/>
                <a:pt x="988443" y="1463636"/>
              </a:cubicBezTo>
              <a:cubicBezTo>
                <a:pt x="992203" y="1463636"/>
                <a:pt x="997150" y="1465021"/>
                <a:pt x="999525" y="1466603"/>
              </a:cubicBezTo>
              <a:cubicBezTo>
                <a:pt x="1001899" y="1468186"/>
                <a:pt x="1005065" y="1468978"/>
                <a:pt x="1006648" y="1468384"/>
              </a:cubicBezTo>
              <a:cubicBezTo>
                <a:pt x="1008231" y="1467791"/>
                <a:pt x="1013376" y="1469175"/>
                <a:pt x="1018125" y="1471550"/>
              </a:cubicBezTo>
              <a:cubicBezTo>
                <a:pt x="1024062" y="1474715"/>
                <a:pt x="1028811" y="1475704"/>
                <a:pt x="1033758" y="1474913"/>
              </a:cubicBezTo>
              <a:cubicBezTo>
                <a:pt x="1039694" y="1474122"/>
                <a:pt x="1041871" y="1474913"/>
                <a:pt x="1044839" y="1478276"/>
              </a:cubicBezTo>
              <a:lnTo>
                <a:pt x="1048599" y="1482431"/>
              </a:lnTo>
              <a:lnTo>
                <a:pt x="1049192" y="1478276"/>
              </a:lnTo>
              <a:cubicBezTo>
                <a:pt x="1049588" y="1475902"/>
                <a:pt x="1052160" y="1471747"/>
                <a:pt x="1055129" y="1468978"/>
              </a:cubicBezTo>
              <a:cubicBezTo>
                <a:pt x="1060075" y="1464229"/>
                <a:pt x="1062450" y="1463834"/>
                <a:pt x="1084415" y="1462449"/>
              </a:cubicBezTo>
              <a:cubicBezTo>
                <a:pt x="1104796" y="1461262"/>
                <a:pt x="1108951" y="1461657"/>
                <a:pt x="1113305" y="1464427"/>
              </a:cubicBezTo>
              <a:cubicBezTo>
                <a:pt x="1116471" y="1466406"/>
                <a:pt x="1120231" y="1467197"/>
                <a:pt x="1124188" y="1466406"/>
              </a:cubicBezTo>
              <a:cubicBezTo>
                <a:pt x="1127552" y="1465812"/>
                <a:pt x="1132895" y="1466406"/>
                <a:pt x="1136852" y="1468186"/>
              </a:cubicBezTo>
              <a:cubicBezTo>
                <a:pt x="1141008" y="1469967"/>
                <a:pt x="1145361" y="1470363"/>
                <a:pt x="1147934" y="1469373"/>
              </a:cubicBezTo>
              <a:cubicBezTo>
                <a:pt x="1150308" y="1468582"/>
                <a:pt x="1159410" y="1467395"/>
                <a:pt x="1168117" y="1466999"/>
              </a:cubicBezTo>
              <a:cubicBezTo>
                <a:pt x="1176824" y="1466406"/>
                <a:pt x="1184739" y="1465614"/>
                <a:pt x="1185530" y="1465021"/>
              </a:cubicBezTo>
              <a:cubicBezTo>
                <a:pt x="1186520" y="1464427"/>
                <a:pt x="1193248" y="1466801"/>
                <a:pt x="1200569" y="1470363"/>
              </a:cubicBezTo>
              <a:cubicBezTo>
                <a:pt x="1215806" y="1477881"/>
                <a:pt x="1226689" y="1478276"/>
                <a:pt x="1250435" y="1472143"/>
              </a:cubicBezTo>
              <a:cubicBezTo>
                <a:pt x="1261714" y="1469175"/>
                <a:pt x="1264286" y="1467791"/>
                <a:pt x="1264484" y="1464625"/>
              </a:cubicBezTo>
              <a:cubicBezTo>
                <a:pt x="1264880" y="1450974"/>
                <a:pt x="1271805" y="1439894"/>
                <a:pt x="1279721" y="1439894"/>
              </a:cubicBezTo>
              <a:cubicBezTo>
                <a:pt x="1285459" y="1439894"/>
                <a:pt x="1288625" y="1443258"/>
                <a:pt x="1291989" y="1453150"/>
              </a:cubicBezTo>
              <a:cubicBezTo>
                <a:pt x="1293770" y="1458096"/>
                <a:pt x="1295749" y="1460668"/>
                <a:pt x="1298321" y="1460668"/>
              </a:cubicBezTo>
              <a:cubicBezTo>
                <a:pt x="1300300" y="1460866"/>
                <a:pt x="1303268" y="1461657"/>
                <a:pt x="1304851" y="1462647"/>
              </a:cubicBezTo>
              <a:cubicBezTo>
                <a:pt x="1306434" y="1463636"/>
                <a:pt x="1309996" y="1464229"/>
                <a:pt x="1312568" y="1463834"/>
              </a:cubicBezTo>
              <a:cubicBezTo>
                <a:pt x="1316130" y="1463438"/>
                <a:pt x="1316922" y="1464031"/>
                <a:pt x="1316130" y="1466406"/>
              </a:cubicBezTo>
              <a:cubicBezTo>
                <a:pt x="1314745" y="1469769"/>
                <a:pt x="1320286" y="1472341"/>
                <a:pt x="1324837" y="1470560"/>
              </a:cubicBezTo>
              <a:cubicBezTo>
                <a:pt x="1326420" y="1469967"/>
                <a:pt x="1332752" y="1474913"/>
                <a:pt x="1340271" y="1482431"/>
              </a:cubicBezTo>
              <a:lnTo>
                <a:pt x="1352936" y="1495489"/>
              </a:lnTo>
              <a:lnTo>
                <a:pt x="1351550" y="1510525"/>
              </a:lnTo>
              <a:cubicBezTo>
                <a:pt x="1350957" y="1519626"/>
                <a:pt x="1351155" y="1526551"/>
                <a:pt x="1352342" y="1527936"/>
              </a:cubicBezTo>
              <a:cubicBezTo>
                <a:pt x="1353727" y="1529518"/>
                <a:pt x="1353331" y="1532288"/>
                <a:pt x="1351155" y="1536443"/>
              </a:cubicBezTo>
              <a:cubicBezTo>
                <a:pt x="1348186" y="1542378"/>
                <a:pt x="1348384" y="1542972"/>
                <a:pt x="1353133" y="1549303"/>
              </a:cubicBezTo>
              <a:cubicBezTo>
                <a:pt x="1356299" y="1553260"/>
                <a:pt x="1357685" y="1557415"/>
                <a:pt x="1357091" y="1559789"/>
              </a:cubicBezTo>
              <a:cubicBezTo>
                <a:pt x="1356299" y="1562559"/>
                <a:pt x="1357487" y="1564537"/>
                <a:pt x="1361049" y="1566516"/>
              </a:cubicBezTo>
              <a:cubicBezTo>
                <a:pt x="1365996" y="1569088"/>
                <a:pt x="1367974" y="1572451"/>
                <a:pt x="1364610" y="1572451"/>
              </a:cubicBezTo>
              <a:cubicBezTo>
                <a:pt x="1363621" y="1572451"/>
                <a:pt x="1361246" y="1575617"/>
                <a:pt x="1359070" y="1579376"/>
              </a:cubicBezTo>
              <a:cubicBezTo>
                <a:pt x="1357091" y="1583135"/>
                <a:pt x="1352936" y="1587092"/>
                <a:pt x="1349967" y="1588477"/>
              </a:cubicBezTo>
              <a:cubicBezTo>
                <a:pt x="1340667" y="1592236"/>
                <a:pt x="1339678" y="1595005"/>
                <a:pt x="1344229" y="1603909"/>
              </a:cubicBezTo>
              <a:cubicBezTo>
                <a:pt x="1346603" y="1608261"/>
                <a:pt x="1351155" y="1613801"/>
                <a:pt x="1354321" y="1616373"/>
              </a:cubicBezTo>
              <a:cubicBezTo>
                <a:pt x="1362434" y="1622308"/>
                <a:pt x="1362434" y="1629826"/>
                <a:pt x="1354519" y="1629826"/>
              </a:cubicBezTo>
              <a:cubicBezTo>
                <a:pt x="1340271" y="1629826"/>
                <a:pt x="1339678" y="1637542"/>
                <a:pt x="1353529" y="1643478"/>
              </a:cubicBezTo>
              <a:cubicBezTo>
                <a:pt x="1360851" y="1646841"/>
                <a:pt x="1362236" y="1648226"/>
                <a:pt x="1363225" y="1654953"/>
              </a:cubicBezTo>
              <a:cubicBezTo>
                <a:pt x="1363819" y="1659108"/>
                <a:pt x="1366193" y="1667219"/>
                <a:pt x="1368370" y="1672957"/>
              </a:cubicBezTo>
              <a:cubicBezTo>
                <a:pt x="1372130" y="1683443"/>
                <a:pt x="1372130" y="1683640"/>
                <a:pt x="1368172" y="1690961"/>
              </a:cubicBezTo>
              <a:cubicBezTo>
                <a:pt x="1363027" y="1701249"/>
                <a:pt x="1351353" y="1708173"/>
                <a:pt x="1344031" y="1705404"/>
              </a:cubicBezTo>
              <a:cubicBezTo>
                <a:pt x="1339282" y="1703623"/>
                <a:pt x="1338095" y="1704019"/>
                <a:pt x="1333939" y="1709756"/>
              </a:cubicBezTo>
              <a:cubicBezTo>
                <a:pt x="1326420" y="1719451"/>
                <a:pt x="1324639" y="1724001"/>
                <a:pt x="1324639" y="1732311"/>
              </a:cubicBezTo>
              <a:cubicBezTo>
                <a:pt x="1324639" y="1738246"/>
                <a:pt x="1325826" y="1740818"/>
                <a:pt x="1329190" y="1743192"/>
              </a:cubicBezTo>
              <a:cubicBezTo>
                <a:pt x="1335918" y="1747940"/>
                <a:pt x="1331367" y="1750710"/>
                <a:pt x="1311183" y="1753876"/>
              </a:cubicBezTo>
              <a:cubicBezTo>
                <a:pt x="1300300" y="1755459"/>
                <a:pt x="1289417" y="1758822"/>
                <a:pt x="1282887" y="1762185"/>
              </a:cubicBezTo>
              <a:cubicBezTo>
                <a:pt x="1272795" y="1767329"/>
                <a:pt x="1272003" y="1768319"/>
                <a:pt x="1268244" y="1779596"/>
              </a:cubicBezTo>
              <a:cubicBezTo>
                <a:pt x="1265078" y="1789092"/>
                <a:pt x="1262109" y="1793445"/>
                <a:pt x="1254194" y="1800765"/>
              </a:cubicBezTo>
              <a:cubicBezTo>
                <a:pt x="1248456" y="1805711"/>
                <a:pt x="1242124" y="1813625"/>
                <a:pt x="1239947" y="1818176"/>
              </a:cubicBezTo>
              <a:cubicBezTo>
                <a:pt x="1237770" y="1822924"/>
                <a:pt x="1232428" y="1831431"/>
                <a:pt x="1228074" y="1836971"/>
              </a:cubicBezTo>
              <a:cubicBezTo>
                <a:pt x="1220555" y="1847061"/>
                <a:pt x="1220357" y="1847655"/>
                <a:pt x="1222138" y="1857745"/>
              </a:cubicBezTo>
              <a:cubicBezTo>
                <a:pt x="1223127" y="1864274"/>
                <a:pt x="1222929" y="1878321"/>
                <a:pt x="1221544" y="1894544"/>
              </a:cubicBezTo>
              <a:lnTo>
                <a:pt x="1219368" y="1920858"/>
              </a:lnTo>
              <a:lnTo>
                <a:pt x="1225700" y="1932926"/>
              </a:lnTo>
              <a:cubicBezTo>
                <a:pt x="1232032" y="1944797"/>
                <a:pt x="1232230" y="1945391"/>
                <a:pt x="1231042" y="1964384"/>
              </a:cubicBezTo>
              <a:cubicBezTo>
                <a:pt x="1228866" y="1999798"/>
                <a:pt x="1223919" y="2007910"/>
                <a:pt x="1195029" y="2023540"/>
              </a:cubicBezTo>
              <a:cubicBezTo>
                <a:pt x="1175834" y="2033828"/>
                <a:pt x="1170294" y="2039170"/>
                <a:pt x="1162577" y="2054799"/>
              </a:cubicBezTo>
              <a:cubicBezTo>
                <a:pt x="1159608" y="2060339"/>
                <a:pt x="1156047" y="2064296"/>
                <a:pt x="1151100" y="2066670"/>
              </a:cubicBezTo>
              <a:cubicBezTo>
                <a:pt x="1145163" y="2069440"/>
                <a:pt x="1142393" y="2072803"/>
                <a:pt x="1137050" y="2083883"/>
              </a:cubicBezTo>
              <a:cubicBezTo>
                <a:pt x="1133488" y="2091401"/>
                <a:pt x="1127552" y="2101095"/>
                <a:pt x="1124188" y="2105250"/>
              </a:cubicBezTo>
              <a:cubicBezTo>
                <a:pt x="1120626" y="2109603"/>
                <a:pt x="1113898" y="2120682"/>
                <a:pt x="1108951" y="2130179"/>
              </a:cubicBezTo>
              <a:cubicBezTo>
                <a:pt x="1100245" y="2146798"/>
                <a:pt x="1099849" y="2147194"/>
                <a:pt x="1092330" y="2147787"/>
              </a:cubicBezTo>
              <a:cubicBezTo>
                <a:pt x="1086789" y="2148381"/>
                <a:pt x="1083623" y="2147391"/>
                <a:pt x="1080457" y="2144424"/>
              </a:cubicBezTo>
              <a:lnTo>
                <a:pt x="1076104" y="2140269"/>
              </a:lnTo>
              <a:lnTo>
                <a:pt x="1071552" y="2145017"/>
              </a:lnTo>
              <a:cubicBezTo>
                <a:pt x="1068980" y="2147589"/>
                <a:pt x="1063835" y="2150359"/>
                <a:pt x="1059878" y="2151150"/>
              </a:cubicBezTo>
              <a:cubicBezTo>
                <a:pt x="1055920" y="2151942"/>
                <a:pt x="1045432" y="2156097"/>
                <a:pt x="1036726" y="2160647"/>
              </a:cubicBezTo>
              <a:cubicBezTo>
                <a:pt x="1024655" y="2166978"/>
                <a:pt x="1016938" y="2169352"/>
                <a:pt x="1004076" y="2171133"/>
              </a:cubicBezTo>
              <a:lnTo>
                <a:pt x="987256" y="2173507"/>
              </a:lnTo>
              <a:lnTo>
                <a:pt x="980924" y="2166385"/>
              </a:lnTo>
              <a:cubicBezTo>
                <a:pt x="973603" y="2157877"/>
                <a:pt x="973009" y="2154910"/>
                <a:pt x="977956" y="2149568"/>
              </a:cubicBezTo>
              <a:cubicBezTo>
                <a:pt x="979737" y="2147391"/>
                <a:pt x="980528" y="2145215"/>
                <a:pt x="979341" y="2144819"/>
              </a:cubicBezTo>
              <a:cubicBezTo>
                <a:pt x="968656" y="2140467"/>
                <a:pt x="959355" y="2134531"/>
                <a:pt x="958564" y="2131366"/>
              </a:cubicBezTo>
              <a:cubicBezTo>
                <a:pt x="957970" y="2129190"/>
                <a:pt x="955200" y="2124046"/>
                <a:pt x="952034" y="2120287"/>
              </a:cubicBezTo>
              <a:cubicBezTo>
                <a:pt x="948472" y="2115538"/>
                <a:pt x="946691" y="2110790"/>
                <a:pt x="946691" y="2106042"/>
              </a:cubicBezTo>
              <a:cubicBezTo>
                <a:pt x="946691" y="2101491"/>
                <a:pt x="945108" y="2097138"/>
                <a:pt x="941942" y="2093577"/>
              </a:cubicBezTo>
              <a:cubicBezTo>
                <a:pt x="937589" y="2088433"/>
                <a:pt x="936995" y="2088235"/>
                <a:pt x="931059" y="2090610"/>
              </a:cubicBezTo>
              <a:cubicBezTo>
                <a:pt x="922748" y="2094171"/>
                <a:pt x="909490" y="2090412"/>
                <a:pt x="901773" y="2082498"/>
              </a:cubicBezTo>
              <a:cubicBezTo>
                <a:pt x="898805" y="2079332"/>
                <a:pt x="892670" y="2075178"/>
                <a:pt x="888119" y="2073199"/>
              </a:cubicBezTo>
              <a:cubicBezTo>
                <a:pt x="880798" y="2069836"/>
                <a:pt x="880006" y="2069044"/>
                <a:pt x="880995" y="2063307"/>
              </a:cubicBezTo>
              <a:cubicBezTo>
                <a:pt x="881589" y="2058361"/>
                <a:pt x="881193" y="2057371"/>
                <a:pt x="878819" y="2058361"/>
              </a:cubicBezTo>
              <a:cubicBezTo>
                <a:pt x="877038" y="2058954"/>
                <a:pt x="875257" y="2060735"/>
                <a:pt x="874663" y="2062318"/>
              </a:cubicBezTo>
              <a:cubicBezTo>
                <a:pt x="874070" y="2063900"/>
                <a:pt x="871695" y="2065087"/>
                <a:pt x="869519" y="2065087"/>
              </a:cubicBezTo>
              <a:cubicBezTo>
                <a:pt x="864967" y="2065087"/>
                <a:pt x="864572" y="2067462"/>
                <a:pt x="867936" y="2073001"/>
              </a:cubicBezTo>
              <a:cubicBezTo>
                <a:pt x="869716" y="2075573"/>
                <a:pt x="869716" y="2078343"/>
                <a:pt x="868331" y="2082300"/>
              </a:cubicBezTo>
              <a:cubicBezTo>
                <a:pt x="866550" y="2087444"/>
                <a:pt x="865363" y="2088038"/>
                <a:pt x="852699" y="2089422"/>
              </a:cubicBezTo>
              <a:cubicBezTo>
                <a:pt x="841222" y="2090610"/>
                <a:pt x="837858" y="2091797"/>
                <a:pt x="832911" y="2096743"/>
              </a:cubicBezTo>
              <a:cubicBezTo>
                <a:pt x="828756" y="2100700"/>
                <a:pt x="824798" y="2102678"/>
                <a:pt x="820643" y="2102678"/>
              </a:cubicBezTo>
              <a:cubicBezTo>
                <a:pt x="815498" y="2102678"/>
                <a:pt x="812925" y="2104657"/>
                <a:pt x="804021" y="2115538"/>
              </a:cubicBezTo>
              <a:cubicBezTo>
                <a:pt x="796304" y="2125035"/>
                <a:pt x="792148" y="2128596"/>
                <a:pt x="787201" y="2129585"/>
              </a:cubicBezTo>
              <a:cubicBezTo>
                <a:pt x="777901" y="2131366"/>
                <a:pt x="773943" y="2129981"/>
                <a:pt x="772360" y="2124441"/>
              </a:cubicBezTo>
              <a:cubicBezTo>
                <a:pt x="770975" y="2119099"/>
                <a:pt x="752177" y="2098721"/>
                <a:pt x="748813" y="2098721"/>
              </a:cubicBezTo>
              <a:cubicBezTo>
                <a:pt x="747625" y="2098721"/>
                <a:pt x="744459" y="2100106"/>
                <a:pt x="741689" y="2101887"/>
              </a:cubicBezTo>
              <a:cubicBezTo>
                <a:pt x="734368" y="2106833"/>
                <a:pt x="728431" y="2103272"/>
                <a:pt x="725265" y="2092588"/>
              </a:cubicBezTo>
              <a:cubicBezTo>
                <a:pt x="721901" y="2081311"/>
                <a:pt x="717944" y="2076958"/>
                <a:pt x="711018" y="2076958"/>
              </a:cubicBezTo>
              <a:cubicBezTo>
                <a:pt x="705675" y="2076958"/>
                <a:pt x="699145" y="2072012"/>
                <a:pt x="695188" y="2064692"/>
              </a:cubicBezTo>
              <a:cubicBezTo>
                <a:pt x="694000" y="2062318"/>
                <a:pt x="694000" y="2061131"/>
                <a:pt x="695386" y="2061131"/>
              </a:cubicBezTo>
              <a:cubicBezTo>
                <a:pt x="698749" y="2061131"/>
                <a:pt x="697562" y="2057174"/>
                <a:pt x="694000" y="2055789"/>
              </a:cubicBezTo>
              <a:cubicBezTo>
                <a:pt x="692022" y="2055195"/>
                <a:pt x="688856" y="2053019"/>
                <a:pt x="686877" y="2050843"/>
              </a:cubicBezTo>
              <a:cubicBezTo>
                <a:pt x="684700" y="2048666"/>
                <a:pt x="680545" y="2047281"/>
                <a:pt x="675796" y="2047281"/>
              </a:cubicBezTo>
              <a:cubicBezTo>
                <a:pt x="670849" y="2047281"/>
                <a:pt x="667683" y="2046292"/>
                <a:pt x="666891" y="2044314"/>
              </a:cubicBezTo>
              <a:cubicBezTo>
                <a:pt x="666297" y="2042731"/>
                <a:pt x="663131" y="2039763"/>
                <a:pt x="659570" y="2037587"/>
              </a:cubicBezTo>
              <a:cubicBezTo>
                <a:pt x="656206" y="2035608"/>
                <a:pt x="650665" y="2029871"/>
                <a:pt x="647103" y="2025123"/>
              </a:cubicBezTo>
              <a:cubicBezTo>
                <a:pt x="643739" y="2020374"/>
                <a:pt x="638990" y="2014439"/>
                <a:pt x="636616" y="2012065"/>
              </a:cubicBezTo>
              <a:cubicBezTo>
                <a:pt x="634043" y="2009691"/>
                <a:pt x="632064" y="2006129"/>
                <a:pt x="632064" y="2004151"/>
              </a:cubicBezTo>
              <a:cubicBezTo>
                <a:pt x="632064" y="1997622"/>
                <a:pt x="629888" y="1998018"/>
                <a:pt x="617619" y="2006921"/>
              </a:cubicBezTo>
              <a:cubicBezTo>
                <a:pt x="610891" y="2011669"/>
                <a:pt x="603966" y="2015626"/>
                <a:pt x="601987" y="2015626"/>
              </a:cubicBezTo>
              <a:cubicBezTo>
                <a:pt x="597040" y="2015626"/>
                <a:pt x="595853" y="2019781"/>
                <a:pt x="598623" y="2026705"/>
              </a:cubicBezTo>
              <a:cubicBezTo>
                <a:pt x="599810" y="2029871"/>
                <a:pt x="601195" y="2039565"/>
                <a:pt x="601591" y="2048271"/>
              </a:cubicBezTo>
              <a:cubicBezTo>
                <a:pt x="601789" y="2056976"/>
                <a:pt x="602976" y="2064296"/>
                <a:pt x="604164" y="2064692"/>
              </a:cubicBezTo>
              <a:cubicBezTo>
                <a:pt x="605351" y="2065087"/>
                <a:pt x="606340" y="2067462"/>
                <a:pt x="606340" y="2070034"/>
              </a:cubicBezTo>
              <a:cubicBezTo>
                <a:pt x="606340" y="2073199"/>
                <a:pt x="608517" y="2075771"/>
                <a:pt x="613068" y="2078541"/>
              </a:cubicBezTo>
              <a:cubicBezTo>
                <a:pt x="618213" y="2081509"/>
                <a:pt x="620390" y="2084476"/>
                <a:pt x="621379" y="2089620"/>
              </a:cubicBezTo>
              <a:cubicBezTo>
                <a:pt x="621973" y="2093577"/>
                <a:pt x="623754" y="2096743"/>
                <a:pt x="625337" y="2096743"/>
              </a:cubicBezTo>
              <a:cubicBezTo>
                <a:pt x="629690" y="2096743"/>
                <a:pt x="631669" y="2102678"/>
                <a:pt x="629690" y="2110592"/>
              </a:cubicBezTo>
              <a:cubicBezTo>
                <a:pt x="628107" y="2116330"/>
                <a:pt x="628503" y="2119297"/>
                <a:pt x="630877" y="2124243"/>
              </a:cubicBezTo>
              <a:cubicBezTo>
                <a:pt x="633845" y="2129981"/>
                <a:pt x="633845" y="2130575"/>
                <a:pt x="630086" y="2134334"/>
              </a:cubicBezTo>
              <a:cubicBezTo>
                <a:pt x="625337" y="2139082"/>
                <a:pt x="624941" y="2145809"/>
                <a:pt x="629096" y="2147391"/>
              </a:cubicBezTo>
              <a:cubicBezTo>
                <a:pt x="634241" y="2149370"/>
                <a:pt x="632460" y="2152140"/>
                <a:pt x="623160" y="2156294"/>
              </a:cubicBezTo>
              <a:cubicBezTo>
                <a:pt x="613068" y="2160647"/>
                <a:pt x="609704" y="2167770"/>
                <a:pt x="614849" y="2173507"/>
              </a:cubicBezTo>
              <a:cubicBezTo>
                <a:pt x="616432" y="2175288"/>
                <a:pt x="618411" y="2178849"/>
                <a:pt x="619004" y="2181223"/>
              </a:cubicBezTo>
              <a:cubicBezTo>
                <a:pt x="619796" y="2183399"/>
                <a:pt x="622566" y="2186763"/>
                <a:pt x="625139" y="2188543"/>
              </a:cubicBezTo>
              <a:cubicBezTo>
                <a:pt x="627909" y="2190324"/>
                <a:pt x="630086" y="2193094"/>
                <a:pt x="630086" y="2194677"/>
              </a:cubicBezTo>
              <a:cubicBezTo>
                <a:pt x="630086" y="2196259"/>
                <a:pt x="633647" y="2199821"/>
                <a:pt x="638001" y="2202590"/>
              </a:cubicBezTo>
              <a:cubicBezTo>
                <a:pt x="646905" y="2208130"/>
                <a:pt x="646905" y="2208526"/>
                <a:pt x="643146" y="2218814"/>
              </a:cubicBezTo>
              <a:cubicBezTo>
                <a:pt x="638397" y="2231674"/>
                <a:pt x="637803" y="2236620"/>
                <a:pt x="640969" y="2239192"/>
              </a:cubicBezTo>
              <a:cubicBezTo>
                <a:pt x="642750" y="2240775"/>
                <a:pt x="643541" y="2243347"/>
                <a:pt x="642750" y="2245523"/>
              </a:cubicBezTo>
              <a:cubicBezTo>
                <a:pt x="642156" y="2247897"/>
                <a:pt x="642948" y="2250865"/>
                <a:pt x="644927" y="2253041"/>
              </a:cubicBezTo>
              <a:cubicBezTo>
                <a:pt x="646707" y="2255020"/>
                <a:pt x="648884" y="2259174"/>
                <a:pt x="649676" y="2262142"/>
              </a:cubicBezTo>
              <a:cubicBezTo>
                <a:pt x="650665" y="2265308"/>
                <a:pt x="652248" y="2267682"/>
                <a:pt x="653435" y="2267484"/>
              </a:cubicBezTo>
              <a:cubicBezTo>
                <a:pt x="654623" y="2267088"/>
                <a:pt x="656601" y="2268671"/>
                <a:pt x="657789" y="2271045"/>
              </a:cubicBezTo>
              <a:cubicBezTo>
                <a:pt x="659767" y="2274409"/>
                <a:pt x="658976" y="2276189"/>
                <a:pt x="653040" y="2282718"/>
              </a:cubicBezTo>
              <a:cubicBezTo>
                <a:pt x="649280" y="2286873"/>
                <a:pt x="645718" y="2293402"/>
                <a:pt x="645124" y="2296963"/>
              </a:cubicBezTo>
              <a:cubicBezTo>
                <a:pt x="640573" y="2324266"/>
                <a:pt x="639386" y="2329608"/>
                <a:pt x="636616" y="2332773"/>
              </a:cubicBezTo>
              <a:cubicBezTo>
                <a:pt x="633845" y="2335543"/>
                <a:pt x="633845" y="2337324"/>
                <a:pt x="635824" y="2344050"/>
              </a:cubicBezTo>
              <a:cubicBezTo>
                <a:pt x="637605" y="2350183"/>
                <a:pt x="638990" y="2351766"/>
                <a:pt x="642354" y="2351371"/>
              </a:cubicBezTo>
              <a:cubicBezTo>
                <a:pt x="650863" y="2350579"/>
                <a:pt x="652248" y="2369375"/>
                <a:pt x="643937" y="2373727"/>
              </a:cubicBezTo>
              <a:cubicBezTo>
                <a:pt x="640969" y="2375310"/>
                <a:pt x="638594" y="2375112"/>
                <a:pt x="634241" y="2372738"/>
              </a:cubicBezTo>
              <a:cubicBezTo>
                <a:pt x="626326" y="2368781"/>
                <a:pt x="619796" y="2368979"/>
                <a:pt x="613662" y="2373727"/>
              </a:cubicBezTo>
              <a:cubicBezTo>
                <a:pt x="609902" y="2376695"/>
                <a:pt x="605747" y="2377684"/>
                <a:pt x="596842" y="2377684"/>
              </a:cubicBezTo>
              <a:lnTo>
                <a:pt x="584969" y="2377684"/>
              </a:lnTo>
              <a:lnTo>
                <a:pt x="574680" y="2365813"/>
              </a:lnTo>
              <a:cubicBezTo>
                <a:pt x="563994" y="2353349"/>
                <a:pt x="561026" y="2351964"/>
                <a:pt x="556871" y="2356910"/>
              </a:cubicBezTo>
              <a:cubicBezTo>
                <a:pt x="555485" y="2358493"/>
                <a:pt x="550934" y="2360867"/>
                <a:pt x="546779" y="2362252"/>
              </a:cubicBezTo>
              <a:cubicBezTo>
                <a:pt x="540249" y="2364033"/>
                <a:pt x="538468" y="2364033"/>
                <a:pt x="535500" y="2361263"/>
              </a:cubicBezTo>
              <a:cubicBezTo>
                <a:pt x="533521" y="2359284"/>
                <a:pt x="530157" y="2357899"/>
                <a:pt x="527980" y="2357899"/>
              </a:cubicBezTo>
              <a:cubicBezTo>
                <a:pt x="522440" y="2357899"/>
                <a:pt x="515316" y="2363439"/>
                <a:pt x="515316" y="2367792"/>
              </a:cubicBezTo>
              <a:cubicBezTo>
                <a:pt x="515316" y="2369770"/>
                <a:pt x="513535" y="2374716"/>
                <a:pt x="511161" y="2378673"/>
              </a:cubicBezTo>
              <a:cubicBezTo>
                <a:pt x="508786" y="2382432"/>
                <a:pt x="507599" y="2387181"/>
                <a:pt x="508193" y="2388763"/>
              </a:cubicBezTo>
              <a:cubicBezTo>
                <a:pt x="508984" y="2390544"/>
                <a:pt x="507995" y="2394105"/>
                <a:pt x="506412" y="2396677"/>
              </a:cubicBezTo>
              <a:cubicBezTo>
                <a:pt x="503641" y="2401030"/>
                <a:pt x="503641" y="2402019"/>
                <a:pt x="506610" y="2407757"/>
              </a:cubicBezTo>
              <a:cubicBezTo>
                <a:pt x="508390" y="2411318"/>
                <a:pt x="512348" y="2416462"/>
                <a:pt x="515316" y="2419232"/>
              </a:cubicBezTo>
              <a:cubicBezTo>
                <a:pt x="521253" y="2424771"/>
                <a:pt x="525210" y="2435851"/>
                <a:pt x="525210" y="2447128"/>
              </a:cubicBezTo>
              <a:cubicBezTo>
                <a:pt x="525210" y="2450887"/>
                <a:pt x="526595" y="2455833"/>
                <a:pt x="528178" y="2458010"/>
              </a:cubicBezTo>
              <a:cubicBezTo>
                <a:pt x="534313" y="2466121"/>
                <a:pt x="530553" y="2479179"/>
                <a:pt x="524023" y="2472650"/>
              </a:cubicBezTo>
              <a:cubicBezTo>
                <a:pt x="521450" y="2470078"/>
                <a:pt x="512744" y="2476607"/>
                <a:pt x="508588" y="2484125"/>
              </a:cubicBezTo>
              <a:cubicBezTo>
                <a:pt x="502454" y="2495205"/>
                <a:pt x="499684" y="2501536"/>
                <a:pt x="498694" y="2506680"/>
              </a:cubicBezTo>
              <a:cubicBezTo>
                <a:pt x="496320" y="2517957"/>
                <a:pt x="475543" y="2515187"/>
                <a:pt x="472574" y="2503316"/>
              </a:cubicBezTo>
              <a:cubicBezTo>
                <a:pt x="471783" y="2500151"/>
                <a:pt x="470002" y="2498370"/>
                <a:pt x="467430" y="2498370"/>
              </a:cubicBezTo>
              <a:cubicBezTo>
                <a:pt x="464461" y="2498370"/>
                <a:pt x="463670" y="2497183"/>
                <a:pt x="464264" y="2493028"/>
              </a:cubicBezTo>
              <a:cubicBezTo>
                <a:pt x="464857" y="2488280"/>
                <a:pt x="464066" y="2487489"/>
                <a:pt x="459514" y="2486895"/>
              </a:cubicBezTo>
              <a:cubicBezTo>
                <a:pt x="454765" y="2486302"/>
                <a:pt x="453974" y="2487291"/>
                <a:pt x="451006" y="2496787"/>
              </a:cubicBezTo>
              <a:cubicBezTo>
                <a:pt x="449225" y="2502525"/>
                <a:pt x="444871" y="2511230"/>
                <a:pt x="441310" y="2516176"/>
              </a:cubicBezTo>
              <a:cubicBezTo>
                <a:pt x="435175" y="2524684"/>
                <a:pt x="434384" y="2525079"/>
                <a:pt x="424688" y="2525079"/>
              </a:cubicBezTo>
              <a:lnTo>
                <a:pt x="414596" y="2525079"/>
              </a:lnTo>
              <a:lnTo>
                <a:pt x="410243" y="2513406"/>
              </a:lnTo>
              <a:close/>
            </a:path>
          </a:pathLst>
        </a:custGeom>
        <a:noFill/>
        <a:ln w="1270" cap="flat">
          <a:solidFill>
            <a:schemeClr val="bg1"/>
          </a:solidFill>
          <a:prstDash val="solid"/>
          <a:miter/>
        </a:ln>
      </xdr:spPr>
      <xdr:txBody>
        <a:bodyPr rtlCol="0" anchor="ctr"/>
        <a:lstStyle/>
        <a:p>
          <a:endParaRPr lang="en-US"/>
        </a:p>
      </xdr:txBody>
    </xdr:sp>
    <xdr:clientData/>
  </xdr:twoCellAnchor>
  <xdr:twoCellAnchor>
    <xdr:from>
      <xdr:col>16</xdr:col>
      <xdr:colOff>396664</xdr:colOff>
      <xdr:row>9</xdr:row>
      <xdr:rowOff>34363</xdr:rowOff>
    </xdr:from>
    <xdr:to>
      <xdr:col>18</xdr:col>
      <xdr:colOff>202920</xdr:colOff>
      <xdr:row>10</xdr:row>
      <xdr:rowOff>86290</xdr:rowOff>
    </xdr:to>
    <xdr:sp macro="" textlink="">
      <xdr:nvSpPr>
        <xdr:cNvPr id="73" name="sadao, thailand">
          <a:extLst>
            <a:ext uri="{FF2B5EF4-FFF2-40B4-BE49-F238E27FC236}">
              <a16:creationId xmlns:a16="http://schemas.microsoft.com/office/drawing/2014/main" id="{84AF8CCD-1213-4F2B-BA3B-982D2F097C76}"/>
            </a:ext>
          </a:extLst>
        </xdr:cNvPr>
        <xdr:cNvSpPr txBox="1"/>
      </xdr:nvSpPr>
      <xdr:spPr>
        <a:xfrm>
          <a:off x="11333605" y="1849716"/>
          <a:ext cx="1173374" cy="253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solidFill>
                <a:schemeClr val="bg1"/>
              </a:solidFill>
              <a:latin typeface="Bahnschrift SemiBold" panose="020B0502040204020203" pitchFamily="34" charset="0"/>
            </a:rPr>
            <a:t>Sadao, Thailand</a:t>
          </a:r>
        </a:p>
      </xdr:txBody>
    </xdr:sp>
    <xdr:clientData/>
  </xdr:twoCellAnchor>
  <xdr:twoCellAnchor>
    <xdr:from>
      <xdr:col>16</xdr:col>
      <xdr:colOff>494893</xdr:colOff>
      <xdr:row>8</xdr:row>
      <xdr:rowOff>70076</xdr:rowOff>
    </xdr:from>
    <xdr:to>
      <xdr:col>17</xdr:col>
      <xdr:colOff>76888</xdr:colOff>
      <xdr:row>9</xdr:row>
      <xdr:rowOff>51136</xdr:rowOff>
    </xdr:to>
    <xdr:pic>
      <xdr:nvPicPr>
        <xdr:cNvPr id="75" name="flag">
          <a:extLst>
            <a:ext uri="{FF2B5EF4-FFF2-40B4-BE49-F238E27FC236}">
              <a16:creationId xmlns:a16="http://schemas.microsoft.com/office/drawing/2014/main" id="{DB47718D-EBF8-4EB3-94B3-CD514DB05717}"/>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837473B0-CC2E-450A-ABE3-18F120FF3D39}">
              <a1611:picAttrSrcUrl xmlns:a1611="http://schemas.microsoft.com/office/drawing/2016/11/main" r:id="rId23"/>
            </a:ext>
          </a:extLst>
        </a:blip>
        <a:stretch>
          <a:fillRect/>
        </a:stretch>
      </xdr:blipFill>
      <xdr:spPr>
        <a:xfrm>
          <a:off x="11431834" y="1683723"/>
          <a:ext cx="265554" cy="182766"/>
        </a:xfrm>
        <a:prstGeom prst="rect">
          <a:avLst/>
        </a:prstGeom>
      </xdr:spPr>
    </xdr:pic>
    <xdr:clientData/>
  </xdr:twoCellAnchor>
  <xdr:twoCellAnchor>
    <xdr:from>
      <xdr:col>18</xdr:col>
      <xdr:colOff>242259</xdr:colOff>
      <xdr:row>10</xdr:row>
      <xdr:rowOff>62359</xdr:rowOff>
    </xdr:from>
    <xdr:to>
      <xdr:col>18</xdr:col>
      <xdr:colOff>312654</xdr:colOff>
      <xdr:row>10</xdr:row>
      <xdr:rowOff>132698</xdr:rowOff>
    </xdr:to>
    <xdr:sp macro="" textlink="">
      <xdr:nvSpPr>
        <xdr:cNvPr id="72" name="point on map">
          <a:extLst>
            <a:ext uri="{FF2B5EF4-FFF2-40B4-BE49-F238E27FC236}">
              <a16:creationId xmlns:a16="http://schemas.microsoft.com/office/drawing/2014/main" id="{E0026574-9CC3-402E-97D0-45AF430F40AD}"/>
            </a:ext>
          </a:extLst>
        </xdr:cNvPr>
        <xdr:cNvSpPr/>
      </xdr:nvSpPr>
      <xdr:spPr>
        <a:xfrm>
          <a:off x="12546318" y="2079418"/>
          <a:ext cx="70395" cy="70339"/>
        </a:xfrm>
        <a:prstGeom prst="flowChartConnector">
          <a:avLst/>
        </a:prstGeom>
        <a:solidFill>
          <a:srgbClr val="ECCD5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501474</xdr:colOff>
      <xdr:row>0</xdr:row>
      <xdr:rowOff>145268</xdr:rowOff>
    </xdr:from>
    <xdr:to>
      <xdr:col>23</xdr:col>
      <xdr:colOff>28227</xdr:colOff>
      <xdr:row>42</xdr:row>
      <xdr:rowOff>182033</xdr:rowOff>
    </xdr:to>
    <xdr:grpSp>
      <xdr:nvGrpSpPr>
        <xdr:cNvPr id="19" name="right pane">
          <a:extLst>
            <a:ext uri="{FF2B5EF4-FFF2-40B4-BE49-F238E27FC236}">
              <a16:creationId xmlns:a16="http://schemas.microsoft.com/office/drawing/2014/main" id="{1C45C88A-1B1F-41F3-A652-64D0FB3CFF7F}"/>
            </a:ext>
          </a:extLst>
        </xdr:cNvPr>
        <xdr:cNvGrpSpPr/>
      </xdr:nvGrpSpPr>
      <xdr:grpSpPr>
        <a:xfrm>
          <a:off x="13489092" y="145268"/>
          <a:ext cx="2260988" cy="8508412"/>
          <a:chOff x="13489092" y="145268"/>
          <a:chExt cx="2260988" cy="8508412"/>
        </a:xfrm>
      </xdr:grpSpPr>
      <xdr:sp macro="" textlink="">
        <xdr:nvSpPr>
          <xdr:cNvPr id="37" name="Rectangle: Rounded Corners 36">
            <a:extLst>
              <a:ext uri="{FF2B5EF4-FFF2-40B4-BE49-F238E27FC236}">
                <a16:creationId xmlns:a16="http://schemas.microsoft.com/office/drawing/2014/main" id="{3A847C8D-3393-4F08-8E5D-8D8FB2732DF6}"/>
              </a:ext>
            </a:extLst>
          </xdr:cNvPr>
          <xdr:cNvSpPr/>
        </xdr:nvSpPr>
        <xdr:spPr>
          <a:xfrm>
            <a:off x="13741681" y="145268"/>
            <a:ext cx="1881666" cy="1833659"/>
          </a:xfrm>
          <a:prstGeom prst="roundRect">
            <a:avLst>
              <a:gd name="adj" fmla="val 24526"/>
            </a:avLst>
          </a:prstGeom>
          <a:solidFill>
            <a:srgbClr val="FAF4D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a:extLst>
              <a:ext uri="{FF2B5EF4-FFF2-40B4-BE49-F238E27FC236}">
                <a16:creationId xmlns:a16="http://schemas.microsoft.com/office/drawing/2014/main" id="{753C137D-818E-49BB-AB77-0A47621A71C4}"/>
              </a:ext>
            </a:extLst>
          </xdr:cNvPr>
          <xdr:cNvSpPr txBox="1"/>
        </xdr:nvSpPr>
        <xdr:spPr>
          <a:xfrm>
            <a:off x="13842170" y="409256"/>
            <a:ext cx="998237" cy="25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rgbClr val="48515F"/>
                </a:solidFill>
                <a:latin typeface="Bahnschrift SemiBold" panose="020B0502040204020203" pitchFamily="34" charset="0"/>
              </a:rPr>
              <a:t>Total Trips</a:t>
            </a:r>
          </a:p>
        </xdr:txBody>
      </xdr:sp>
      <xdr:sp macro="" textlink="">
        <xdr:nvSpPr>
          <xdr:cNvPr id="40" name="TextBox 39">
            <a:extLst>
              <a:ext uri="{FF2B5EF4-FFF2-40B4-BE49-F238E27FC236}">
                <a16:creationId xmlns:a16="http://schemas.microsoft.com/office/drawing/2014/main" id="{9AFE13BD-2AE1-478F-A879-6D371776D72C}"/>
              </a:ext>
            </a:extLst>
          </xdr:cNvPr>
          <xdr:cNvSpPr txBox="1"/>
        </xdr:nvSpPr>
        <xdr:spPr>
          <a:xfrm>
            <a:off x="14569686" y="473479"/>
            <a:ext cx="998238" cy="251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latin typeface="Bahnschrift" panose="020B0502040204020203" pitchFamily="34" charset="0"/>
              </a:rPr>
              <a:t>24</a:t>
            </a:r>
          </a:p>
        </xdr:txBody>
      </xdr:sp>
      <xdr:sp macro="" textlink="">
        <xdr:nvSpPr>
          <xdr:cNvPr id="41" name="TextBox 40">
            <a:extLst>
              <a:ext uri="{FF2B5EF4-FFF2-40B4-BE49-F238E27FC236}">
                <a16:creationId xmlns:a16="http://schemas.microsoft.com/office/drawing/2014/main" id="{0D3E7DDB-99AA-4693-BC8F-A4634AFE2820}"/>
              </a:ext>
            </a:extLst>
          </xdr:cNvPr>
          <xdr:cNvSpPr txBox="1"/>
        </xdr:nvSpPr>
        <xdr:spPr>
          <a:xfrm>
            <a:off x="13674751" y="1227358"/>
            <a:ext cx="1487492" cy="730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solidFill>
                  <a:srgbClr val="48515F"/>
                </a:solidFill>
                <a:latin typeface="Bahnschrift SemiBold" panose="020B0502040204020203" pitchFamily="34" charset="0"/>
              </a:rPr>
              <a:t>Hired</a:t>
            </a:r>
          </a:p>
          <a:p>
            <a:pPr algn="ctr"/>
            <a:r>
              <a:rPr lang="en-US" sz="1000">
                <a:solidFill>
                  <a:srgbClr val="48515F"/>
                </a:solidFill>
                <a:latin typeface="Bahnschrift SemiBold" panose="020B0502040204020203" pitchFamily="34" charset="0"/>
              </a:rPr>
              <a:t>Transportation</a:t>
            </a:r>
          </a:p>
          <a:p>
            <a:pPr algn="ctr"/>
            <a:r>
              <a:rPr lang="en-US" sz="1000">
                <a:solidFill>
                  <a:srgbClr val="48515F"/>
                </a:solidFill>
                <a:latin typeface="Bahnschrift SemiBold" panose="020B0502040204020203" pitchFamily="34" charset="0"/>
              </a:rPr>
              <a:t>Trips</a:t>
            </a:r>
          </a:p>
        </xdr:txBody>
      </xdr:sp>
      <xdr:sp macro="" textlink="'Pivot Tables'!H6">
        <xdr:nvSpPr>
          <xdr:cNvPr id="42" name="TextBox 41">
            <a:extLst>
              <a:ext uri="{FF2B5EF4-FFF2-40B4-BE49-F238E27FC236}">
                <a16:creationId xmlns:a16="http://schemas.microsoft.com/office/drawing/2014/main" id="{F01A59CF-E0C2-47E0-8DD1-D2499A9E3A47}"/>
              </a:ext>
            </a:extLst>
          </xdr:cNvPr>
          <xdr:cNvSpPr txBox="1"/>
        </xdr:nvSpPr>
        <xdr:spPr>
          <a:xfrm>
            <a:off x="14844982" y="1381018"/>
            <a:ext cx="570351" cy="359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EB11842-CC0D-4708-B4D9-D5379D3C4814}" type="TxLink">
              <a:rPr lang="en-US" sz="1400" b="0" i="0" u="none" strike="noStrike">
                <a:solidFill>
                  <a:srgbClr val="C00000"/>
                </a:solidFill>
                <a:latin typeface="Bahnschrift" panose="020B0502040204020203" pitchFamily="34" charset="0"/>
                <a:cs typeface="Calibri"/>
              </a:rPr>
              <a:pPr algn="ctr"/>
              <a:t>5</a:t>
            </a:fld>
            <a:endParaRPr lang="en-US" sz="1400" b="1">
              <a:solidFill>
                <a:srgbClr val="C00000"/>
              </a:solidFill>
              <a:latin typeface="Bahnschrift" panose="020B0502040204020203" pitchFamily="34" charset="0"/>
            </a:endParaRPr>
          </a:p>
        </xdr:txBody>
      </xdr:sp>
      <xdr:pic>
        <xdr:nvPicPr>
          <xdr:cNvPr id="11" name="Picture 10">
            <a:extLst>
              <a:ext uri="{FF2B5EF4-FFF2-40B4-BE49-F238E27FC236}">
                <a16:creationId xmlns:a16="http://schemas.microsoft.com/office/drawing/2014/main" id="{63A51B4B-F176-4CE5-BC85-BDDDBA27B9A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837473B0-CC2E-450A-ABE3-18F120FF3D39}">
                <a1611:picAttrSrcUrl xmlns:a1611="http://schemas.microsoft.com/office/drawing/2016/11/main" r:id="rId25"/>
              </a:ext>
            </a:extLst>
          </a:blip>
          <a:stretch>
            <a:fillRect/>
          </a:stretch>
        </xdr:blipFill>
        <xdr:spPr>
          <a:xfrm>
            <a:off x="14087220" y="832616"/>
            <a:ext cx="749726" cy="323769"/>
          </a:xfrm>
          <a:prstGeom prst="rect">
            <a:avLst/>
          </a:prstGeom>
        </xdr:spPr>
      </xdr:pic>
      <xdr:sp macro="" textlink="">
        <xdr:nvSpPr>
          <xdr:cNvPr id="60" name="Rectangle: Rounded Corners 59">
            <a:extLst>
              <a:ext uri="{FF2B5EF4-FFF2-40B4-BE49-F238E27FC236}">
                <a16:creationId xmlns:a16="http://schemas.microsoft.com/office/drawing/2014/main" id="{633A23FE-31E4-43B6-AA19-77819B7FDC3C}"/>
              </a:ext>
            </a:extLst>
          </xdr:cNvPr>
          <xdr:cNvSpPr/>
        </xdr:nvSpPr>
        <xdr:spPr>
          <a:xfrm>
            <a:off x="13764792" y="2056916"/>
            <a:ext cx="1904781" cy="6596764"/>
          </a:xfrm>
          <a:prstGeom prst="roundRect">
            <a:avLst>
              <a:gd name="adj" fmla="val 25698"/>
            </a:avLst>
          </a:prstGeom>
          <a:solidFill>
            <a:srgbClr val="FAF4DF"/>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5" name="Group 54">
            <a:extLst>
              <a:ext uri="{FF2B5EF4-FFF2-40B4-BE49-F238E27FC236}">
                <a16:creationId xmlns:a16="http://schemas.microsoft.com/office/drawing/2014/main" id="{0E80DC6B-8A26-442A-B4A3-B89981FE3200}"/>
              </a:ext>
            </a:extLst>
          </xdr:cNvPr>
          <xdr:cNvGrpSpPr/>
        </xdr:nvGrpSpPr>
        <xdr:grpSpPr>
          <a:xfrm>
            <a:off x="14185827" y="2711105"/>
            <a:ext cx="944083" cy="1087797"/>
            <a:chOff x="14010834" y="2398444"/>
            <a:chExt cx="918493" cy="1041374"/>
          </a:xfrm>
        </xdr:grpSpPr>
        <xdr:graphicFrame macro="">
          <xdr:nvGraphicFramePr>
            <xdr:cNvPr id="61" name="Chart 60">
              <a:extLst>
                <a:ext uri="{FF2B5EF4-FFF2-40B4-BE49-F238E27FC236}">
                  <a16:creationId xmlns:a16="http://schemas.microsoft.com/office/drawing/2014/main" id="{ACC4AAB1-BFCF-44E6-BEAF-3D87AFFA501A}"/>
                </a:ext>
              </a:extLst>
            </xdr:cNvPr>
            <xdr:cNvGraphicFramePr>
              <a:graphicFrameLocks/>
            </xdr:cNvGraphicFramePr>
          </xdr:nvGraphicFramePr>
          <xdr:xfrm>
            <a:off x="14010834" y="2398444"/>
            <a:ext cx="918493" cy="1041374"/>
          </xdr:xfrm>
          <a:graphic>
            <a:graphicData uri="http://schemas.openxmlformats.org/drawingml/2006/chart">
              <c:chart xmlns:c="http://schemas.openxmlformats.org/drawingml/2006/chart" xmlns:r="http://schemas.openxmlformats.org/officeDocument/2006/relationships" r:id="rId26"/>
            </a:graphicData>
          </a:graphic>
        </xdr:graphicFrame>
        <xdr:sp macro="" textlink="">
          <xdr:nvSpPr>
            <xdr:cNvPr id="44" name="Circle: Hollow 43">
              <a:extLst>
                <a:ext uri="{FF2B5EF4-FFF2-40B4-BE49-F238E27FC236}">
                  <a16:creationId xmlns:a16="http://schemas.microsoft.com/office/drawing/2014/main" id="{C9BEBA3C-8740-4994-BE1E-85268C00050C}"/>
                </a:ext>
              </a:extLst>
            </xdr:cNvPr>
            <xdr:cNvSpPr>
              <a:spLocks/>
            </xdr:cNvSpPr>
          </xdr:nvSpPr>
          <xdr:spPr>
            <a:xfrm>
              <a:off x="14072774" y="2532915"/>
              <a:ext cx="778230" cy="765863"/>
            </a:xfrm>
            <a:prstGeom prst="donut">
              <a:avLst>
                <a:gd name="adj" fmla="val 6397"/>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solidFill>
                  <a:schemeClr val="tx1"/>
                </a:solidFill>
              </a:endParaRPr>
            </a:p>
          </xdr:txBody>
        </xdr:sp>
      </xdr:grpSp>
      <xdr:sp macro="" textlink="">
        <xdr:nvSpPr>
          <xdr:cNvPr id="64" name="TextBox 63">
            <a:extLst>
              <a:ext uri="{FF2B5EF4-FFF2-40B4-BE49-F238E27FC236}">
                <a16:creationId xmlns:a16="http://schemas.microsoft.com/office/drawing/2014/main" id="{6BC66729-FB3D-4B94-9B2A-BDBC94F2F4A7}"/>
              </a:ext>
            </a:extLst>
          </xdr:cNvPr>
          <xdr:cNvSpPr txBox="1"/>
        </xdr:nvSpPr>
        <xdr:spPr>
          <a:xfrm>
            <a:off x="14196165" y="2216715"/>
            <a:ext cx="850446" cy="261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rgbClr val="CF5C4A"/>
                </a:solidFill>
                <a:latin typeface="Bahnschrift SemiBold" panose="020B0502040204020203" pitchFamily="34" charset="0"/>
              </a:rPr>
              <a:t>Regular</a:t>
            </a:r>
          </a:p>
        </xdr:txBody>
      </xdr:sp>
      <xdr:sp macro="" textlink="">
        <xdr:nvSpPr>
          <xdr:cNvPr id="66" name="TextBox 65">
            <a:extLst>
              <a:ext uri="{FF2B5EF4-FFF2-40B4-BE49-F238E27FC236}">
                <a16:creationId xmlns:a16="http://schemas.microsoft.com/office/drawing/2014/main" id="{90A122A9-BCC4-4856-B14B-F47090119962}"/>
              </a:ext>
            </a:extLst>
          </xdr:cNvPr>
          <xdr:cNvSpPr txBox="1"/>
        </xdr:nvSpPr>
        <xdr:spPr>
          <a:xfrm>
            <a:off x="14947393" y="3283050"/>
            <a:ext cx="739937" cy="253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2">
                    <a:lumMod val="50000"/>
                  </a:schemeClr>
                </a:solidFill>
                <a:latin typeface="Bahnschrift SemiBold" panose="020B0502040204020203" pitchFamily="34" charset="0"/>
              </a:rPr>
              <a:t>Close</a:t>
            </a:r>
          </a:p>
        </xdr:txBody>
      </xdr:sp>
      <xdr:sp macro="" textlink="">
        <xdr:nvSpPr>
          <xdr:cNvPr id="67" name="TextBox 66">
            <a:extLst>
              <a:ext uri="{FF2B5EF4-FFF2-40B4-BE49-F238E27FC236}">
                <a16:creationId xmlns:a16="http://schemas.microsoft.com/office/drawing/2014/main" id="{C976144F-55D3-4AE2-B5A0-225D6C113201}"/>
              </a:ext>
            </a:extLst>
          </xdr:cNvPr>
          <xdr:cNvSpPr txBox="1"/>
        </xdr:nvSpPr>
        <xdr:spPr>
          <a:xfrm>
            <a:off x="13489092" y="2891669"/>
            <a:ext cx="989954" cy="248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accent1">
                    <a:lumMod val="50000"/>
                  </a:schemeClr>
                </a:solidFill>
                <a:latin typeface="Bahnschrift SemiBold" panose="020B0502040204020203" pitchFamily="34" charset="0"/>
              </a:rPr>
              <a:t>Far</a:t>
            </a:r>
          </a:p>
        </xdr:txBody>
      </xdr:sp>
      <xdr:sp macro="" textlink="'Pivot Tables'!O8">
        <xdr:nvSpPr>
          <xdr:cNvPr id="69" name="TextBox 68">
            <a:extLst>
              <a:ext uri="{FF2B5EF4-FFF2-40B4-BE49-F238E27FC236}">
                <a16:creationId xmlns:a16="http://schemas.microsoft.com/office/drawing/2014/main" id="{8EDA04DA-C64C-49CD-8455-8BEDC3A8267B}"/>
              </a:ext>
            </a:extLst>
          </xdr:cNvPr>
          <xdr:cNvSpPr txBox="1"/>
        </xdr:nvSpPr>
        <xdr:spPr>
          <a:xfrm>
            <a:off x="14250361" y="2420855"/>
            <a:ext cx="850446" cy="261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782B8E-AA58-42F3-B4E4-928FD9349D19}" type="TxLink">
              <a:rPr lang="en-US" sz="1600" b="0" i="0" u="none" strike="noStrike">
                <a:solidFill>
                  <a:srgbClr val="CF5C4A"/>
                </a:solidFill>
                <a:latin typeface="Bahnschrift" panose="020B0502040204020203" pitchFamily="34" charset="0"/>
                <a:cs typeface="Calibri"/>
              </a:rPr>
              <a:pPr algn="ctr"/>
              <a:t>2</a:t>
            </a:fld>
            <a:endParaRPr lang="en-US" sz="1600" b="1">
              <a:solidFill>
                <a:srgbClr val="CF5C4A"/>
              </a:solidFill>
              <a:latin typeface="Bahnschrift" panose="020B0502040204020203" pitchFamily="34" charset="0"/>
            </a:endParaRPr>
          </a:p>
        </xdr:txBody>
      </xdr:sp>
      <xdr:sp macro="" textlink="'Pivot Tables'!O7">
        <xdr:nvSpPr>
          <xdr:cNvPr id="70" name="TextBox 69">
            <a:extLst>
              <a:ext uri="{FF2B5EF4-FFF2-40B4-BE49-F238E27FC236}">
                <a16:creationId xmlns:a16="http://schemas.microsoft.com/office/drawing/2014/main" id="{0983531C-5171-439D-853E-78D518CB5FB3}"/>
              </a:ext>
            </a:extLst>
          </xdr:cNvPr>
          <xdr:cNvSpPr txBox="1"/>
        </xdr:nvSpPr>
        <xdr:spPr>
          <a:xfrm>
            <a:off x="13569406" y="3107319"/>
            <a:ext cx="848134" cy="2549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30EA19-118F-41BE-A6D4-67F69200E2A7}" type="TxLink">
              <a:rPr lang="en-US" sz="1600" b="0" i="0" u="none" strike="noStrike">
                <a:solidFill>
                  <a:schemeClr val="accent1">
                    <a:lumMod val="50000"/>
                  </a:schemeClr>
                </a:solidFill>
                <a:latin typeface="Bahnschrift" panose="020B0502040204020203" pitchFamily="34" charset="0"/>
                <a:cs typeface="Calibri"/>
              </a:rPr>
              <a:pPr algn="ctr"/>
              <a:t>6</a:t>
            </a:fld>
            <a:endParaRPr lang="en-US" sz="1600" b="1">
              <a:solidFill>
                <a:schemeClr val="accent1">
                  <a:lumMod val="50000"/>
                </a:schemeClr>
              </a:solidFill>
              <a:latin typeface="Bahnschrift" panose="020B0502040204020203" pitchFamily="34" charset="0"/>
            </a:endParaRPr>
          </a:p>
        </xdr:txBody>
      </xdr:sp>
      <xdr:sp macro="" textlink="'Pivot Tables'!O6">
        <xdr:nvSpPr>
          <xdr:cNvPr id="74" name="TextBox 73">
            <a:extLst>
              <a:ext uri="{FF2B5EF4-FFF2-40B4-BE49-F238E27FC236}">
                <a16:creationId xmlns:a16="http://schemas.microsoft.com/office/drawing/2014/main" id="{60F6D80B-2F56-43CF-BAAC-8E0762FBD296}"/>
              </a:ext>
            </a:extLst>
          </xdr:cNvPr>
          <xdr:cNvSpPr txBox="1"/>
        </xdr:nvSpPr>
        <xdr:spPr>
          <a:xfrm>
            <a:off x="14899634" y="3476315"/>
            <a:ext cx="850446" cy="25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B89277-8A1A-4B22-B327-C34EE0951F08}" type="TxLink">
              <a:rPr lang="en-US" sz="1600" b="0" i="0" u="none" strike="noStrike">
                <a:solidFill>
                  <a:schemeClr val="bg1">
                    <a:lumMod val="50000"/>
                  </a:schemeClr>
                </a:solidFill>
                <a:latin typeface="Bahnschrift" panose="020B0502040204020203" pitchFamily="34" charset="0"/>
                <a:cs typeface="Calibri"/>
              </a:rPr>
              <a:pPr algn="ctr"/>
              <a:t>16</a:t>
            </a:fld>
            <a:endParaRPr lang="en-US" sz="1600" b="1">
              <a:solidFill>
                <a:schemeClr val="bg1">
                  <a:lumMod val="50000"/>
                </a:schemeClr>
              </a:solidFill>
              <a:latin typeface="Bahnschrift" panose="020B0502040204020203" pitchFamily="34" charset="0"/>
            </a:endParaRPr>
          </a:p>
        </xdr:txBody>
      </xdr:sp>
      <xdr:graphicFrame macro="">
        <xdr:nvGraphicFramePr>
          <xdr:cNvPr id="76" name="Chart 75">
            <a:extLst>
              <a:ext uri="{FF2B5EF4-FFF2-40B4-BE49-F238E27FC236}">
                <a16:creationId xmlns:a16="http://schemas.microsoft.com/office/drawing/2014/main" id="{141EBA55-291E-46F1-908B-15E7F2ECDEAE}"/>
              </a:ext>
            </a:extLst>
          </xdr:cNvPr>
          <xdr:cNvGraphicFramePr>
            <a:graphicFrameLocks/>
          </xdr:cNvGraphicFramePr>
        </xdr:nvGraphicFramePr>
        <xdr:xfrm>
          <a:off x="13645383" y="4631099"/>
          <a:ext cx="2029112" cy="1739329"/>
        </xdr:xfrm>
        <a:graphic>
          <a:graphicData uri="http://schemas.openxmlformats.org/drawingml/2006/chart">
            <c:chart xmlns:c="http://schemas.openxmlformats.org/drawingml/2006/chart" xmlns:r="http://schemas.openxmlformats.org/officeDocument/2006/relationships" r:id="rId27"/>
          </a:graphicData>
        </a:graphic>
      </xdr:graphicFrame>
      <xdr:sp macro="" textlink="">
        <xdr:nvSpPr>
          <xdr:cNvPr id="77" name="TextBox 76">
            <a:extLst>
              <a:ext uri="{FF2B5EF4-FFF2-40B4-BE49-F238E27FC236}">
                <a16:creationId xmlns:a16="http://schemas.microsoft.com/office/drawing/2014/main" id="{F34D8D18-79EC-45B8-A0E5-53E8F63EA66E}"/>
              </a:ext>
            </a:extLst>
          </xdr:cNvPr>
          <xdr:cNvSpPr txBox="1"/>
        </xdr:nvSpPr>
        <xdr:spPr>
          <a:xfrm>
            <a:off x="13781291" y="4184180"/>
            <a:ext cx="1743228" cy="535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48515F"/>
                </a:solidFill>
                <a:latin typeface="Bahnschrift SemiBold" panose="020B0502040204020203" pitchFamily="34" charset="0"/>
              </a:rPr>
              <a:t>Driver &amp; Buddy</a:t>
            </a:r>
            <a:r>
              <a:rPr lang="en-US" sz="1100" b="1" baseline="0">
                <a:solidFill>
                  <a:srgbClr val="48515F"/>
                </a:solidFill>
                <a:latin typeface="Bahnschrift SemiBold" panose="020B0502040204020203" pitchFamily="34" charset="0"/>
              </a:rPr>
              <a:t> Income</a:t>
            </a:r>
          </a:p>
          <a:p>
            <a:pPr algn="l"/>
            <a:r>
              <a:rPr lang="en-US" sz="800" b="1">
                <a:solidFill>
                  <a:srgbClr val="48515F"/>
                </a:solidFill>
                <a:latin typeface="Bahnschrift SemiBold" panose="020B0502040204020203" pitchFamily="34" charset="0"/>
              </a:rPr>
              <a:t>Per Trip Classify</a:t>
            </a:r>
          </a:p>
        </xdr:txBody>
      </xdr:sp>
      <xdr:graphicFrame macro="">
        <xdr:nvGraphicFramePr>
          <xdr:cNvPr id="88" name="Chart 87">
            <a:extLst>
              <a:ext uri="{FF2B5EF4-FFF2-40B4-BE49-F238E27FC236}">
                <a16:creationId xmlns:a16="http://schemas.microsoft.com/office/drawing/2014/main" id="{E68A0F5E-595B-4E80-9238-6F2C78C2D28E}"/>
              </a:ext>
            </a:extLst>
          </xdr:cNvPr>
          <xdr:cNvGraphicFramePr>
            <a:graphicFrameLocks/>
          </xdr:cNvGraphicFramePr>
        </xdr:nvGraphicFramePr>
        <xdr:xfrm>
          <a:off x="13776350" y="6835521"/>
          <a:ext cx="1835442" cy="1236092"/>
        </xdr:xfrm>
        <a:graphic>
          <a:graphicData uri="http://schemas.openxmlformats.org/drawingml/2006/chart">
            <c:chart xmlns:c="http://schemas.openxmlformats.org/drawingml/2006/chart" xmlns:r="http://schemas.openxmlformats.org/officeDocument/2006/relationships" r:id="rId28"/>
          </a:graphicData>
        </a:graphic>
      </xdr:graphicFrame>
      <xdr:sp macro="" textlink="">
        <xdr:nvSpPr>
          <xdr:cNvPr id="90" name="TextBox 89">
            <a:extLst>
              <a:ext uri="{FF2B5EF4-FFF2-40B4-BE49-F238E27FC236}">
                <a16:creationId xmlns:a16="http://schemas.microsoft.com/office/drawing/2014/main" id="{327766A4-AFE3-4196-B376-686570DCA144}"/>
              </a:ext>
            </a:extLst>
          </xdr:cNvPr>
          <xdr:cNvSpPr txBox="1"/>
        </xdr:nvSpPr>
        <xdr:spPr>
          <a:xfrm>
            <a:off x="14131629" y="6689514"/>
            <a:ext cx="1149471" cy="233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48515F"/>
                </a:solidFill>
                <a:latin typeface="Bahnschrift SemiBold" panose="020B0502040204020203" pitchFamily="34" charset="0"/>
              </a:rPr>
              <a:t>Type of Cargo</a:t>
            </a:r>
            <a:endParaRPr lang="en-US" sz="1100" b="1" baseline="0">
              <a:solidFill>
                <a:srgbClr val="48515F"/>
              </a:solidFill>
              <a:latin typeface="Bahnschrift SemiBold" panose="020B0502040204020203" pitchFamily="34" charset="0"/>
            </a:endParaRPr>
          </a:p>
        </xdr:txBody>
      </xdr:sp>
    </xdr:grpSp>
    <xdr:clientData/>
  </xdr:twoCellAnchor>
  <xdr:twoCellAnchor>
    <xdr:from>
      <xdr:col>3</xdr:col>
      <xdr:colOff>54132</xdr:colOff>
      <xdr:row>1</xdr:row>
      <xdr:rowOff>108772</xdr:rowOff>
    </xdr:from>
    <xdr:to>
      <xdr:col>11</xdr:col>
      <xdr:colOff>119005</xdr:colOff>
      <xdr:row>6</xdr:row>
      <xdr:rowOff>130855</xdr:rowOff>
    </xdr:to>
    <xdr:sp macro="" textlink="">
      <xdr:nvSpPr>
        <xdr:cNvPr id="63" name="Title">
          <a:extLst>
            <a:ext uri="{FF2B5EF4-FFF2-40B4-BE49-F238E27FC236}">
              <a16:creationId xmlns:a16="http://schemas.microsoft.com/office/drawing/2014/main" id="{F6A866D1-2742-49C9-BAF0-BA25091B1F7F}"/>
            </a:ext>
          </a:extLst>
        </xdr:cNvPr>
        <xdr:cNvSpPr txBox="1"/>
      </xdr:nvSpPr>
      <xdr:spPr>
        <a:xfrm>
          <a:off x="2111532" y="308797"/>
          <a:ext cx="5551273" cy="102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bg1"/>
              </a:solidFill>
              <a:latin typeface="Bahnschrift SemiBold" panose="020B0502040204020203" pitchFamily="34" charset="0"/>
            </a:rPr>
            <a:t>Fleet Management Transportation &amp; Logistics</a:t>
          </a:r>
        </a:p>
        <a:p>
          <a:pPr algn="l"/>
          <a:r>
            <a:rPr lang="en-US" sz="1800">
              <a:solidFill>
                <a:schemeClr val="bg1"/>
              </a:solidFill>
              <a:latin typeface="Bahnschrift SemiBold" panose="020B0502040204020203" pitchFamily="34" charset="0"/>
            </a:rPr>
            <a:t>Dashboard</a:t>
          </a:r>
          <a:r>
            <a:rPr lang="en-US" sz="1800" baseline="0">
              <a:solidFill>
                <a:schemeClr val="bg1"/>
              </a:solidFill>
              <a:latin typeface="Bahnschrift SemiBold" panose="020B0502040204020203" pitchFamily="34" charset="0"/>
            </a:rPr>
            <a:t> </a:t>
          </a:r>
          <a:r>
            <a:rPr lang="en-US" sz="1100" baseline="0">
              <a:solidFill>
                <a:schemeClr val="bg1"/>
              </a:solidFill>
              <a:latin typeface="Bahnschrift SemiBold" panose="020B0502040204020203" pitchFamily="34" charset="0"/>
            </a:rPr>
            <a:t>2022</a:t>
          </a:r>
          <a:endParaRPr lang="en-US" sz="1100">
            <a:solidFill>
              <a:schemeClr val="bg1"/>
            </a:solidFill>
            <a:latin typeface="Bahnschrift SemiBold"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942974</xdr:colOff>
      <xdr:row>13</xdr:row>
      <xdr:rowOff>66674</xdr:rowOff>
    </xdr:from>
    <xdr:to>
      <xdr:col>5</xdr:col>
      <xdr:colOff>666750</xdr:colOff>
      <xdr:row>21</xdr:row>
      <xdr:rowOff>95249</xdr:rowOff>
    </xdr:to>
    <mc:AlternateContent xmlns:mc="http://schemas.openxmlformats.org/markup-compatibility/2006" xmlns:a14="http://schemas.microsoft.com/office/drawing/2010/main">
      <mc:Choice Requires="a14">
        <xdr:graphicFrame macro="">
          <xdr:nvGraphicFramePr>
            <xdr:cNvPr id="4" name="Month 1">
              <a:extLst>
                <a:ext uri="{FF2B5EF4-FFF2-40B4-BE49-F238E27FC236}">
                  <a16:creationId xmlns:a16="http://schemas.microsoft.com/office/drawing/2014/main" id="{3CC27575-B4D3-4F6C-BEE1-002EDEAF6DF6}"/>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029074" y="2666999"/>
              <a:ext cx="1800226" cy="1628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533400</xdr:colOff>
      <xdr:row>14</xdr:row>
      <xdr:rowOff>33337</xdr:rowOff>
    </xdr:from>
    <xdr:to>
      <xdr:col>9</xdr:col>
      <xdr:colOff>542925</xdr:colOff>
      <xdr:row>23</xdr:row>
      <xdr:rowOff>104775</xdr:rowOff>
    </xdr:to>
    <xdr:graphicFrame macro="">
      <xdr:nvGraphicFramePr>
        <xdr:cNvPr id="5" name="Chart 4">
          <a:extLst>
            <a:ext uri="{FF2B5EF4-FFF2-40B4-BE49-F238E27FC236}">
              <a16:creationId xmlns:a16="http://schemas.microsoft.com/office/drawing/2014/main" id="{20F8B0EB-8C32-4379-BB7D-5BEA9A95E7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833437</xdr:colOff>
      <xdr:row>11</xdr:row>
      <xdr:rowOff>57150</xdr:rowOff>
    </xdr:from>
    <xdr:to>
      <xdr:col>20</xdr:col>
      <xdr:colOff>114300</xdr:colOff>
      <xdr:row>28</xdr:row>
      <xdr:rowOff>161925</xdr:rowOff>
    </xdr:to>
    <xdr:graphicFrame macro="">
      <xdr:nvGraphicFramePr>
        <xdr:cNvPr id="6" name="Chart 5">
          <a:extLst>
            <a:ext uri="{FF2B5EF4-FFF2-40B4-BE49-F238E27FC236}">
              <a16:creationId xmlns:a16="http://schemas.microsoft.com/office/drawing/2014/main" id="{BB17AC2E-0F76-46C4-9791-F9C853FB7A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123825</xdr:colOff>
      <xdr:row>11</xdr:row>
      <xdr:rowOff>57150</xdr:rowOff>
    </xdr:from>
    <xdr:to>
      <xdr:col>20</xdr:col>
      <xdr:colOff>209550</xdr:colOff>
      <xdr:row>18</xdr:row>
      <xdr:rowOff>180975</xdr:rowOff>
    </xdr:to>
    <xdr:graphicFrame macro="">
      <xdr:nvGraphicFramePr>
        <xdr:cNvPr id="8" name="Chart 7">
          <a:extLst>
            <a:ext uri="{FF2B5EF4-FFF2-40B4-BE49-F238E27FC236}">
              <a16:creationId xmlns:a16="http://schemas.microsoft.com/office/drawing/2014/main" id="{651F51FD-0FD4-41C8-89FF-639564C07E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85725</xdr:colOff>
      <xdr:row>17</xdr:row>
      <xdr:rowOff>142875</xdr:rowOff>
    </xdr:from>
    <xdr:to>
      <xdr:col>31</xdr:col>
      <xdr:colOff>200025</xdr:colOff>
      <xdr:row>31</xdr:row>
      <xdr:rowOff>85725</xdr:rowOff>
    </xdr:to>
    <xdr:graphicFrame macro="">
      <xdr:nvGraphicFramePr>
        <xdr:cNvPr id="9" name="Chart 8">
          <a:extLst>
            <a:ext uri="{FF2B5EF4-FFF2-40B4-BE49-F238E27FC236}">
              <a16:creationId xmlns:a16="http://schemas.microsoft.com/office/drawing/2014/main" id="{46D2F151-63E2-45D2-88BA-5F14D404B5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314325</xdr:colOff>
      <xdr:row>17</xdr:row>
      <xdr:rowOff>161925</xdr:rowOff>
    </xdr:from>
    <xdr:to>
      <xdr:col>27</xdr:col>
      <xdr:colOff>1247775</xdr:colOff>
      <xdr:row>31</xdr:row>
      <xdr:rowOff>104775</xdr:rowOff>
    </xdr:to>
    <xdr:graphicFrame macro="">
      <xdr:nvGraphicFramePr>
        <xdr:cNvPr id="10" name="Chart 9">
          <a:extLst>
            <a:ext uri="{FF2B5EF4-FFF2-40B4-BE49-F238E27FC236}">
              <a16:creationId xmlns:a16="http://schemas.microsoft.com/office/drawing/2014/main" id="{56D034E7-FAD2-4C35-8BD5-5B5213628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623887</xdr:colOff>
      <xdr:row>21</xdr:row>
      <xdr:rowOff>28575</xdr:rowOff>
    </xdr:from>
    <xdr:to>
      <xdr:col>35</xdr:col>
      <xdr:colOff>652462</xdr:colOff>
      <xdr:row>34</xdr:row>
      <xdr:rowOff>171450</xdr:rowOff>
    </xdr:to>
    <xdr:graphicFrame macro="">
      <xdr:nvGraphicFramePr>
        <xdr:cNvPr id="2" name="Chart 1">
          <a:extLst>
            <a:ext uri="{FF2B5EF4-FFF2-40B4-BE49-F238E27FC236}">
              <a16:creationId xmlns:a16="http://schemas.microsoft.com/office/drawing/2014/main" id="{1EAA8D1C-E0F8-4DC4-AEC8-C1B4DBD79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41</xdr:col>
      <xdr:colOff>995362</xdr:colOff>
      <xdr:row>18</xdr:row>
      <xdr:rowOff>28575</xdr:rowOff>
    </xdr:from>
    <xdr:to>
      <xdr:col>46</xdr:col>
      <xdr:colOff>23812</xdr:colOff>
      <xdr:row>31</xdr:row>
      <xdr:rowOff>171450</xdr:rowOff>
    </xdr:to>
    <xdr:graphicFrame macro="">
      <xdr:nvGraphicFramePr>
        <xdr:cNvPr id="3" name="Chart 2">
          <a:extLst>
            <a:ext uri="{FF2B5EF4-FFF2-40B4-BE49-F238E27FC236}">
              <a16:creationId xmlns:a16="http://schemas.microsoft.com/office/drawing/2014/main" id="{DC589C90-6E6A-4DA8-8913-21762DDFF5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890587</xdr:colOff>
      <xdr:row>31</xdr:row>
      <xdr:rowOff>47625</xdr:rowOff>
    </xdr:from>
    <xdr:to>
      <xdr:col>51</xdr:col>
      <xdr:colOff>519112</xdr:colOff>
      <xdr:row>44</xdr:row>
      <xdr:rowOff>190500</xdr:rowOff>
    </xdr:to>
    <xdr:graphicFrame macro="">
      <xdr:nvGraphicFramePr>
        <xdr:cNvPr id="7" name="Chart 6">
          <a:extLst>
            <a:ext uri="{FF2B5EF4-FFF2-40B4-BE49-F238E27FC236}">
              <a16:creationId xmlns:a16="http://schemas.microsoft.com/office/drawing/2014/main" id="{99BCCA62-5773-4223-8474-6131D6CAFB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51</xdr:col>
      <xdr:colOff>919162</xdr:colOff>
      <xdr:row>30</xdr:row>
      <xdr:rowOff>133350</xdr:rowOff>
    </xdr:from>
    <xdr:to>
      <xdr:col>56</xdr:col>
      <xdr:colOff>271462</xdr:colOff>
      <xdr:row>44</xdr:row>
      <xdr:rowOff>76200</xdr:rowOff>
    </xdr:to>
    <xdr:graphicFrame macro="">
      <xdr:nvGraphicFramePr>
        <xdr:cNvPr id="11" name="Chart 10">
          <a:extLst>
            <a:ext uri="{FF2B5EF4-FFF2-40B4-BE49-F238E27FC236}">
              <a16:creationId xmlns:a16="http://schemas.microsoft.com/office/drawing/2014/main" id="{F2563BB9-101F-4463-B9A7-16141E156A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ugene Arkhipov" refreshedDate="44880.019520138892" createdVersion="7" refreshedVersion="7" minRefreshableVersion="3" recordCount="24" xr:uid="{AA4DB881-53C7-4301-9C97-F4C5FBD6EBA4}">
  <cacheSource type="worksheet">
    <worksheetSource name="Main_Table"/>
  </cacheSource>
  <cacheFields count="24">
    <cacheField name="N" numFmtId="1">
      <sharedItems containsSemiMixedTypes="0" containsString="0" containsNumber="1" containsInteger="1" minValue="1" maxValue="24"/>
    </cacheField>
    <cacheField name="Date" numFmtId="164">
      <sharedItems/>
    </cacheField>
    <cacheField name="Year" numFmtId="0">
      <sharedItems containsSemiMixedTypes="0" containsString="0" containsNumber="1" containsInteger="1" minValue="2022" maxValue="2022"/>
    </cacheField>
    <cacheField name="Month" numFmtId="165">
      <sharedItems count="12">
        <s v="Jan"/>
        <s v="Feb"/>
        <s v="Mar"/>
        <s v="Apr"/>
        <s v="May"/>
        <s v="Jun"/>
        <s v="Jul"/>
        <s v="Aug"/>
        <s v="Sep"/>
        <s v="Oct"/>
        <s v="Nov"/>
        <s v="Dec"/>
      </sharedItems>
    </cacheField>
    <cacheField name="Day" numFmtId="0">
      <sharedItems containsSemiMixedTypes="0" containsString="0" containsNumber="1" containsInteger="1" minValue="1" maxValue="1"/>
    </cacheField>
    <cacheField name="Driver" numFmtId="0">
      <sharedItems count="2">
        <s v="Antoni"/>
        <s v="Jaison"/>
      </sharedItems>
    </cacheField>
    <cacheField name="Buddy" numFmtId="0">
      <sharedItems/>
    </cacheField>
    <cacheField name="Vehicle" numFmtId="0">
      <sharedItems count="2">
        <s v="72-0466/0467"/>
        <s v="72-1001/1002"/>
      </sharedItems>
    </cacheField>
    <cacheField name="Distance (km)" numFmtId="0">
      <sharedItems containsSemiMixedTypes="0" containsString="0" containsNumber="1" containsInteger="1" minValue="15" maxValue="80"/>
    </cacheField>
    <cacheField name="Trip Classify" numFmtId="0">
      <sharedItems count="3">
        <s v="Close"/>
        <s v="Far"/>
        <s v="Regular"/>
      </sharedItems>
    </cacheField>
    <cacheField name="Distance Traveled" numFmtId="166">
      <sharedItems count="2">
        <s v="Return"/>
        <s v="One-Way"/>
      </sharedItems>
    </cacheField>
    <cacheField name="From" numFmtId="0">
      <sharedItems count="9">
        <s v="Xunthai"/>
        <s v="Port Said"/>
        <s v="Gidec"/>
        <s v="Safeskin"/>
        <s v="Top glove"/>
        <s v="Alex"/>
        <s v="Giza"/>
        <s v="Air Port"/>
        <s v="PT"/>
      </sharedItems>
    </cacheField>
    <cacheField name="To" numFmtId="0">
      <sharedItems count="6">
        <s v="Gidec"/>
        <s v="Safeskin"/>
        <s v="Suies"/>
        <s v="X1 Port"/>
        <s v="Top glove"/>
        <s v="Mina"/>
      </sharedItems>
    </cacheField>
    <cacheField name="Goods" numFmtId="0">
      <sharedItems count="2">
        <s v="Woodchip"/>
        <s v="Woodpellet"/>
      </sharedItems>
    </cacheField>
    <cacheField name="Driver wage/trip" numFmtId="166">
      <sharedItems containsSemiMixedTypes="0" containsString="0" containsNumber="1" containsInteger="1" minValue="400" maxValue="800"/>
    </cacheField>
    <cacheField name="Buddy wage/trip" numFmtId="166">
      <sharedItems containsSemiMixedTypes="0" containsString="0" containsNumber="1" containsInteger="1" minValue="100" maxValue="400"/>
    </cacheField>
    <cacheField name="Driver Salary" numFmtId="166">
      <sharedItems containsString="0" containsBlank="1" containsNumber="1" containsInteger="1" minValue="400" maxValue="800"/>
    </cacheField>
    <cacheField name="Buddy Salary" numFmtId="166">
      <sharedItems containsString="0" containsBlank="1" containsNumber="1" containsInteger="1" minValue="100" maxValue="400"/>
    </cacheField>
    <cacheField name="Weight (Tons)" numFmtId="1">
      <sharedItems containsSemiMixedTypes="0" containsString="0" containsNumber="1" containsInteger="1" minValue="9" maxValue="18"/>
    </cacheField>
    <cacheField name="Hired Transportation" numFmtId="166">
      <sharedItems count="2">
        <s v="No"/>
        <s v="Yes"/>
      </sharedItems>
    </cacheField>
    <cacheField name="Total Expenses" numFmtId="0" formula="'Driver wage/trip'+'Buddy wage/trip'+'Driver Salary'+'Buddy Salary'" databaseField="0"/>
    <cacheField name="Total Salaries" numFmtId="0" formula="'Driver Salary'+'Buddy Salary'" databaseField="0"/>
    <cacheField name="Total " numFmtId="0" formula=" 0" databaseField="0"/>
    <cacheField name="Total Wages" numFmtId="0" formula="'Driver wage/trip'+'Buddy wage/trip'" databaseField="0"/>
  </cacheFields>
  <extLst>
    <ext xmlns:x14="http://schemas.microsoft.com/office/spreadsheetml/2009/9/main" uri="{725AE2AE-9491-48be-B2B4-4EB974FC3084}">
      <x14:pivotCacheDefinition pivotCacheId="214260751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ugene Arkhipov" refreshedDate="44881.963822337966" createdVersion="7" refreshedVersion="7" minRefreshableVersion="3" recordCount="24" xr:uid="{80E6D721-CBD0-4694-B4A4-59C25440D8CA}">
  <cacheSource type="worksheet">
    <worksheetSource ref="B3:F27" sheet="Schedule"/>
  </cacheSource>
  <cacheFields count="5">
    <cacheField name="Date" numFmtId="164">
      <sharedItems count="12">
        <s v="Saturday, January 01, 2022"/>
        <s v="Tuesday, February 01, 2022"/>
        <s v="Tuesday, March 01, 2022"/>
        <s v="Friday, April 01, 2022"/>
        <s v="Sunday, May 01, 2022"/>
        <s v="Wednesday, June 01, 2022"/>
        <s v="Friday, July 01, 2022"/>
        <s v="Monday, August 01, 2022"/>
        <s v="Thursday, September 01, 2022"/>
        <s v="Saturday, October 01, 2022"/>
        <s v="Tuesday, November 01, 2022"/>
        <s v="Thursday, December 01, 2022"/>
      </sharedItems>
    </cacheField>
    <cacheField name="Driver" numFmtId="0">
      <sharedItems count="2">
        <s v="Antoni"/>
        <s v="Jaison"/>
      </sharedItems>
    </cacheField>
    <cacheField name="Vehicle" numFmtId="0">
      <sharedItems count="2">
        <s v="72-0466/0467"/>
        <s v="72-1001/1002"/>
      </sharedItems>
    </cacheField>
    <cacheField name="From" numFmtId="0">
      <sharedItems count="9">
        <s v="Xunthai"/>
        <s v="Port Said"/>
        <s v="Gidec"/>
        <s v="Safeskin"/>
        <s v="Top glove"/>
        <s v="Alex"/>
        <s v="Giza"/>
        <s v="Air Port"/>
        <s v="PT"/>
      </sharedItems>
    </cacheField>
    <cacheField name="To" numFmtId="0">
      <sharedItems count="6">
        <s v="Gidec"/>
        <s v="Safeskin"/>
        <s v="Suies"/>
        <s v="X1 Port"/>
        <s v="Top glove"/>
        <s v="Mina"/>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ugene Arkhipov" refreshedDate="44881.983473611108" createdVersion="7" refreshedVersion="7" minRefreshableVersion="3" recordCount="24" xr:uid="{326FE064-0342-41A1-89BB-04DBC55B96A4}">
  <cacheSource type="worksheet">
    <worksheetSource name="driverschedule"/>
  </cacheSource>
  <cacheFields count="5">
    <cacheField name="Date" numFmtId="164">
      <sharedItems count="12">
        <s v="Friday, April 01, 2022"/>
        <s v="Friday, July 01, 2022"/>
        <s v="Monday, August 01, 2022"/>
        <s v="Saturday, January 01, 2022"/>
        <s v="Saturday, October 01, 2022"/>
        <s v="Sunday, May 01, 2022"/>
        <s v="Thursday, December 01, 2022"/>
        <s v="Thursday, September 01, 2022"/>
        <s v="Tuesday, February 01, 2022"/>
        <s v="Tuesday, March 01, 2022"/>
        <s v="Tuesday, November 01, 2022"/>
        <s v="Wednesday, June 01, 2022"/>
      </sharedItems>
    </cacheField>
    <cacheField name="Driver" numFmtId="0">
      <sharedItems count="2">
        <s v="Jaison"/>
        <s v="Antoni"/>
      </sharedItems>
    </cacheField>
    <cacheField name="Vehicle" numFmtId="0">
      <sharedItems count="2">
        <s v="72-1001/1002"/>
        <s v="72-0466/0467"/>
      </sharedItems>
    </cacheField>
    <cacheField name="From" numFmtId="0">
      <sharedItems count="9">
        <s v="Safeskin"/>
        <s v="Giza"/>
        <s v="Gidec"/>
        <s v="Xunthai"/>
        <s v="Air Port"/>
        <s v="PT"/>
        <s v="Top glove"/>
        <s v="Port Said"/>
        <s v="Alex"/>
      </sharedItems>
    </cacheField>
    <cacheField name="To" numFmtId="0">
      <sharedItems count="6">
        <s v="X1 Port"/>
        <s v="Mina"/>
        <s v="Safeskin"/>
        <s v="Gidec"/>
        <s v="Suies"/>
        <s v="Top glov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n v="1"/>
    <s v="Saturday, January 01, 2022"/>
    <n v="2022"/>
    <x v="0"/>
    <n v="1"/>
    <x v="0"/>
    <s v="Mike"/>
    <x v="0"/>
    <n v="25"/>
    <x v="0"/>
    <x v="0"/>
    <x v="0"/>
    <x v="0"/>
    <x v="0"/>
    <n v="400"/>
    <n v="400"/>
    <n v="400"/>
    <n v="400"/>
    <n v="14"/>
    <x v="0"/>
  </r>
  <r>
    <n v="2"/>
    <s v="Tuesday, February 01, 2022"/>
    <n v="2022"/>
    <x v="1"/>
    <n v="1"/>
    <x v="1"/>
    <s v="Mike"/>
    <x v="1"/>
    <n v="15"/>
    <x v="0"/>
    <x v="0"/>
    <x v="1"/>
    <x v="1"/>
    <x v="1"/>
    <n v="400"/>
    <n v="100"/>
    <n v="400"/>
    <n v="100"/>
    <n v="11"/>
    <x v="0"/>
  </r>
  <r>
    <n v="3"/>
    <s v="Tuesday, March 01, 2022"/>
    <n v="2022"/>
    <x v="2"/>
    <n v="1"/>
    <x v="0"/>
    <s v="Mike"/>
    <x v="0"/>
    <n v="65"/>
    <x v="1"/>
    <x v="0"/>
    <x v="2"/>
    <x v="2"/>
    <x v="0"/>
    <n v="600"/>
    <n v="100"/>
    <n v="600"/>
    <n v="100"/>
    <n v="15"/>
    <x v="0"/>
  </r>
  <r>
    <n v="4"/>
    <s v="Friday, April 01, 2022"/>
    <n v="2022"/>
    <x v="3"/>
    <n v="1"/>
    <x v="1"/>
    <s v="Mike"/>
    <x v="1"/>
    <n v="44"/>
    <x v="2"/>
    <x v="1"/>
    <x v="3"/>
    <x v="3"/>
    <x v="1"/>
    <n v="400"/>
    <n v="100"/>
    <n v="400"/>
    <n v="100"/>
    <n v="13"/>
    <x v="0"/>
  </r>
  <r>
    <n v="5"/>
    <s v="Sunday, May 01, 2022"/>
    <n v="2022"/>
    <x v="4"/>
    <n v="1"/>
    <x v="0"/>
    <s v="Lee"/>
    <x v="0"/>
    <n v="65"/>
    <x v="1"/>
    <x v="1"/>
    <x v="4"/>
    <x v="3"/>
    <x v="0"/>
    <n v="600"/>
    <n v="100"/>
    <n v="600"/>
    <n v="100"/>
    <n v="12"/>
    <x v="0"/>
  </r>
  <r>
    <n v="6"/>
    <s v="Wednesday, June 01, 2022"/>
    <n v="2022"/>
    <x v="5"/>
    <n v="1"/>
    <x v="1"/>
    <s v="Mike"/>
    <x v="1"/>
    <n v="80"/>
    <x v="1"/>
    <x v="1"/>
    <x v="5"/>
    <x v="4"/>
    <x v="1"/>
    <n v="800"/>
    <n v="100"/>
    <n v="800"/>
    <n v="100"/>
    <n v="11"/>
    <x v="0"/>
  </r>
  <r>
    <n v="7"/>
    <s v="Friday, July 01, 2022"/>
    <n v="2022"/>
    <x v="6"/>
    <n v="1"/>
    <x v="0"/>
    <s v="Lee"/>
    <x v="0"/>
    <n v="25"/>
    <x v="0"/>
    <x v="1"/>
    <x v="6"/>
    <x v="3"/>
    <x v="0"/>
    <n v="400"/>
    <n v="150"/>
    <n v="400"/>
    <n v="150"/>
    <n v="18"/>
    <x v="0"/>
  </r>
  <r>
    <n v="8"/>
    <s v="Monday, August 01, 2022"/>
    <n v="2022"/>
    <x v="7"/>
    <n v="1"/>
    <x v="1"/>
    <s v="Lee"/>
    <x v="1"/>
    <n v="25"/>
    <x v="0"/>
    <x v="0"/>
    <x v="2"/>
    <x v="1"/>
    <x v="1"/>
    <n v="400"/>
    <n v="100"/>
    <n v="400"/>
    <n v="100"/>
    <n v="13"/>
    <x v="1"/>
  </r>
  <r>
    <n v="9"/>
    <s v="Thursday, September 01, 2022"/>
    <n v="2022"/>
    <x v="8"/>
    <n v="1"/>
    <x v="0"/>
    <s v="Lee"/>
    <x v="0"/>
    <n v="25"/>
    <x v="0"/>
    <x v="1"/>
    <x v="3"/>
    <x v="5"/>
    <x v="0"/>
    <n v="400"/>
    <n v="100"/>
    <n v="400"/>
    <n v="100"/>
    <n v="15"/>
    <x v="1"/>
  </r>
  <r>
    <n v="10"/>
    <s v="Saturday, October 01, 2022"/>
    <n v="2022"/>
    <x v="9"/>
    <n v="1"/>
    <x v="1"/>
    <s v="Mike"/>
    <x v="1"/>
    <n v="25"/>
    <x v="0"/>
    <x v="1"/>
    <x v="7"/>
    <x v="3"/>
    <x v="1"/>
    <n v="400"/>
    <n v="200"/>
    <n v="400"/>
    <n v="200"/>
    <n v="14"/>
    <x v="0"/>
  </r>
  <r>
    <n v="11"/>
    <s v="Tuesday, November 01, 2022"/>
    <n v="2022"/>
    <x v="10"/>
    <n v="1"/>
    <x v="0"/>
    <s v="Mike"/>
    <x v="0"/>
    <n v="25"/>
    <x v="0"/>
    <x v="1"/>
    <x v="0"/>
    <x v="0"/>
    <x v="0"/>
    <n v="400"/>
    <n v="400"/>
    <n v="400"/>
    <n v="400"/>
    <n v="12"/>
    <x v="0"/>
  </r>
  <r>
    <n v="12"/>
    <s v="Thursday, December 01, 2022"/>
    <n v="2022"/>
    <x v="11"/>
    <n v="1"/>
    <x v="1"/>
    <s v="Mike"/>
    <x v="1"/>
    <n v="15"/>
    <x v="0"/>
    <x v="1"/>
    <x v="8"/>
    <x v="1"/>
    <x v="1"/>
    <n v="400"/>
    <n v="100"/>
    <n v="400"/>
    <n v="100"/>
    <n v="9"/>
    <x v="0"/>
  </r>
  <r>
    <n v="13"/>
    <s v="Saturday, January 01, 2022"/>
    <n v="2022"/>
    <x v="0"/>
    <n v="1"/>
    <x v="0"/>
    <s v="Mike"/>
    <x v="0"/>
    <n v="25"/>
    <x v="0"/>
    <x v="0"/>
    <x v="0"/>
    <x v="0"/>
    <x v="0"/>
    <n v="400"/>
    <n v="400"/>
    <n v="400"/>
    <n v="400"/>
    <n v="14"/>
    <x v="0"/>
  </r>
  <r>
    <n v="14"/>
    <s v="Tuesday, February 01, 2022"/>
    <n v="2022"/>
    <x v="1"/>
    <n v="1"/>
    <x v="1"/>
    <s v="Mike"/>
    <x v="1"/>
    <n v="15"/>
    <x v="0"/>
    <x v="0"/>
    <x v="1"/>
    <x v="1"/>
    <x v="1"/>
    <n v="400"/>
    <n v="100"/>
    <n v="400"/>
    <n v="100"/>
    <n v="11"/>
    <x v="1"/>
  </r>
  <r>
    <n v="15"/>
    <s v="Tuesday, March 01, 2022"/>
    <n v="2022"/>
    <x v="2"/>
    <n v="1"/>
    <x v="0"/>
    <s v="Mike"/>
    <x v="0"/>
    <n v="65"/>
    <x v="1"/>
    <x v="0"/>
    <x v="2"/>
    <x v="2"/>
    <x v="0"/>
    <n v="600"/>
    <n v="100"/>
    <n v="600"/>
    <n v="100"/>
    <n v="15"/>
    <x v="0"/>
  </r>
  <r>
    <n v="16"/>
    <s v="Tuesday, March 01, 2022"/>
    <n v="2022"/>
    <x v="2"/>
    <n v="1"/>
    <x v="1"/>
    <s v="Mike"/>
    <x v="1"/>
    <n v="44"/>
    <x v="2"/>
    <x v="1"/>
    <x v="3"/>
    <x v="3"/>
    <x v="1"/>
    <n v="400"/>
    <n v="100"/>
    <m/>
    <m/>
    <n v="13"/>
    <x v="0"/>
  </r>
  <r>
    <n v="17"/>
    <s v="Tuesday, March 01, 2022"/>
    <n v="2022"/>
    <x v="2"/>
    <n v="1"/>
    <x v="0"/>
    <s v="Lee"/>
    <x v="0"/>
    <n v="65"/>
    <x v="1"/>
    <x v="1"/>
    <x v="4"/>
    <x v="3"/>
    <x v="0"/>
    <n v="600"/>
    <n v="100"/>
    <m/>
    <m/>
    <n v="12"/>
    <x v="0"/>
  </r>
  <r>
    <n v="18"/>
    <s v="Wednesday, June 01, 2022"/>
    <n v="2022"/>
    <x v="5"/>
    <n v="1"/>
    <x v="1"/>
    <s v="Lee"/>
    <x v="1"/>
    <n v="80"/>
    <x v="1"/>
    <x v="1"/>
    <x v="5"/>
    <x v="4"/>
    <x v="1"/>
    <n v="800"/>
    <n v="100"/>
    <n v="800"/>
    <n v="100"/>
    <n v="11"/>
    <x v="0"/>
  </r>
  <r>
    <n v="19"/>
    <s v="Friday, July 01, 2022"/>
    <n v="2022"/>
    <x v="6"/>
    <n v="1"/>
    <x v="0"/>
    <s v="Lee"/>
    <x v="0"/>
    <n v="25"/>
    <x v="0"/>
    <x v="1"/>
    <x v="6"/>
    <x v="3"/>
    <x v="0"/>
    <n v="400"/>
    <n v="150"/>
    <n v="400"/>
    <n v="150"/>
    <n v="18"/>
    <x v="0"/>
  </r>
  <r>
    <n v="20"/>
    <s v="Monday, August 01, 2022"/>
    <n v="2022"/>
    <x v="7"/>
    <n v="1"/>
    <x v="1"/>
    <s v="Lee"/>
    <x v="1"/>
    <n v="25"/>
    <x v="0"/>
    <x v="0"/>
    <x v="2"/>
    <x v="1"/>
    <x v="1"/>
    <n v="400"/>
    <n v="100"/>
    <n v="400"/>
    <n v="100"/>
    <n v="13"/>
    <x v="1"/>
  </r>
  <r>
    <n v="21"/>
    <s v="Monday, August 01, 2022"/>
    <n v="2022"/>
    <x v="7"/>
    <n v="1"/>
    <x v="0"/>
    <s v="Lee"/>
    <x v="0"/>
    <n v="25"/>
    <x v="0"/>
    <x v="1"/>
    <x v="3"/>
    <x v="5"/>
    <x v="0"/>
    <n v="400"/>
    <n v="100"/>
    <m/>
    <m/>
    <n v="15"/>
    <x v="1"/>
  </r>
  <r>
    <n v="22"/>
    <s v="Saturday, October 01, 2022"/>
    <n v="2022"/>
    <x v="9"/>
    <n v="1"/>
    <x v="1"/>
    <s v="Mike"/>
    <x v="1"/>
    <n v="25"/>
    <x v="0"/>
    <x v="1"/>
    <x v="7"/>
    <x v="3"/>
    <x v="1"/>
    <n v="400"/>
    <n v="200"/>
    <n v="400"/>
    <n v="200"/>
    <n v="14"/>
    <x v="0"/>
  </r>
  <r>
    <n v="23"/>
    <s v="Saturday, October 01, 2022"/>
    <n v="2022"/>
    <x v="9"/>
    <n v="1"/>
    <x v="0"/>
    <s v="Mike"/>
    <x v="0"/>
    <n v="25"/>
    <x v="0"/>
    <x v="1"/>
    <x v="0"/>
    <x v="0"/>
    <x v="0"/>
    <n v="400"/>
    <n v="400"/>
    <m/>
    <m/>
    <n v="12"/>
    <x v="0"/>
  </r>
  <r>
    <n v="24"/>
    <s v="Saturday, October 01, 2022"/>
    <n v="2022"/>
    <x v="9"/>
    <n v="1"/>
    <x v="1"/>
    <s v="Mike"/>
    <x v="1"/>
    <n v="15"/>
    <x v="0"/>
    <x v="1"/>
    <x v="8"/>
    <x v="1"/>
    <x v="1"/>
    <n v="400"/>
    <n v="100"/>
    <m/>
    <m/>
    <n v="9"/>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x v="0"/>
  </r>
  <r>
    <x v="1"/>
    <x v="1"/>
    <x v="1"/>
    <x v="1"/>
    <x v="1"/>
  </r>
  <r>
    <x v="2"/>
    <x v="0"/>
    <x v="0"/>
    <x v="2"/>
    <x v="2"/>
  </r>
  <r>
    <x v="3"/>
    <x v="1"/>
    <x v="1"/>
    <x v="3"/>
    <x v="3"/>
  </r>
  <r>
    <x v="4"/>
    <x v="0"/>
    <x v="0"/>
    <x v="4"/>
    <x v="3"/>
  </r>
  <r>
    <x v="5"/>
    <x v="1"/>
    <x v="1"/>
    <x v="5"/>
    <x v="4"/>
  </r>
  <r>
    <x v="6"/>
    <x v="0"/>
    <x v="0"/>
    <x v="6"/>
    <x v="3"/>
  </r>
  <r>
    <x v="7"/>
    <x v="1"/>
    <x v="1"/>
    <x v="2"/>
    <x v="1"/>
  </r>
  <r>
    <x v="8"/>
    <x v="0"/>
    <x v="0"/>
    <x v="3"/>
    <x v="5"/>
  </r>
  <r>
    <x v="9"/>
    <x v="1"/>
    <x v="1"/>
    <x v="7"/>
    <x v="3"/>
  </r>
  <r>
    <x v="10"/>
    <x v="0"/>
    <x v="0"/>
    <x v="0"/>
    <x v="0"/>
  </r>
  <r>
    <x v="11"/>
    <x v="1"/>
    <x v="1"/>
    <x v="8"/>
    <x v="1"/>
  </r>
  <r>
    <x v="0"/>
    <x v="0"/>
    <x v="0"/>
    <x v="0"/>
    <x v="0"/>
  </r>
  <r>
    <x v="1"/>
    <x v="1"/>
    <x v="1"/>
    <x v="1"/>
    <x v="1"/>
  </r>
  <r>
    <x v="2"/>
    <x v="0"/>
    <x v="0"/>
    <x v="2"/>
    <x v="2"/>
  </r>
  <r>
    <x v="2"/>
    <x v="1"/>
    <x v="1"/>
    <x v="3"/>
    <x v="3"/>
  </r>
  <r>
    <x v="2"/>
    <x v="0"/>
    <x v="0"/>
    <x v="4"/>
    <x v="3"/>
  </r>
  <r>
    <x v="5"/>
    <x v="1"/>
    <x v="1"/>
    <x v="5"/>
    <x v="4"/>
  </r>
  <r>
    <x v="6"/>
    <x v="0"/>
    <x v="0"/>
    <x v="6"/>
    <x v="3"/>
  </r>
  <r>
    <x v="7"/>
    <x v="1"/>
    <x v="1"/>
    <x v="2"/>
    <x v="1"/>
  </r>
  <r>
    <x v="7"/>
    <x v="0"/>
    <x v="0"/>
    <x v="3"/>
    <x v="5"/>
  </r>
  <r>
    <x v="9"/>
    <x v="1"/>
    <x v="1"/>
    <x v="7"/>
    <x v="3"/>
  </r>
  <r>
    <x v="9"/>
    <x v="0"/>
    <x v="0"/>
    <x v="0"/>
    <x v="0"/>
  </r>
  <r>
    <x v="9"/>
    <x v="1"/>
    <x v="1"/>
    <x v="8"/>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x v="0"/>
    <x v="0"/>
    <x v="0"/>
  </r>
  <r>
    <x v="1"/>
    <x v="1"/>
    <x v="1"/>
    <x v="1"/>
    <x v="0"/>
  </r>
  <r>
    <x v="1"/>
    <x v="1"/>
    <x v="1"/>
    <x v="1"/>
    <x v="0"/>
  </r>
  <r>
    <x v="2"/>
    <x v="1"/>
    <x v="1"/>
    <x v="0"/>
    <x v="1"/>
  </r>
  <r>
    <x v="2"/>
    <x v="0"/>
    <x v="0"/>
    <x v="2"/>
    <x v="2"/>
  </r>
  <r>
    <x v="2"/>
    <x v="0"/>
    <x v="0"/>
    <x v="2"/>
    <x v="2"/>
  </r>
  <r>
    <x v="3"/>
    <x v="1"/>
    <x v="1"/>
    <x v="3"/>
    <x v="3"/>
  </r>
  <r>
    <x v="3"/>
    <x v="1"/>
    <x v="1"/>
    <x v="3"/>
    <x v="3"/>
  </r>
  <r>
    <x v="4"/>
    <x v="1"/>
    <x v="1"/>
    <x v="3"/>
    <x v="3"/>
  </r>
  <r>
    <x v="4"/>
    <x v="0"/>
    <x v="0"/>
    <x v="4"/>
    <x v="0"/>
  </r>
  <r>
    <x v="4"/>
    <x v="0"/>
    <x v="0"/>
    <x v="4"/>
    <x v="0"/>
  </r>
  <r>
    <x v="4"/>
    <x v="0"/>
    <x v="0"/>
    <x v="5"/>
    <x v="2"/>
  </r>
  <r>
    <x v="5"/>
    <x v="1"/>
    <x v="1"/>
    <x v="6"/>
    <x v="0"/>
  </r>
  <r>
    <x v="6"/>
    <x v="0"/>
    <x v="0"/>
    <x v="5"/>
    <x v="2"/>
  </r>
  <r>
    <x v="7"/>
    <x v="1"/>
    <x v="1"/>
    <x v="0"/>
    <x v="1"/>
  </r>
  <r>
    <x v="8"/>
    <x v="0"/>
    <x v="0"/>
    <x v="7"/>
    <x v="2"/>
  </r>
  <r>
    <x v="8"/>
    <x v="0"/>
    <x v="0"/>
    <x v="7"/>
    <x v="2"/>
  </r>
  <r>
    <x v="9"/>
    <x v="1"/>
    <x v="1"/>
    <x v="2"/>
    <x v="4"/>
  </r>
  <r>
    <x v="9"/>
    <x v="1"/>
    <x v="1"/>
    <x v="2"/>
    <x v="4"/>
  </r>
  <r>
    <x v="9"/>
    <x v="1"/>
    <x v="1"/>
    <x v="6"/>
    <x v="0"/>
  </r>
  <r>
    <x v="9"/>
    <x v="0"/>
    <x v="0"/>
    <x v="0"/>
    <x v="0"/>
  </r>
  <r>
    <x v="10"/>
    <x v="1"/>
    <x v="1"/>
    <x v="3"/>
    <x v="3"/>
  </r>
  <r>
    <x v="11"/>
    <x v="0"/>
    <x v="0"/>
    <x v="8"/>
    <x v="5"/>
  </r>
  <r>
    <x v="11"/>
    <x v="0"/>
    <x v="0"/>
    <x v="8"/>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305922-7F76-4003-93A8-8DF17E5E0AC8}" name="Trip Classify"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6">
  <location ref="N5:O9" firstHeaderRow="1" firstDataRow="1" firstDataCol="1"/>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axis="axisRow" dataField="1" showAll="0">
      <items count="4">
        <item x="0"/>
        <item x="1"/>
        <item x="2"/>
        <item t="default"/>
      </items>
    </pivotField>
    <pivotField showAll="0"/>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9"/>
  </rowFields>
  <rowItems count="4">
    <i>
      <x/>
    </i>
    <i>
      <x v="1"/>
    </i>
    <i>
      <x v="2"/>
    </i>
    <i t="grand">
      <x/>
    </i>
  </rowItems>
  <colItems count="1">
    <i/>
  </colItems>
  <dataFields count="1">
    <dataField name="Count of Trip Classify" fld="9" subtotal="count" baseField="0" baseItem="0"/>
  </dataFields>
  <chartFormats count="8">
    <chartFormat chart="1"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9" count="1" selected="0">
            <x v="0"/>
          </reference>
        </references>
      </pivotArea>
    </chartFormat>
    <chartFormat chart="3" format="7">
      <pivotArea type="data" outline="0" fieldPosition="0">
        <references count="2">
          <reference field="4294967294" count="1" selected="0">
            <x v="0"/>
          </reference>
          <reference field="9" count="1" selected="0">
            <x v="1"/>
          </reference>
        </references>
      </pivotArea>
    </chartFormat>
    <chartFormat chart="3" format="8">
      <pivotArea type="data" outline="0" fieldPosition="0">
        <references count="2">
          <reference field="4294967294" count="1" selected="0">
            <x v="0"/>
          </reference>
          <reference field="9" count="1" selected="0">
            <x v="2"/>
          </reference>
        </references>
      </pivotArea>
    </chartFormat>
    <chartFormat chart="1" format="1">
      <pivotArea type="data" outline="0" fieldPosition="0">
        <references count="2">
          <reference field="4294967294" count="1" selected="0">
            <x v="0"/>
          </reference>
          <reference field="9" count="1" selected="0">
            <x v="0"/>
          </reference>
        </references>
      </pivotArea>
    </chartFormat>
    <chartFormat chart="1" format="2">
      <pivotArea type="data" outline="0" fieldPosition="0">
        <references count="2">
          <reference field="4294967294" count="1" selected="0">
            <x v="0"/>
          </reference>
          <reference field="9" count="1" selected="0">
            <x v="1"/>
          </reference>
        </references>
      </pivotArea>
    </chartFormat>
    <chartFormat chart="1" format="3">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4180F8-6F03-48F4-B1FB-A7BBAD885CD1}" name="Expenses by Month"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AH7:AI20" firstHeaderRow="1" firstDataRow="1" firstDataCol="1"/>
  <pivotFields count="24">
    <pivotField numFmtId="1" showAll="0"/>
    <pivotField showAll="0"/>
    <pivotField showAll="0"/>
    <pivotField axis="axisRow"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3">
    <i>
      <x/>
    </i>
    <i>
      <x v="1"/>
    </i>
    <i>
      <x v="2"/>
    </i>
    <i>
      <x v="3"/>
    </i>
    <i>
      <x v="4"/>
    </i>
    <i>
      <x v="5"/>
    </i>
    <i>
      <x v="6"/>
    </i>
    <i>
      <x v="7"/>
    </i>
    <i>
      <x v="8"/>
    </i>
    <i>
      <x v="9"/>
    </i>
    <i>
      <x v="10"/>
    </i>
    <i>
      <x v="11"/>
    </i>
    <i t="grand">
      <x/>
    </i>
  </rowItems>
  <colItems count="1">
    <i/>
  </colItems>
  <dataFields count="1">
    <dataField name="Sum of Total Expenses" fld="20" baseField="0" baseItem="0" numFmtId="166"/>
  </dataFields>
  <chartFormats count="3">
    <chartFormat chart="9"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0BA8B7-2A2B-4A58-A82C-2DCAF7E54AD7}" name="Driver Wages per month"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4">
  <location ref="AX16:AY29" firstHeaderRow="1" firstDataRow="1" firstDataCol="1"/>
  <pivotFields count="24">
    <pivotField numFmtId="1" showAll="0"/>
    <pivotField showAll="0"/>
    <pivotField showAll="0"/>
    <pivotField axis="axisRow"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dataField="1"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3">
    <i>
      <x/>
    </i>
    <i>
      <x v="1"/>
    </i>
    <i>
      <x v="2"/>
    </i>
    <i>
      <x v="3"/>
    </i>
    <i>
      <x v="4"/>
    </i>
    <i>
      <x v="5"/>
    </i>
    <i>
      <x v="6"/>
    </i>
    <i>
      <x v="7"/>
    </i>
    <i>
      <x v="8"/>
    </i>
    <i>
      <x v="9"/>
    </i>
    <i>
      <x v="10"/>
    </i>
    <i>
      <x v="11"/>
    </i>
    <i t="grand">
      <x/>
    </i>
  </rowItems>
  <colItems count="1">
    <i/>
  </colItems>
  <dataFields count="1">
    <dataField name="Sum of Driver wage/trip" fld="14" baseField="0" baseItem="0"/>
  </dataFields>
  <chartFormats count="2">
    <chartFormat chart="23"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BD330A-5955-463A-B4A7-3B09CB4489BB}" name="Total Trips by Month"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0">
  <location ref="AS8:AU21" firstHeaderRow="0" firstDataRow="1" firstDataCol="1"/>
  <pivotFields count="24">
    <pivotField dataField="1" numFmtId="1" showAll="0"/>
    <pivotField showAll="0"/>
    <pivotField showAll="0"/>
    <pivotField axis="axisRow" dataField="1"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name="Count of N" fld="0" subtotal="count" baseField="3" baseItem="0"/>
    <dataField name="Count of Month" fld="3" subtotal="count" showDataAs="percentDiff" baseField="3" baseItem="1048828" numFmtId="9"/>
  </dataFields>
  <chartFormats count="28">
    <chartFormat chart="18"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18" format="1" series="1">
      <pivotArea type="data" outline="0" fieldPosition="0">
        <references count="1">
          <reference field="4294967294" count="1" selected="0">
            <x v="1"/>
          </reference>
        </references>
      </pivotArea>
    </chartFormat>
    <chartFormat chart="21" format="4">
      <pivotArea type="data" outline="0" fieldPosition="0">
        <references count="2">
          <reference field="4294967294" count="1" selected="0">
            <x v="0"/>
          </reference>
          <reference field="3" count="1" selected="0">
            <x v="0"/>
          </reference>
        </references>
      </pivotArea>
    </chartFormat>
    <chartFormat chart="21" format="5">
      <pivotArea type="data" outline="0" fieldPosition="0">
        <references count="2">
          <reference field="4294967294" count="1" selected="0">
            <x v="0"/>
          </reference>
          <reference field="3" count="1" selected="0">
            <x v="1"/>
          </reference>
        </references>
      </pivotArea>
    </chartFormat>
    <chartFormat chart="21" format="6">
      <pivotArea type="data" outline="0" fieldPosition="0">
        <references count="2">
          <reference field="4294967294" count="1" selected="0">
            <x v="0"/>
          </reference>
          <reference field="3" count="1" selected="0">
            <x v="2"/>
          </reference>
        </references>
      </pivotArea>
    </chartFormat>
    <chartFormat chart="21" format="7">
      <pivotArea type="data" outline="0" fieldPosition="0">
        <references count="2">
          <reference field="4294967294" count="1" selected="0">
            <x v="0"/>
          </reference>
          <reference field="3" count="1" selected="0">
            <x v="3"/>
          </reference>
        </references>
      </pivotArea>
    </chartFormat>
    <chartFormat chart="21" format="8">
      <pivotArea type="data" outline="0" fieldPosition="0">
        <references count="2">
          <reference field="4294967294" count="1" selected="0">
            <x v="0"/>
          </reference>
          <reference field="3" count="1" selected="0">
            <x v="4"/>
          </reference>
        </references>
      </pivotArea>
    </chartFormat>
    <chartFormat chart="21" format="9">
      <pivotArea type="data" outline="0" fieldPosition="0">
        <references count="2">
          <reference field="4294967294" count="1" selected="0">
            <x v="0"/>
          </reference>
          <reference field="3" count="1" selected="0">
            <x v="5"/>
          </reference>
        </references>
      </pivotArea>
    </chartFormat>
    <chartFormat chart="21" format="10">
      <pivotArea type="data" outline="0" fieldPosition="0">
        <references count="2">
          <reference field="4294967294" count="1" selected="0">
            <x v="0"/>
          </reference>
          <reference field="3" count="1" selected="0">
            <x v="6"/>
          </reference>
        </references>
      </pivotArea>
    </chartFormat>
    <chartFormat chart="21" format="11">
      <pivotArea type="data" outline="0" fieldPosition="0">
        <references count="2">
          <reference field="4294967294" count="1" selected="0">
            <x v="0"/>
          </reference>
          <reference field="3" count="1" selected="0">
            <x v="7"/>
          </reference>
        </references>
      </pivotArea>
    </chartFormat>
    <chartFormat chart="21" format="12">
      <pivotArea type="data" outline="0" fieldPosition="0">
        <references count="2">
          <reference field="4294967294" count="1" selected="0">
            <x v="0"/>
          </reference>
          <reference field="3" count="1" selected="0">
            <x v="8"/>
          </reference>
        </references>
      </pivotArea>
    </chartFormat>
    <chartFormat chart="21" format="13">
      <pivotArea type="data" outline="0" fieldPosition="0">
        <references count="2">
          <reference field="4294967294" count="1" selected="0">
            <x v="0"/>
          </reference>
          <reference field="3" count="1" selected="0">
            <x v="9"/>
          </reference>
        </references>
      </pivotArea>
    </chartFormat>
    <chartFormat chart="21" format="14">
      <pivotArea type="data" outline="0" fieldPosition="0">
        <references count="2">
          <reference field="4294967294" count="1" selected="0">
            <x v="0"/>
          </reference>
          <reference field="3" count="1" selected="0">
            <x v="10"/>
          </reference>
        </references>
      </pivotArea>
    </chartFormat>
    <chartFormat chart="21" format="15">
      <pivotArea type="data" outline="0" fieldPosition="0">
        <references count="2">
          <reference field="4294967294" count="1" selected="0">
            <x v="0"/>
          </reference>
          <reference field="3" count="1" selected="0">
            <x v="11"/>
          </reference>
        </references>
      </pivotArea>
    </chartFormat>
    <chartFormat chart="18" format="2">
      <pivotArea type="data" outline="0" fieldPosition="0">
        <references count="2">
          <reference field="4294967294" count="1" selected="0">
            <x v="0"/>
          </reference>
          <reference field="3" count="1" selected="0">
            <x v="0"/>
          </reference>
        </references>
      </pivotArea>
    </chartFormat>
    <chartFormat chart="18" format="3">
      <pivotArea type="data" outline="0" fieldPosition="0">
        <references count="2">
          <reference field="4294967294" count="1" selected="0">
            <x v="0"/>
          </reference>
          <reference field="3" count="1" selected="0">
            <x v="1"/>
          </reference>
        </references>
      </pivotArea>
    </chartFormat>
    <chartFormat chart="18" format="4">
      <pivotArea type="data" outline="0" fieldPosition="0">
        <references count="2">
          <reference field="4294967294" count="1" selected="0">
            <x v="0"/>
          </reference>
          <reference field="3" count="1" selected="0">
            <x v="2"/>
          </reference>
        </references>
      </pivotArea>
    </chartFormat>
    <chartFormat chart="18" format="5">
      <pivotArea type="data" outline="0" fieldPosition="0">
        <references count="2">
          <reference field="4294967294" count="1" selected="0">
            <x v="0"/>
          </reference>
          <reference field="3" count="1" selected="0">
            <x v="3"/>
          </reference>
        </references>
      </pivotArea>
    </chartFormat>
    <chartFormat chart="18" format="6">
      <pivotArea type="data" outline="0" fieldPosition="0">
        <references count="2">
          <reference field="4294967294" count="1" selected="0">
            <x v="0"/>
          </reference>
          <reference field="3" count="1" selected="0">
            <x v="4"/>
          </reference>
        </references>
      </pivotArea>
    </chartFormat>
    <chartFormat chart="18" format="7">
      <pivotArea type="data" outline="0" fieldPosition="0">
        <references count="2">
          <reference field="4294967294" count="1" selected="0">
            <x v="0"/>
          </reference>
          <reference field="3" count="1" selected="0">
            <x v="5"/>
          </reference>
        </references>
      </pivotArea>
    </chartFormat>
    <chartFormat chart="18" format="8">
      <pivotArea type="data" outline="0" fieldPosition="0">
        <references count="2">
          <reference field="4294967294" count="1" selected="0">
            <x v="0"/>
          </reference>
          <reference field="3" count="1" selected="0">
            <x v="6"/>
          </reference>
        </references>
      </pivotArea>
    </chartFormat>
    <chartFormat chart="18" format="9">
      <pivotArea type="data" outline="0" fieldPosition="0">
        <references count="2">
          <reference field="4294967294" count="1" selected="0">
            <x v="0"/>
          </reference>
          <reference field="3" count="1" selected="0">
            <x v="7"/>
          </reference>
        </references>
      </pivotArea>
    </chartFormat>
    <chartFormat chart="18" format="10">
      <pivotArea type="data" outline="0" fieldPosition="0">
        <references count="2">
          <reference field="4294967294" count="1" selected="0">
            <x v="0"/>
          </reference>
          <reference field="3" count="1" selected="0">
            <x v="8"/>
          </reference>
        </references>
      </pivotArea>
    </chartFormat>
    <chartFormat chart="18" format="11">
      <pivotArea type="data" outline="0" fieldPosition="0">
        <references count="2">
          <reference field="4294967294" count="1" selected="0">
            <x v="0"/>
          </reference>
          <reference field="3" count="1" selected="0">
            <x v="9"/>
          </reference>
        </references>
      </pivotArea>
    </chartFormat>
    <chartFormat chart="18" format="12">
      <pivotArea type="data" outline="0" fieldPosition="0">
        <references count="2">
          <reference field="4294967294" count="1" selected="0">
            <x v="0"/>
          </reference>
          <reference field="3" count="1" selected="0">
            <x v="10"/>
          </reference>
        </references>
      </pivotArea>
    </chartFormat>
    <chartFormat chart="18" format="13">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D32688E-BEE6-4565-98B8-54B0B5ADE84F}" name="TotalSalarie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B7:AB8" firstHeaderRow="1" firstDataRow="1" firstDataCol="0"/>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Total Salaries" fld="21" baseField="0" baseItem="0"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204473-A58D-4C59-9BA6-1C23170EFD9C}" name="TotalExpense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Z7:Z8" firstHeaderRow="1" firstDataRow="1" firstDataCol="0"/>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Total Expenses" fld="20"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DCAB3C-8903-4731-B220-C893318B5F07}" name="CargoType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7">
  <location ref="V21:W24" firstHeaderRow="1" firstDataRow="1" firstDataCol="1"/>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axis="axisRow" dataField="1" showAll="0">
      <items count="3">
        <item x="0"/>
        <item x="1"/>
        <item t="default"/>
      </items>
    </pivotField>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3"/>
  </rowFields>
  <rowItems count="3">
    <i>
      <x/>
    </i>
    <i>
      <x v="1"/>
    </i>
    <i t="grand">
      <x/>
    </i>
  </rowItems>
  <colItems count="1">
    <i/>
  </colItems>
  <dataFields count="1">
    <dataField name="Count of Goods" fld="13" subtotal="count" baseField="0" baseItem="0"/>
  </dataFields>
  <chartFormats count="4">
    <chartFormat chart="32" format="0"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4" format="3">
      <pivotArea type="data" outline="0" fieldPosition="0">
        <references count="2">
          <reference field="4294967294" count="1" selected="0">
            <x v="0"/>
          </reference>
          <reference field="13" count="1" selected="0">
            <x v="0"/>
          </reference>
        </references>
      </pivotArea>
    </chartFormat>
    <chartFormat chart="34" format="4">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A492B76-0A14-4BEC-804C-77AA9F08240C}" name="TotalTrip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4:B5" firstHeaderRow="1" firstDataRow="1" firstDataCol="0"/>
  <pivotFields count="24">
    <pivotField dataField="1"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Count of N" fld="0" subtotal="count" baseField="0" baseItem="688150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2E91F36-8F9F-453D-93FD-C181B506F966}" name="Total Distance"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P26:AP27" firstHeaderRow="1" firstDataRow="1" firstDataCol="0"/>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dataField="1" showAll="0"/>
    <pivotField showAll="0"/>
    <pivotField showAll="0"/>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Distance (k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B5E0EF7-9D6B-4886-8C5A-CB7C1189B376}" name="HiredTransportation"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4:E7" firstHeaderRow="1" firstDataRow="1" firstDataCol="1"/>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axis="axisRow" dataField="1" showAll="0">
      <items count="3">
        <item x="0"/>
        <item x="1"/>
        <item t="default"/>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9"/>
  </rowFields>
  <rowItems count="3">
    <i>
      <x/>
    </i>
    <i>
      <x v="1"/>
    </i>
    <i t="grand">
      <x/>
    </i>
  </rowItems>
  <colItems count="1">
    <i/>
  </colItems>
  <dataFields count="1">
    <dataField name="Count of Hired Transportation" fld="1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55F5B49-8333-4221-A338-0615C7951CE1}" name="Trip Type"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AO9:AP12" firstHeaderRow="1" firstDataRow="1" firstDataCol="1"/>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axis="axisRow" dataField="1" showAll="0">
      <items count="3">
        <item x="1"/>
        <item x="0"/>
        <item t="default"/>
      </items>
    </pivotField>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10"/>
  </rowFields>
  <rowItems count="3">
    <i>
      <x/>
    </i>
    <i>
      <x v="1"/>
    </i>
    <i t="grand">
      <x/>
    </i>
  </rowItems>
  <colItems count="1">
    <i/>
  </colItems>
  <dataFields count="1">
    <dataField name="Count of Distance Traveled"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CABC118-6018-4084-A7F5-9972B9C1B195}" name="Driver Salary and Wage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AX8:AY9" firstHeaderRow="0" firstDataRow="1" firstDataCol="0"/>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dataField="1" numFmtId="166" showAll="0"/>
    <pivotField numFmtId="166" showAll="0"/>
    <pivotField dataField="1"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Fields count="1">
    <field x="-2"/>
  </colFields>
  <colItems count="2">
    <i>
      <x/>
    </i>
    <i i="1">
      <x v="1"/>
    </i>
  </colItems>
  <dataFields count="2">
    <dataField name="Sum of Driver wage/trip" fld="14" baseField="0" baseItem="0" numFmtId="167"/>
    <dataField name="Sum of Driver Salary" fld="16" baseField="0" baseItem="0" numFmtId="167"/>
  </dataFields>
  <formats count="2">
    <format dxfId="8">
      <pivotArea outline="0" collapsedLevelsAreSubtotals="1" fieldPosition="0">
        <references count="1">
          <reference field="4294967294" count="1" selected="0">
            <x v="1"/>
          </reference>
        </references>
      </pivotArea>
    </format>
    <format dxfId="9">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38E9C34-266B-4F14-A8FF-87B07C5CED04}" name="Buddy Salary and Wage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2">
  <location ref="BB8:BC9" firstHeaderRow="0" firstDataRow="1" firstDataCol="0"/>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dataField="1" numFmtId="166" showAll="0"/>
    <pivotField showAll="0"/>
    <pivotField dataField="1"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Fields count="1">
    <field x="-2"/>
  </colFields>
  <colItems count="2">
    <i>
      <x/>
    </i>
    <i i="1">
      <x v="1"/>
    </i>
  </colItems>
  <dataFields count="2">
    <dataField name="Sum of Buddy wage/trip" fld="15" baseField="0" baseItem="0" numFmtId="167"/>
    <dataField name="Sum of Buddy Salary" fld="17" baseField="0" baseItem="0" numFmtId="167"/>
  </dataFields>
  <formats count="2">
    <format dxfId="10">
      <pivotArea outline="0" collapsedLevelsAreSubtotals="1" fieldPosition="0">
        <references count="1">
          <reference field="4294967294" count="1" selected="0">
            <x v="1"/>
          </reference>
        </references>
      </pivotArea>
    </format>
    <format dxfId="1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A474667-733E-4C0D-A4D3-0D9DA8006E6A}" name="Buddy Wages per month"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4">
  <location ref="BB16:BC29" firstHeaderRow="1" firstDataRow="1" firstDataCol="1"/>
  <pivotFields count="24">
    <pivotField numFmtId="1" showAll="0"/>
    <pivotField showAll="0"/>
    <pivotField showAll="0"/>
    <pivotField axis="axisRow"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dataField="1"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3">
    <i>
      <x/>
    </i>
    <i>
      <x v="1"/>
    </i>
    <i>
      <x v="2"/>
    </i>
    <i>
      <x v="3"/>
    </i>
    <i>
      <x v="4"/>
    </i>
    <i>
      <x v="5"/>
    </i>
    <i>
      <x v="6"/>
    </i>
    <i>
      <x v="7"/>
    </i>
    <i>
      <x v="8"/>
    </i>
    <i>
      <x v="9"/>
    </i>
    <i>
      <x v="10"/>
    </i>
    <i>
      <x v="11"/>
    </i>
    <i t="grand">
      <x/>
    </i>
  </rowItems>
  <colItems count="1">
    <i/>
  </colItems>
  <dataFields count="1">
    <dataField name="Sum of Buddy wage/trip" fld="15" baseField="0" baseItem="0"/>
  </dataFields>
  <chartFormats count="3">
    <chartFormat chart="23" format="0"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1599C5D9-0EDD-44D4-9D1F-ABF981BCE3E3}" name="Wage/Trip"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U5:W9" firstHeaderRow="0" firstDataRow="1" firstDataCol="1"/>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axis="axisRow" showAll="0">
      <items count="4">
        <item x="0"/>
        <item x="1"/>
        <item x="2"/>
        <item t="default"/>
      </items>
    </pivotField>
    <pivotField showAll="0"/>
    <pivotField showAll="0"/>
    <pivotField showAll="0"/>
    <pivotField showAll="0"/>
    <pivotField dataField="1" numFmtId="166" showAll="0"/>
    <pivotField dataField="1"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9"/>
  </rowFields>
  <rowItems count="4">
    <i>
      <x/>
    </i>
    <i>
      <x v="1"/>
    </i>
    <i>
      <x v="2"/>
    </i>
    <i t="grand">
      <x/>
    </i>
  </rowItems>
  <colFields count="1">
    <field x="-2"/>
  </colFields>
  <colItems count="2">
    <i>
      <x/>
    </i>
    <i i="1">
      <x v="1"/>
    </i>
  </colItems>
  <dataFields count="2">
    <dataField name="Sum of Driver wage/trip" fld="14" baseField="0" baseItem="0"/>
    <dataField name="Sum of Buddy wage/trip" fld="15" baseField="0" baseItem="0"/>
  </dataFields>
  <chartFormats count="4">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BE25D11-EB99-425E-9D9A-EADB80BFD2DD}" name="TotalWages"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8">
  <location ref="AD7:AD8" firstHeaderRow="1" firstDataRow="1" firstDataCol="0"/>
  <pivotFields count="24">
    <pivotField numFmtId="1" showAll="0"/>
    <pivotField showAll="0"/>
    <pivotField showAll="0"/>
    <pivotField showAll="0">
      <items count="13">
        <item x="0"/>
        <item x="1"/>
        <item x="2"/>
        <item x="3"/>
        <item x="4"/>
        <item x="5"/>
        <item x="6"/>
        <item x="7"/>
        <item x="8"/>
        <item x="9"/>
        <item x="10"/>
        <item x="11"/>
        <item t="default"/>
      </items>
    </pivotField>
    <pivotField showAll="0"/>
    <pivotField showAll="0">
      <items count="3">
        <item x="0"/>
        <item x="1"/>
        <item t="default"/>
      </items>
    </pivotField>
    <pivotField showAll="0"/>
    <pivotField showAll="0"/>
    <pivotField showAll="0"/>
    <pivotField showAll="0"/>
    <pivotField showAll="0"/>
    <pivotField showAll="0"/>
    <pivotField showAll="0"/>
    <pivotField showAll="0"/>
    <pivotField numFmtId="166" showAll="0"/>
    <pivotField numFmtId="166" showAll="0"/>
    <pivotField showAll="0"/>
    <pivotField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Items count="1">
    <i/>
  </rowItems>
  <colItems count="1">
    <i/>
  </colItems>
  <dataFields count="1">
    <dataField name="Sum of Total Wages" fld="23" baseField="0" baseItem="0"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2DB8DE0-0E11-4BEC-BC30-BB4395D29F5A}" name="PivotTable11" cacheId="3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H22:H35" firstHeaderRow="1" firstDataRow="1" firstDataCol="1" rowPageCount="2" colPageCount="1"/>
  <pivotFields count="5">
    <pivotField axis="axisRow" showAll="0">
      <items count="13">
        <item x="0"/>
        <item x="1"/>
        <item x="2"/>
        <item x="3"/>
        <item x="4"/>
        <item x="5"/>
        <item x="6"/>
        <item x="7"/>
        <item x="8"/>
        <item x="9"/>
        <item x="10"/>
        <item x="11"/>
        <item t="default"/>
      </items>
    </pivotField>
    <pivotField axis="axisPage" multipleItemSelectionAllowed="1" showAll="0">
      <items count="3">
        <item x="1"/>
        <item x="0"/>
        <item t="default"/>
      </items>
    </pivotField>
    <pivotField axis="axisPage" showAll="0">
      <items count="3">
        <item x="1"/>
        <item x="0"/>
        <item t="default"/>
      </items>
    </pivotField>
    <pivotField showAll="0">
      <items count="10">
        <item x="4"/>
        <item x="8"/>
        <item x="2"/>
        <item x="1"/>
        <item x="7"/>
        <item x="5"/>
        <item x="0"/>
        <item x="6"/>
        <item x="3"/>
        <item t="default"/>
      </items>
    </pivotField>
    <pivotField showAll="0">
      <items count="7">
        <item x="3"/>
        <item x="1"/>
        <item x="2"/>
        <item x="4"/>
        <item x="5"/>
        <item x="0"/>
        <item t="default"/>
      </items>
    </pivotField>
  </pivotFields>
  <rowFields count="1">
    <field x="0"/>
  </rowFields>
  <rowItems count="13">
    <i>
      <x/>
    </i>
    <i>
      <x v="1"/>
    </i>
    <i>
      <x v="2"/>
    </i>
    <i>
      <x v="3"/>
    </i>
    <i>
      <x v="4"/>
    </i>
    <i>
      <x v="5"/>
    </i>
    <i>
      <x v="6"/>
    </i>
    <i>
      <x v="7"/>
    </i>
    <i>
      <x v="8"/>
    </i>
    <i>
      <x v="9"/>
    </i>
    <i>
      <x v="10"/>
    </i>
    <i>
      <x v="11"/>
    </i>
    <i t="grand">
      <x/>
    </i>
  </rowItems>
  <colItems count="1">
    <i/>
  </colItems>
  <pageFields count="2">
    <pageField fld="1"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9476A47-C011-4070-8570-84E29828B4CD}" name="PivotTable3" cacheId="4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5:I18" firstHeaderRow="1" firstDataRow="1" firstDataCol="1" rowPageCount="1" colPageCount="1"/>
  <pivotFields count="5">
    <pivotField axis="axisRow" showAll="0">
      <items count="13">
        <item x="3"/>
        <item x="6"/>
        <item x="7"/>
        <item x="0"/>
        <item x="9"/>
        <item x="4"/>
        <item x="11"/>
        <item x="8"/>
        <item x="1"/>
        <item x="2"/>
        <item x="10"/>
        <item x="5"/>
        <item t="default"/>
      </items>
    </pivotField>
    <pivotField axis="axisPage" showAll="0">
      <items count="3">
        <item x="0"/>
        <item x="1"/>
        <item t="default"/>
      </items>
    </pivotField>
    <pivotField showAll="0">
      <items count="3">
        <item x="0"/>
        <item x="1"/>
        <item t="default"/>
      </items>
    </pivotField>
    <pivotField showAll="0">
      <items count="10">
        <item x="7"/>
        <item x="5"/>
        <item x="2"/>
        <item x="6"/>
        <item x="1"/>
        <item x="8"/>
        <item x="3"/>
        <item x="4"/>
        <item x="0"/>
        <item t="default"/>
      </items>
    </pivotField>
    <pivotField showAll="0">
      <items count="7">
        <item x="0"/>
        <item x="5"/>
        <item x="1"/>
        <item x="2"/>
        <item x="4"/>
        <item x="3"/>
        <item t="default"/>
      </items>
    </pivotField>
  </pivotFields>
  <rowFields count="1">
    <field x="0"/>
  </rowFields>
  <rowItems count="13">
    <i>
      <x/>
    </i>
    <i>
      <x v="1"/>
    </i>
    <i>
      <x v="2"/>
    </i>
    <i>
      <x v="3"/>
    </i>
    <i>
      <x v="4"/>
    </i>
    <i>
      <x v="5"/>
    </i>
    <i>
      <x v="6"/>
    </i>
    <i>
      <x v="7"/>
    </i>
    <i>
      <x v="8"/>
    </i>
    <i>
      <x v="9"/>
    </i>
    <i>
      <x v="10"/>
    </i>
    <i>
      <x v="11"/>
    </i>
    <i t="grand">
      <x/>
    </i>
  </rowItems>
  <colItems count="1">
    <i/>
  </colItems>
  <pageFields count="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B504A04-2C9F-4B76-8381-2983EF47B78E}" sourceName="Month">
  <pivotTables>
    <pivotTable tabId="5" name="TotalTrips"/>
    <pivotTable tabId="5" name="CargoTypes"/>
    <pivotTable tabId="5" name="Driver Wages per month"/>
    <pivotTable tabId="5" name="HiredTransportation"/>
    <pivotTable tabId="5" name="Buddy Salary and Wages"/>
    <pivotTable tabId="5" name="Total Distance"/>
    <pivotTable tabId="5" name="TotalExpenses"/>
    <pivotTable tabId="5" name="TotalSalaries"/>
    <pivotTable tabId="5" name="TotalWages"/>
    <pivotTable tabId="5" name="Trip Classify"/>
    <pivotTable tabId="5" name="Trip Type"/>
    <pivotTable tabId="5" name="Wage/Trip"/>
    <pivotTable tabId="5" name="Buddy Wages per month"/>
    <pivotTable tabId="5" name="Driver Salary and Wages"/>
    <pivotTable tabId="5" name="Expenses by Month"/>
    <pivotTable tabId="5" name="Total Trips by Month"/>
  </pivotTables>
  <data>
    <tabular pivotCacheId="2142607515" showMissing="0">
      <items count="12">
        <i x="0" s="1"/>
        <i x="1" s="1"/>
        <i x="2" s="1"/>
        <i x="3" s="1"/>
        <i x="4" s="1"/>
        <i x="5" s="1"/>
        <i x="6" s="1"/>
        <i x="7" s="1"/>
        <i x="8" s="1"/>
        <i x="9" s="1"/>
        <i x="10" s="1"/>
        <i x="1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 xr10:uid="{894EC8B8-DEA7-4B7D-ADD8-1D9FD13AC7CE}" sourceName="Driver">
  <pivotTables>
    <pivotTable tabId="5" name="TotalTrips"/>
    <pivotTable tabId="5" name="Buddy Wages per month"/>
    <pivotTable tabId="5" name="CargoTypes"/>
    <pivotTable tabId="5" name="Driver Salary and Wages"/>
    <pivotTable tabId="5" name="Driver Wages per month"/>
    <pivotTable tabId="5" name="Expenses by Month"/>
    <pivotTable tabId="5" name="HiredTransportation"/>
    <pivotTable tabId="5" name="Buddy Salary and Wages"/>
    <pivotTable tabId="5" name="Total Distance"/>
    <pivotTable tabId="5" name="Total Trips by Month"/>
    <pivotTable tabId="5" name="TotalExpenses"/>
    <pivotTable tabId="5" name="TotalSalaries"/>
    <pivotTable tabId="5" name="TotalWages"/>
    <pivotTable tabId="5" name="Trip Classify"/>
    <pivotTable tabId="5" name="Trip Type"/>
    <pivotTable tabId="5" name="Wage/Trip"/>
  </pivotTables>
  <data>
    <tabular pivotCacheId="2142607515" showMissing="0" crossFilter="none">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746408A2-9B83-46A4-985D-317C7F7F98F6}" cache="Slicer_Month" caption="Month" columnCount="3" showCaption="0" style="Slicer Style 1 2 3" lockedPosition="1" rowHeight="257175"/>
  <slicer name="Month 2" xr10:uid="{36BA0258-048A-482F-92C1-C6766DBE1EC8}" cache="Slicer_Month" caption="Month" columnCount="3" showCaption="0" style="Slicer Style 1 2 3" lockedPosition="1" rowHeight="257175"/>
  <slicer name="Driver" xr10:uid="{988721B4-D6E0-4B6D-B7F4-EB29D63CF948}" cache="Slicer_Driver" caption="Driver" showCaption="0" style="Slicer Style 1 2 3" lockedPosition="1" rowHeight="731520"/>
  <slicer name="Driver 1" xr10:uid="{BAFC9933-891D-47EC-AB2B-DE3C27ABBABF}" cache="Slicer_Driver" caption="Driver" showCaption="0" style="Slicer Style 1 2 3" lockedPosition="1" rowHeight="73152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6A1213D8-A6A2-415A-A829-E7C4E907EB2A}" cache="Slicer_Month" caption="Month" columnCount="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C5FFC4-0F95-E849-AFB2-F8EA7D483F1F}" name="Main_Table" displayName="Main_Table" ref="A1:T25" totalsRowShown="0" headerRowDxfId="40" dataDxfId="38" headerRowBorderDxfId="39" tableBorderDxfId="37" dataCellStyle="Currency">
  <autoFilter ref="A1:T25" xr:uid="{84C5FFC4-0F95-E849-AFB2-F8EA7D483F1F}"/>
  <sortState xmlns:xlrd2="http://schemas.microsoft.com/office/spreadsheetml/2017/richdata2" ref="A2:T25">
    <sortCondition ref="A1:A25"/>
  </sortState>
  <tableColumns count="20">
    <tableColumn id="1" xr3:uid="{C0331F21-017F-9047-A7BC-00708DAEF677}" name="N" dataDxfId="36" dataCellStyle="Currency"/>
    <tableColumn id="2" xr3:uid="{E8E25A6D-4457-5A43-885F-D4B8523BEC7B}" name="Date" dataDxfId="35"/>
    <tableColumn id="3" xr3:uid="{ED5F65CF-8DAF-A64A-B330-FC8CA06635F4}" name="Year" dataDxfId="34"/>
    <tableColumn id="4" xr3:uid="{1A82F85F-568B-554A-B629-F33CE74DDCAA}" name="Month" dataDxfId="33"/>
    <tableColumn id="5" xr3:uid="{8274E1F1-5607-FB48-9F63-46DF798A0B43}" name="Day" dataDxfId="32"/>
    <tableColumn id="6" xr3:uid="{6A90C817-EF5C-5343-AF91-F6C5871ACAA1}" name="Driver" dataDxfId="31"/>
    <tableColumn id="7" xr3:uid="{277D6442-277D-0043-963E-BFFB33A8373C}" name="Buddy" dataDxfId="30"/>
    <tableColumn id="8" xr3:uid="{7ED7BC23-6522-724C-A392-A4B00AF01FD7}" name="Vehicle" dataDxfId="29"/>
    <tableColumn id="9" xr3:uid="{70870C9B-2D80-CC47-AD37-7769803E6A1C}" name="Distance (km)" dataDxfId="28"/>
    <tableColumn id="10" xr3:uid="{B33E6540-F9D4-A843-9D57-1CBE78A543BA}" name="Trip Classify" dataDxfId="27"/>
    <tableColumn id="11" xr3:uid="{1BDA710B-6EC4-F847-A14A-14D68A05A486}" name="Distance Traveled" dataDxfId="26" dataCellStyle="Currency"/>
    <tableColumn id="12" xr3:uid="{790B5258-1600-2941-A6EA-82D2FA062478}" name="From" dataDxfId="25"/>
    <tableColumn id="13" xr3:uid="{85F1EE10-5F00-7A4C-A1DD-AB3EF15E3045}" name="To" dataDxfId="24"/>
    <tableColumn id="14" xr3:uid="{976AE6D9-A46B-B747-BBB0-D5B9975EA329}" name="Goods" dataDxfId="23"/>
    <tableColumn id="15" xr3:uid="{7AD2D6FF-E3D2-CB41-8956-2E011A8C5614}" name="Driver wage/trip" dataDxfId="22" dataCellStyle="Currency"/>
    <tableColumn id="16" xr3:uid="{C5CE1DF6-14FC-DA4B-B26B-8B39CACEF84D}" name="Buddy wage/trip" dataDxfId="21" dataCellStyle="Currency"/>
    <tableColumn id="17" xr3:uid="{882E4C0E-58CD-4040-932A-F9725C18E032}" name="Driver Salary" dataDxfId="20" dataCellStyle="Currency"/>
    <tableColumn id="18" xr3:uid="{99CC0155-F377-B146-9559-6004A670A781}" name="Buddy Salary" dataDxfId="19" dataCellStyle="Currency"/>
    <tableColumn id="19" xr3:uid="{615C606D-28CF-2447-9B2F-33672EDF766A}" name="Weight (Tons)" dataDxfId="18" dataCellStyle="Currency"/>
    <tableColumn id="20" xr3:uid="{78A21D70-2B4D-3C4D-9257-910B3072CE20}" name="Hired Transportation" dataDxfId="17" dataCellStyle="Currency"/>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6C34929-8404-4589-8EA0-6F55633B7129}" name="driverschedule" displayName="driverschedule" ref="B3:F27" headerRowDxfId="6" dataDxfId="7" totalsRowDxfId="5">
  <autoFilter ref="B3:F27" xr:uid="{46C34929-8404-4589-8EA0-6F55633B7129}">
    <filterColumn colId="0" hiddenButton="1"/>
    <filterColumn colId="1" hiddenButton="1"/>
    <filterColumn colId="2" hiddenButton="1"/>
    <filterColumn colId="3" hiddenButton="1"/>
    <filterColumn colId="4" hiddenButton="1"/>
  </autoFilter>
  <sortState xmlns:xlrd2="http://schemas.microsoft.com/office/spreadsheetml/2017/richdata2" ref="B4:F27">
    <sortCondition ref="B3:B27"/>
  </sortState>
  <tableColumns count="5">
    <tableColumn id="1" xr3:uid="{7DE20513-1E44-4D05-9D15-E316DBB4A891}" name="Date" totalsRowLabel="Total" dataDxfId="4" totalsRowDxfId="12"/>
    <tableColumn id="2" xr3:uid="{3DCE7098-46AC-4350-9897-F7599C3D7B3A}" name="Driver" dataDxfId="3" totalsRowDxfId="13"/>
    <tableColumn id="3" xr3:uid="{3B3A3737-FE05-46D5-9B75-7D65D79C6372}" name="Vehicle" dataDxfId="2" totalsRowDxfId="14"/>
    <tableColumn id="4" xr3:uid="{5995FCEB-9911-444B-9F1A-4EC6A1402451}" name="From" dataDxfId="1" totalsRowDxfId="15"/>
    <tableColumn id="5" xr3:uid="{47927F0F-0F64-431E-9BFB-F34701BAE122}" name="To" totalsRowFunction="count" dataDxfId="0" totalsRowDxfId="16"/>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3.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BAE-3875-4A95-972F-912FB634D453}">
  <sheetPr codeName="Sheet1"/>
  <dimension ref="A1"/>
  <sheetViews>
    <sheetView showGridLines="0" tabSelected="1" zoomScale="85" zoomScaleNormal="85" zoomScalePageLayoutView="55" workbookViewId="0">
      <selection activeCell="Y27" sqref="Y27"/>
    </sheetView>
  </sheetViews>
  <sheetFormatPr defaultRowHeight="15.75" x14ac:dyDescent="0.25"/>
  <cols>
    <col min="1" max="28" width="9" style="14"/>
    <col min="29" max="29" width="10.25" style="14" customWidth="1"/>
    <col min="30" max="16384" width="9" style="14"/>
  </cols>
  <sheetData/>
  <pageMargins left="0.7" right="0.7" top="0.75" bottom="0.75" header="0.3" footer="0.3"/>
  <pageSetup paperSize="9"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AE217-DA3F-4807-94FD-0B7E82EF613D}">
  <sheetPr codeName="Sheet2"/>
  <dimension ref="A1"/>
  <sheetViews>
    <sheetView topLeftCell="T1" zoomScale="145" zoomScaleNormal="145" workbookViewId="0">
      <selection activeCell="AC71" sqref="AC71"/>
    </sheetView>
  </sheetViews>
  <sheetFormatPr defaultRowHeight="15.7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36AC4-AEB6-CA43-8C29-B2F3A85BECA9}">
  <sheetPr codeName="Sheet3"/>
  <dimension ref="A1:T25"/>
  <sheetViews>
    <sheetView showGridLines="0" showRowColHeaders="0" topLeftCell="A3" zoomScaleNormal="100" workbookViewId="0">
      <selection activeCell="L1" sqref="L1:M25"/>
    </sheetView>
  </sheetViews>
  <sheetFormatPr defaultColWidth="12" defaultRowHeight="15.75" x14ac:dyDescent="0.25"/>
  <cols>
    <col min="1" max="1" width="3.5" style="1" bestFit="1" customWidth="1"/>
    <col min="2" max="2" width="28.5" style="1" bestFit="1" customWidth="1"/>
    <col min="3" max="3" width="9.125" style="1" customWidth="1"/>
    <col min="4" max="4" width="6.875" style="1" customWidth="1"/>
    <col min="5" max="5" width="8.625" style="1" customWidth="1"/>
    <col min="6" max="6" width="9.375" style="1" customWidth="1"/>
    <col min="7" max="8" width="14" style="1" bestFit="1" customWidth="1"/>
    <col min="9" max="9" width="11.125" style="1" customWidth="1"/>
    <col min="10" max="12" width="10.125" style="1" bestFit="1" customWidth="1"/>
    <col min="13" max="13" width="11.5" style="1" bestFit="1" customWidth="1"/>
    <col min="14" max="14" width="13.125" style="1" customWidth="1"/>
    <col min="15" max="15" width="9.375" style="1" bestFit="1" customWidth="1"/>
    <col min="16" max="16" width="11.625" style="1" customWidth="1"/>
    <col min="17" max="17" width="9.125" style="1" customWidth="1"/>
    <col min="18" max="18" width="12.625" style="1" customWidth="1"/>
    <col min="19" max="19" width="14.125" style="1" customWidth="1"/>
    <col min="20" max="16384" width="12" style="1"/>
  </cols>
  <sheetData>
    <row r="1" spans="1:20" s="2" customFormat="1" ht="35.1" customHeight="1" x14ac:dyDescent="0.25">
      <c r="A1" s="3"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row>
    <row r="2" spans="1:20" ht="24" customHeight="1" x14ac:dyDescent="0.25">
      <c r="A2" s="4">
        <v>1</v>
      </c>
      <c r="B2" s="5" t="s">
        <v>20</v>
      </c>
      <c r="C2" s="6">
        <v>2022</v>
      </c>
      <c r="D2" s="7" t="s">
        <v>21</v>
      </c>
      <c r="E2" s="6">
        <v>1</v>
      </c>
      <c r="F2" s="6" t="s">
        <v>22</v>
      </c>
      <c r="G2" s="6" t="s">
        <v>23</v>
      </c>
      <c r="H2" s="6" t="s">
        <v>24</v>
      </c>
      <c r="I2" s="6">
        <v>25</v>
      </c>
      <c r="J2" s="6" t="s">
        <v>25</v>
      </c>
      <c r="K2" s="8" t="s">
        <v>26</v>
      </c>
      <c r="L2" s="6" t="s">
        <v>27</v>
      </c>
      <c r="M2" s="6" t="s">
        <v>28</v>
      </c>
      <c r="N2" s="6" t="s">
        <v>29</v>
      </c>
      <c r="O2" s="8">
        <v>400</v>
      </c>
      <c r="P2" s="8">
        <v>400</v>
      </c>
      <c r="Q2" s="8">
        <v>400</v>
      </c>
      <c r="R2" s="8">
        <v>400</v>
      </c>
      <c r="S2" s="4">
        <v>14</v>
      </c>
      <c r="T2" s="8" t="s">
        <v>30</v>
      </c>
    </row>
    <row r="3" spans="1:20" ht="24" customHeight="1" x14ac:dyDescent="0.25">
      <c r="A3" s="9">
        <v>2</v>
      </c>
      <c r="B3" s="10" t="s">
        <v>31</v>
      </c>
      <c r="C3" s="11">
        <v>2022</v>
      </c>
      <c r="D3" s="12" t="s">
        <v>32</v>
      </c>
      <c r="E3" s="11">
        <v>1</v>
      </c>
      <c r="F3" s="11" t="s">
        <v>33</v>
      </c>
      <c r="G3" s="11" t="s">
        <v>23</v>
      </c>
      <c r="H3" s="11" t="s">
        <v>34</v>
      </c>
      <c r="I3" s="11">
        <v>15</v>
      </c>
      <c r="J3" s="11" t="s">
        <v>25</v>
      </c>
      <c r="K3" s="13" t="s">
        <v>26</v>
      </c>
      <c r="L3" s="11" t="s">
        <v>35</v>
      </c>
      <c r="M3" s="11" t="s">
        <v>36</v>
      </c>
      <c r="N3" s="11" t="s">
        <v>37</v>
      </c>
      <c r="O3" s="13">
        <v>400</v>
      </c>
      <c r="P3" s="13">
        <v>100</v>
      </c>
      <c r="Q3" s="13">
        <v>400</v>
      </c>
      <c r="R3" s="13">
        <v>100</v>
      </c>
      <c r="S3" s="9">
        <v>11</v>
      </c>
      <c r="T3" s="13" t="s">
        <v>30</v>
      </c>
    </row>
    <row r="4" spans="1:20" ht="24" customHeight="1" x14ac:dyDescent="0.25">
      <c r="A4" s="4">
        <v>3</v>
      </c>
      <c r="B4" s="5" t="s">
        <v>38</v>
      </c>
      <c r="C4" s="6">
        <v>2022</v>
      </c>
      <c r="D4" s="7" t="s">
        <v>39</v>
      </c>
      <c r="E4" s="6">
        <v>1</v>
      </c>
      <c r="F4" s="6" t="s">
        <v>22</v>
      </c>
      <c r="G4" s="6" t="s">
        <v>23</v>
      </c>
      <c r="H4" s="6" t="s">
        <v>24</v>
      </c>
      <c r="I4" s="6">
        <v>65</v>
      </c>
      <c r="J4" s="6" t="s">
        <v>40</v>
      </c>
      <c r="K4" s="8" t="s">
        <v>26</v>
      </c>
      <c r="L4" s="6" t="s">
        <v>28</v>
      </c>
      <c r="M4" s="6" t="s">
        <v>41</v>
      </c>
      <c r="N4" s="6" t="s">
        <v>29</v>
      </c>
      <c r="O4" s="8">
        <v>600</v>
      </c>
      <c r="P4" s="8">
        <v>100</v>
      </c>
      <c r="Q4" s="8">
        <v>600</v>
      </c>
      <c r="R4" s="8">
        <v>100</v>
      </c>
      <c r="S4" s="4">
        <v>15</v>
      </c>
      <c r="T4" s="8" t="s">
        <v>30</v>
      </c>
    </row>
    <row r="5" spans="1:20" ht="24" customHeight="1" x14ac:dyDescent="0.25">
      <c r="A5" s="9">
        <v>4</v>
      </c>
      <c r="B5" s="10" t="s">
        <v>42</v>
      </c>
      <c r="C5" s="11">
        <v>2022</v>
      </c>
      <c r="D5" s="12" t="s">
        <v>43</v>
      </c>
      <c r="E5" s="11">
        <v>1</v>
      </c>
      <c r="F5" s="11" t="s">
        <v>33</v>
      </c>
      <c r="G5" s="11" t="s">
        <v>23</v>
      </c>
      <c r="H5" s="11" t="s">
        <v>34</v>
      </c>
      <c r="I5" s="11">
        <v>44</v>
      </c>
      <c r="J5" s="11" t="s">
        <v>44</v>
      </c>
      <c r="K5" s="13" t="s">
        <v>45</v>
      </c>
      <c r="L5" s="11" t="s">
        <v>36</v>
      </c>
      <c r="M5" s="11" t="s">
        <v>46</v>
      </c>
      <c r="N5" s="11" t="s">
        <v>37</v>
      </c>
      <c r="O5" s="13">
        <v>400</v>
      </c>
      <c r="P5" s="13">
        <v>100</v>
      </c>
      <c r="Q5" s="13">
        <v>400</v>
      </c>
      <c r="R5" s="13">
        <v>100</v>
      </c>
      <c r="S5" s="9">
        <v>13</v>
      </c>
      <c r="T5" s="13" t="s">
        <v>30</v>
      </c>
    </row>
    <row r="6" spans="1:20" ht="24" customHeight="1" x14ac:dyDescent="0.25">
      <c r="A6" s="4">
        <v>5</v>
      </c>
      <c r="B6" s="5" t="s">
        <v>47</v>
      </c>
      <c r="C6" s="6">
        <v>2022</v>
      </c>
      <c r="D6" s="7" t="s">
        <v>48</v>
      </c>
      <c r="E6" s="6">
        <v>1</v>
      </c>
      <c r="F6" s="6" t="s">
        <v>22</v>
      </c>
      <c r="G6" s="6" t="s">
        <v>49</v>
      </c>
      <c r="H6" s="6" t="s">
        <v>24</v>
      </c>
      <c r="I6" s="6">
        <v>65</v>
      </c>
      <c r="J6" s="6" t="s">
        <v>40</v>
      </c>
      <c r="K6" s="8" t="s">
        <v>45</v>
      </c>
      <c r="L6" s="6" t="s">
        <v>50</v>
      </c>
      <c r="M6" s="6" t="s">
        <v>46</v>
      </c>
      <c r="N6" s="6" t="s">
        <v>29</v>
      </c>
      <c r="O6" s="8">
        <v>600</v>
      </c>
      <c r="P6" s="8">
        <v>100</v>
      </c>
      <c r="Q6" s="8">
        <v>600</v>
      </c>
      <c r="R6" s="8">
        <v>100</v>
      </c>
      <c r="S6" s="4">
        <v>12</v>
      </c>
      <c r="T6" s="8" t="s">
        <v>30</v>
      </c>
    </row>
    <row r="7" spans="1:20" ht="24" customHeight="1" x14ac:dyDescent="0.25">
      <c r="A7" s="9">
        <v>6</v>
      </c>
      <c r="B7" s="10" t="s">
        <v>51</v>
      </c>
      <c r="C7" s="11">
        <v>2022</v>
      </c>
      <c r="D7" s="12" t="s">
        <v>52</v>
      </c>
      <c r="E7" s="11">
        <v>1</v>
      </c>
      <c r="F7" s="11" t="s">
        <v>33</v>
      </c>
      <c r="G7" s="11" t="s">
        <v>23</v>
      </c>
      <c r="H7" s="11" t="s">
        <v>34</v>
      </c>
      <c r="I7" s="11">
        <v>80</v>
      </c>
      <c r="J7" s="11" t="s">
        <v>40</v>
      </c>
      <c r="K7" s="13" t="s">
        <v>45</v>
      </c>
      <c r="L7" s="11" t="s">
        <v>53</v>
      </c>
      <c r="M7" s="11" t="s">
        <v>50</v>
      </c>
      <c r="N7" s="11" t="s">
        <v>37</v>
      </c>
      <c r="O7" s="13">
        <v>800</v>
      </c>
      <c r="P7" s="13">
        <v>100</v>
      </c>
      <c r="Q7" s="13">
        <v>800</v>
      </c>
      <c r="R7" s="13">
        <v>100</v>
      </c>
      <c r="S7" s="9">
        <v>11</v>
      </c>
      <c r="T7" s="13" t="s">
        <v>30</v>
      </c>
    </row>
    <row r="8" spans="1:20" ht="24" customHeight="1" x14ac:dyDescent="0.25">
      <c r="A8" s="4">
        <v>7</v>
      </c>
      <c r="B8" s="5" t="s">
        <v>54</v>
      </c>
      <c r="C8" s="6">
        <v>2022</v>
      </c>
      <c r="D8" s="7" t="s">
        <v>55</v>
      </c>
      <c r="E8" s="6">
        <v>1</v>
      </c>
      <c r="F8" s="6" t="s">
        <v>22</v>
      </c>
      <c r="G8" s="6" t="s">
        <v>49</v>
      </c>
      <c r="H8" s="6" t="s">
        <v>24</v>
      </c>
      <c r="I8" s="6">
        <v>25</v>
      </c>
      <c r="J8" s="6" t="s">
        <v>25</v>
      </c>
      <c r="K8" s="8" t="s">
        <v>45</v>
      </c>
      <c r="L8" s="6" t="s">
        <v>56</v>
      </c>
      <c r="M8" s="6" t="s">
        <v>46</v>
      </c>
      <c r="N8" s="6" t="s">
        <v>29</v>
      </c>
      <c r="O8" s="8">
        <v>400</v>
      </c>
      <c r="P8" s="8">
        <v>150</v>
      </c>
      <c r="Q8" s="8">
        <v>400</v>
      </c>
      <c r="R8" s="8">
        <v>150</v>
      </c>
      <c r="S8" s="4">
        <v>18</v>
      </c>
      <c r="T8" s="8" t="s">
        <v>30</v>
      </c>
    </row>
    <row r="9" spans="1:20" ht="24" customHeight="1" x14ac:dyDescent="0.25">
      <c r="A9" s="9">
        <v>8</v>
      </c>
      <c r="B9" s="10" t="s">
        <v>57</v>
      </c>
      <c r="C9" s="11">
        <v>2022</v>
      </c>
      <c r="D9" s="12" t="s">
        <v>58</v>
      </c>
      <c r="E9" s="11">
        <v>1</v>
      </c>
      <c r="F9" s="11" t="s">
        <v>33</v>
      </c>
      <c r="G9" s="11" t="s">
        <v>49</v>
      </c>
      <c r="H9" s="11" t="s">
        <v>34</v>
      </c>
      <c r="I9" s="11">
        <v>25</v>
      </c>
      <c r="J9" s="11" t="s">
        <v>25</v>
      </c>
      <c r="K9" s="13" t="s">
        <v>26</v>
      </c>
      <c r="L9" s="11" t="s">
        <v>28</v>
      </c>
      <c r="M9" s="11" t="s">
        <v>36</v>
      </c>
      <c r="N9" s="11" t="s">
        <v>37</v>
      </c>
      <c r="O9" s="13">
        <v>400</v>
      </c>
      <c r="P9" s="13">
        <v>100</v>
      </c>
      <c r="Q9" s="13">
        <v>400</v>
      </c>
      <c r="R9" s="13">
        <v>100</v>
      </c>
      <c r="S9" s="9">
        <v>13</v>
      </c>
      <c r="T9" s="13" t="s">
        <v>59</v>
      </c>
    </row>
    <row r="10" spans="1:20" ht="24" customHeight="1" x14ac:dyDescent="0.25">
      <c r="A10" s="4">
        <v>9</v>
      </c>
      <c r="B10" s="5" t="s">
        <v>60</v>
      </c>
      <c r="C10" s="6">
        <v>2022</v>
      </c>
      <c r="D10" s="7" t="s">
        <v>61</v>
      </c>
      <c r="E10" s="6">
        <v>1</v>
      </c>
      <c r="F10" s="6" t="s">
        <v>22</v>
      </c>
      <c r="G10" s="6" t="s">
        <v>49</v>
      </c>
      <c r="H10" s="6" t="s">
        <v>24</v>
      </c>
      <c r="I10" s="6">
        <v>25</v>
      </c>
      <c r="J10" s="6" t="s">
        <v>25</v>
      </c>
      <c r="K10" s="8" t="s">
        <v>45</v>
      </c>
      <c r="L10" s="6" t="s">
        <v>36</v>
      </c>
      <c r="M10" s="6" t="s">
        <v>62</v>
      </c>
      <c r="N10" s="6" t="s">
        <v>29</v>
      </c>
      <c r="O10" s="8">
        <v>400</v>
      </c>
      <c r="P10" s="8">
        <v>100</v>
      </c>
      <c r="Q10" s="8">
        <v>400</v>
      </c>
      <c r="R10" s="8">
        <v>100</v>
      </c>
      <c r="S10" s="4">
        <v>15</v>
      </c>
      <c r="T10" s="8" t="s">
        <v>59</v>
      </c>
    </row>
    <row r="11" spans="1:20" ht="24" customHeight="1" x14ac:dyDescent="0.25">
      <c r="A11" s="9">
        <v>10</v>
      </c>
      <c r="B11" s="10" t="s">
        <v>63</v>
      </c>
      <c r="C11" s="11">
        <v>2022</v>
      </c>
      <c r="D11" s="12" t="s">
        <v>64</v>
      </c>
      <c r="E11" s="11">
        <v>1</v>
      </c>
      <c r="F11" s="11" t="s">
        <v>33</v>
      </c>
      <c r="G11" s="11" t="s">
        <v>23</v>
      </c>
      <c r="H11" s="11" t="s">
        <v>34</v>
      </c>
      <c r="I11" s="11">
        <v>25</v>
      </c>
      <c r="J11" s="11" t="s">
        <v>25</v>
      </c>
      <c r="K11" s="13" t="s">
        <v>45</v>
      </c>
      <c r="L11" s="11" t="s">
        <v>65</v>
      </c>
      <c r="M11" s="11" t="s">
        <v>46</v>
      </c>
      <c r="N11" s="11" t="s">
        <v>37</v>
      </c>
      <c r="O11" s="13">
        <v>400</v>
      </c>
      <c r="P11" s="13">
        <v>200</v>
      </c>
      <c r="Q11" s="13">
        <v>400</v>
      </c>
      <c r="R11" s="13">
        <v>200</v>
      </c>
      <c r="S11" s="9">
        <v>14</v>
      </c>
      <c r="T11" s="13" t="s">
        <v>30</v>
      </c>
    </row>
    <row r="12" spans="1:20" ht="24" customHeight="1" x14ac:dyDescent="0.25">
      <c r="A12" s="4">
        <v>11</v>
      </c>
      <c r="B12" s="5" t="s">
        <v>66</v>
      </c>
      <c r="C12" s="6">
        <v>2022</v>
      </c>
      <c r="D12" s="7" t="s">
        <v>67</v>
      </c>
      <c r="E12" s="6">
        <v>1</v>
      </c>
      <c r="F12" s="6" t="s">
        <v>22</v>
      </c>
      <c r="G12" s="6" t="s">
        <v>23</v>
      </c>
      <c r="H12" s="6" t="s">
        <v>24</v>
      </c>
      <c r="I12" s="6">
        <v>25</v>
      </c>
      <c r="J12" s="6" t="s">
        <v>25</v>
      </c>
      <c r="K12" s="8" t="s">
        <v>45</v>
      </c>
      <c r="L12" s="6" t="s">
        <v>27</v>
      </c>
      <c r="M12" s="6" t="s">
        <v>28</v>
      </c>
      <c r="N12" s="6" t="s">
        <v>29</v>
      </c>
      <c r="O12" s="8">
        <v>400</v>
      </c>
      <c r="P12" s="8">
        <v>400</v>
      </c>
      <c r="Q12" s="8">
        <v>400</v>
      </c>
      <c r="R12" s="8">
        <v>400</v>
      </c>
      <c r="S12" s="4">
        <v>12</v>
      </c>
      <c r="T12" s="8" t="s">
        <v>30</v>
      </c>
    </row>
    <row r="13" spans="1:20" ht="24" customHeight="1" x14ac:dyDescent="0.25">
      <c r="A13" s="9">
        <v>12</v>
      </c>
      <c r="B13" s="10" t="s">
        <v>68</v>
      </c>
      <c r="C13" s="11">
        <v>2022</v>
      </c>
      <c r="D13" s="12" t="s">
        <v>69</v>
      </c>
      <c r="E13" s="11">
        <v>1</v>
      </c>
      <c r="F13" s="11" t="s">
        <v>33</v>
      </c>
      <c r="G13" s="11" t="s">
        <v>23</v>
      </c>
      <c r="H13" s="11" t="s">
        <v>34</v>
      </c>
      <c r="I13" s="11">
        <v>15</v>
      </c>
      <c r="J13" s="11" t="s">
        <v>25</v>
      </c>
      <c r="K13" s="13" t="s">
        <v>45</v>
      </c>
      <c r="L13" s="11" t="s">
        <v>70</v>
      </c>
      <c r="M13" s="11" t="s">
        <v>36</v>
      </c>
      <c r="N13" s="11" t="s">
        <v>37</v>
      </c>
      <c r="O13" s="13">
        <v>400</v>
      </c>
      <c r="P13" s="13">
        <v>100</v>
      </c>
      <c r="Q13" s="13">
        <v>400</v>
      </c>
      <c r="R13" s="13">
        <v>100</v>
      </c>
      <c r="S13" s="9">
        <v>9</v>
      </c>
      <c r="T13" s="13" t="s">
        <v>30</v>
      </c>
    </row>
    <row r="14" spans="1:20" ht="24" customHeight="1" x14ac:dyDescent="0.25">
      <c r="A14" s="4">
        <v>13</v>
      </c>
      <c r="B14" s="5" t="s">
        <v>20</v>
      </c>
      <c r="C14" s="6">
        <v>2022</v>
      </c>
      <c r="D14" s="7" t="s">
        <v>21</v>
      </c>
      <c r="E14" s="6">
        <v>1</v>
      </c>
      <c r="F14" s="6" t="s">
        <v>22</v>
      </c>
      <c r="G14" s="6" t="s">
        <v>23</v>
      </c>
      <c r="H14" s="6" t="s">
        <v>24</v>
      </c>
      <c r="I14" s="6">
        <v>25</v>
      </c>
      <c r="J14" s="6" t="s">
        <v>25</v>
      </c>
      <c r="K14" s="8" t="s">
        <v>26</v>
      </c>
      <c r="L14" s="6" t="s">
        <v>27</v>
      </c>
      <c r="M14" s="6" t="s">
        <v>28</v>
      </c>
      <c r="N14" s="6" t="s">
        <v>29</v>
      </c>
      <c r="O14" s="8">
        <v>400</v>
      </c>
      <c r="P14" s="8">
        <v>400</v>
      </c>
      <c r="Q14" s="8">
        <v>400</v>
      </c>
      <c r="R14" s="8">
        <v>400</v>
      </c>
      <c r="S14" s="4">
        <v>14</v>
      </c>
      <c r="T14" s="8" t="s">
        <v>30</v>
      </c>
    </row>
    <row r="15" spans="1:20" ht="24" customHeight="1" x14ac:dyDescent="0.25">
      <c r="A15" s="9">
        <v>14</v>
      </c>
      <c r="B15" s="10" t="s">
        <v>31</v>
      </c>
      <c r="C15" s="11">
        <v>2022</v>
      </c>
      <c r="D15" s="12" t="s">
        <v>32</v>
      </c>
      <c r="E15" s="11">
        <v>1</v>
      </c>
      <c r="F15" s="11" t="s">
        <v>33</v>
      </c>
      <c r="G15" s="11" t="s">
        <v>23</v>
      </c>
      <c r="H15" s="11" t="s">
        <v>34</v>
      </c>
      <c r="I15" s="11">
        <v>15</v>
      </c>
      <c r="J15" s="11" t="s">
        <v>25</v>
      </c>
      <c r="K15" s="13" t="s">
        <v>26</v>
      </c>
      <c r="L15" s="11" t="s">
        <v>35</v>
      </c>
      <c r="M15" s="11" t="s">
        <v>36</v>
      </c>
      <c r="N15" s="11" t="s">
        <v>37</v>
      </c>
      <c r="O15" s="13">
        <v>400</v>
      </c>
      <c r="P15" s="13">
        <v>100</v>
      </c>
      <c r="Q15" s="13">
        <v>400</v>
      </c>
      <c r="R15" s="13">
        <v>100</v>
      </c>
      <c r="S15" s="9">
        <v>11</v>
      </c>
      <c r="T15" s="13" t="s">
        <v>59</v>
      </c>
    </row>
    <row r="16" spans="1:20" ht="24" customHeight="1" x14ac:dyDescent="0.25">
      <c r="A16" s="4">
        <v>15</v>
      </c>
      <c r="B16" s="5" t="s">
        <v>38</v>
      </c>
      <c r="C16" s="6">
        <v>2022</v>
      </c>
      <c r="D16" s="7" t="s">
        <v>39</v>
      </c>
      <c r="E16" s="6">
        <v>1</v>
      </c>
      <c r="F16" s="6" t="s">
        <v>22</v>
      </c>
      <c r="G16" s="6" t="s">
        <v>23</v>
      </c>
      <c r="H16" s="6" t="s">
        <v>24</v>
      </c>
      <c r="I16" s="6">
        <v>65</v>
      </c>
      <c r="J16" s="6" t="s">
        <v>40</v>
      </c>
      <c r="K16" s="8" t="s">
        <v>26</v>
      </c>
      <c r="L16" s="6" t="s">
        <v>28</v>
      </c>
      <c r="M16" s="6" t="s">
        <v>41</v>
      </c>
      <c r="N16" s="6" t="s">
        <v>29</v>
      </c>
      <c r="O16" s="8">
        <v>600</v>
      </c>
      <c r="P16" s="8">
        <v>100</v>
      </c>
      <c r="Q16" s="8">
        <v>600</v>
      </c>
      <c r="R16" s="8">
        <v>100</v>
      </c>
      <c r="S16" s="4">
        <v>15</v>
      </c>
      <c r="T16" s="8" t="s">
        <v>30</v>
      </c>
    </row>
    <row r="17" spans="1:20" ht="24" customHeight="1" x14ac:dyDescent="0.25">
      <c r="A17" s="9">
        <v>16</v>
      </c>
      <c r="B17" s="10" t="s">
        <v>38</v>
      </c>
      <c r="C17" s="11">
        <v>2022</v>
      </c>
      <c r="D17" s="12" t="s">
        <v>39</v>
      </c>
      <c r="E17" s="11">
        <v>1</v>
      </c>
      <c r="F17" s="11" t="s">
        <v>33</v>
      </c>
      <c r="G17" s="11" t="s">
        <v>23</v>
      </c>
      <c r="H17" s="11" t="s">
        <v>34</v>
      </c>
      <c r="I17" s="11">
        <v>44</v>
      </c>
      <c r="J17" s="11" t="s">
        <v>44</v>
      </c>
      <c r="K17" s="13" t="s">
        <v>45</v>
      </c>
      <c r="L17" s="11" t="s">
        <v>36</v>
      </c>
      <c r="M17" s="11" t="s">
        <v>46</v>
      </c>
      <c r="N17" s="11" t="s">
        <v>37</v>
      </c>
      <c r="O17" s="13">
        <v>400</v>
      </c>
      <c r="P17" s="13">
        <v>100</v>
      </c>
      <c r="Q17" s="13"/>
      <c r="R17" s="13"/>
      <c r="S17" s="9">
        <v>13</v>
      </c>
      <c r="T17" s="13" t="s">
        <v>30</v>
      </c>
    </row>
    <row r="18" spans="1:20" ht="24" customHeight="1" x14ac:dyDescent="0.25">
      <c r="A18" s="4">
        <v>17</v>
      </c>
      <c r="B18" s="5" t="s">
        <v>38</v>
      </c>
      <c r="C18" s="6">
        <v>2022</v>
      </c>
      <c r="D18" s="7" t="s">
        <v>39</v>
      </c>
      <c r="E18" s="6">
        <v>1</v>
      </c>
      <c r="F18" s="6" t="s">
        <v>22</v>
      </c>
      <c r="G18" s="6" t="s">
        <v>49</v>
      </c>
      <c r="H18" s="6" t="s">
        <v>24</v>
      </c>
      <c r="I18" s="6">
        <v>65</v>
      </c>
      <c r="J18" s="6" t="s">
        <v>40</v>
      </c>
      <c r="K18" s="8" t="s">
        <v>45</v>
      </c>
      <c r="L18" s="6" t="s">
        <v>50</v>
      </c>
      <c r="M18" s="6" t="s">
        <v>46</v>
      </c>
      <c r="N18" s="6" t="s">
        <v>29</v>
      </c>
      <c r="O18" s="8">
        <v>600</v>
      </c>
      <c r="P18" s="8">
        <v>100</v>
      </c>
      <c r="Q18" s="8"/>
      <c r="R18" s="8"/>
      <c r="S18" s="4">
        <v>12</v>
      </c>
      <c r="T18" s="8" t="s">
        <v>30</v>
      </c>
    </row>
    <row r="19" spans="1:20" ht="24" customHeight="1" x14ac:dyDescent="0.25">
      <c r="A19" s="9">
        <v>18</v>
      </c>
      <c r="B19" s="10" t="s">
        <v>51</v>
      </c>
      <c r="C19" s="11">
        <v>2022</v>
      </c>
      <c r="D19" s="12" t="s">
        <v>52</v>
      </c>
      <c r="E19" s="11">
        <v>1</v>
      </c>
      <c r="F19" s="11" t="s">
        <v>33</v>
      </c>
      <c r="G19" s="11" t="s">
        <v>49</v>
      </c>
      <c r="H19" s="11" t="s">
        <v>34</v>
      </c>
      <c r="I19" s="11">
        <v>80</v>
      </c>
      <c r="J19" s="11" t="s">
        <v>40</v>
      </c>
      <c r="K19" s="13" t="s">
        <v>45</v>
      </c>
      <c r="L19" s="11" t="s">
        <v>53</v>
      </c>
      <c r="M19" s="11" t="s">
        <v>50</v>
      </c>
      <c r="N19" s="11" t="s">
        <v>37</v>
      </c>
      <c r="O19" s="13">
        <v>800</v>
      </c>
      <c r="P19" s="13">
        <v>100</v>
      </c>
      <c r="Q19" s="13">
        <v>800</v>
      </c>
      <c r="R19" s="13">
        <v>100</v>
      </c>
      <c r="S19" s="9">
        <v>11</v>
      </c>
      <c r="T19" s="13" t="s">
        <v>30</v>
      </c>
    </row>
    <row r="20" spans="1:20" ht="24" customHeight="1" x14ac:dyDescent="0.25">
      <c r="A20" s="4">
        <v>19</v>
      </c>
      <c r="B20" s="5" t="s">
        <v>54</v>
      </c>
      <c r="C20" s="6">
        <v>2022</v>
      </c>
      <c r="D20" s="7" t="s">
        <v>55</v>
      </c>
      <c r="E20" s="6">
        <v>1</v>
      </c>
      <c r="F20" s="6" t="s">
        <v>22</v>
      </c>
      <c r="G20" s="6" t="s">
        <v>49</v>
      </c>
      <c r="H20" s="6" t="s">
        <v>24</v>
      </c>
      <c r="I20" s="6">
        <v>25</v>
      </c>
      <c r="J20" s="6" t="s">
        <v>25</v>
      </c>
      <c r="K20" s="8" t="s">
        <v>45</v>
      </c>
      <c r="L20" s="6" t="s">
        <v>56</v>
      </c>
      <c r="M20" s="6" t="s">
        <v>46</v>
      </c>
      <c r="N20" s="6" t="s">
        <v>29</v>
      </c>
      <c r="O20" s="8">
        <v>400</v>
      </c>
      <c r="P20" s="8">
        <v>150</v>
      </c>
      <c r="Q20" s="8">
        <v>400</v>
      </c>
      <c r="R20" s="8">
        <v>150</v>
      </c>
      <c r="S20" s="4">
        <v>18</v>
      </c>
      <c r="T20" s="8" t="s">
        <v>30</v>
      </c>
    </row>
    <row r="21" spans="1:20" ht="24" customHeight="1" x14ac:dyDescent="0.25">
      <c r="A21" s="9">
        <v>20</v>
      </c>
      <c r="B21" s="10" t="s">
        <v>57</v>
      </c>
      <c r="C21" s="11">
        <v>2022</v>
      </c>
      <c r="D21" s="12" t="s">
        <v>58</v>
      </c>
      <c r="E21" s="11">
        <v>1</v>
      </c>
      <c r="F21" s="11" t="s">
        <v>33</v>
      </c>
      <c r="G21" s="11" t="s">
        <v>49</v>
      </c>
      <c r="H21" s="11" t="s">
        <v>34</v>
      </c>
      <c r="I21" s="11">
        <v>25</v>
      </c>
      <c r="J21" s="11" t="s">
        <v>25</v>
      </c>
      <c r="K21" s="13" t="s">
        <v>26</v>
      </c>
      <c r="L21" s="11" t="s">
        <v>28</v>
      </c>
      <c r="M21" s="11" t="s">
        <v>36</v>
      </c>
      <c r="N21" s="11" t="s">
        <v>37</v>
      </c>
      <c r="O21" s="13">
        <v>400</v>
      </c>
      <c r="P21" s="13">
        <v>100</v>
      </c>
      <c r="Q21" s="13">
        <v>400</v>
      </c>
      <c r="R21" s="13">
        <v>100</v>
      </c>
      <c r="S21" s="9">
        <v>13</v>
      </c>
      <c r="T21" s="13" t="s">
        <v>59</v>
      </c>
    </row>
    <row r="22" spans="1:20" ht="24" customHeight="1" x14ac:dyDescent="0.25">
      <c r="A22" s="4">
        <v>21</v>
      </c>
      <c r="B22" s="5" t="s">
        <v>57</v>
      </c>
      <c r="C22" s="6">
        <v>2022</v>
      </c>
      <c r="D22" s="7" t="s">
        <v>58</v>
      </c>
      <c r="E22" s="6">
        <v>1</v>
      </c>
      <c r="F22" s="6" t="s">
        <v>22</v>
      </c>
      <c r="G22" s="6" t="s">
        <v>49</v>
      </c>
      <c r="H22" s="6" t="s">
        <v>24</v>
      </c>
      <c r="I22" s="6">
        <v>25</v>
      </c>
      <c r="J22" s="6" t="s">
        <v>25</v>
      </c>
      <c r="K22" s="8" t="s">
        <v>45</v>
      </c>
      <c r="L22" s="6" t="s">
        <v>36</v>
      </c>
      <c r="M22" s="6" t="s">
        <v>62</v>
      </c>
      <c r="N22" s="6" t="s">
        <v>29</v>
      </c>
      <c r="O22" s="8">
        <v>400</v>
      </c>
      <c r="P22" s="8">
        <v>100</v>
      </c>
      <c r="Q22" s="8"/>
      <c r="R22" s="8"/>
      <c r="S22" s="4">
        <v>15</v>
      </c>
      <c r="T22" s="8" t="s">
        <v>59</v>
      </c>
    </row>
    <row r="23" spans="1:20" ht="24" customHeight="1" x14ac:dyDescent="0.25">
      <c r="A23" s="9">
        <v>22</v>
      </c>
      <c r="B23" s="10" t="s">
        <v>63</v>
      </c>
      <c r="C23" s="11">
        <v>2022</v>
      </c>
      <c r="D23" s="12" t="s">
        <v>64</v>
      </c>
      <c r="E23" s="11">
        <v>1</v>
      </c>
      <c r="F23" s="11" t="s">
        <v>33</v>
      </c>
      <c r="G23" s="11" t="s">
        <v>23</v>
      </c>
      <c r="H23" s="11" t="s">
        <v>34</v>
      </c>
      <c r="I23" s="11">
        <v>25</v>
      </c>
      <c r="J23" s="11" t="s">
        <v>25</v>
      </c>
      <c r="K23" s="13" t="s">
        <v>45</v>
      </c>
      <c r="L23" s="11" t="s">
        <v>65</v>
      </c>
      <c r="M23" s="11" t="s">
        <v>46</v>
      </c>
      <c r="N23" s="11" t="s">
        <v>37</v>
      </c>
      <c r="O23" s="13">
        <v>400</v>
      </c>
      <c r="P23" s="13">
        <v>200</v>
      </c>
      <c r="Q23" s="13">
        <v>400</v>
      </c>
      <c r="R23" s="13">
        <v>200</v>
      </c>
      <c r="S23" s="9">
        <v>14</v>
      </c>
      <c r="T23" s="13" t="s">
        <v>30</v>
      </c>
    </row>
    <row r="24" spans="1:20" ht="24" customHeight="1" x14ac:dyDescent="0.25">
      <c r="A24" s="4">
        <v>23</v>
      </c>
      <c r="B24" s="5" t="s">
        <v>63</v>
      </c>
      <c r="C24" s="6">
        <v>2022</v>
      </c>
      <c r="D24" s="7" t="s">
        <v>64</v>
      </c>
      <c r="E24" s="6">
        <v>1</v>
      </c>
      <c r="F24" s="6" t="s">
        <v>22</v>
      </c>
      <c r="G24" s="6" t="s">
        <v>23</v>
      </c>
      <c r="H24" s="6" t="s">
        <v>24</v>
      </c>
      <c r="I24" s="6">
        <v>25</v>
      </c>
      <c r="J24" s="6" t="s">
        <v>25</v>
      </c>
      <c r="K24" s="8" t="s">
        <v>45</v>
      </c>
      <c r="L24" s="6" t="s">
        <v>27</v>
      </c>
      <c r="M24" s="6" t="s">
        <v>28</v>
      </c>
      <c r="N24" s="6" t="s">
        <v>29</v>
      </c>
      <c r="O24" s="8">
        <v>400</v>
      </c>
      <c r="P24" s="8">
        <v>400</v>
      </c>
      <c r="Q24" s="8"/>
      <c r="R24" s="8"/>
      <c r="S24" s="4">
        <v>12</v>
      </c>
      <c r="T24" s="8" t="s">
        <v>30</v>
      </c>
    </row>
    <row r="25" spans="1:20" ht="24" customHeight="1" x14ac:dyDescent="0.25">
      <c r="A25" s="9">
        <v>24</v>
      </c>
      <c r="B25" s="10" t="s">
        <v>63</v>
      </c>
      <c r="C25" s="11">
        <v>2022</v>
      </c>
      <c r="D25" s="12" t="s">
        <v>64</v>
      </c>
      <c r="E25" s="11">
        <v>1</v>
      </c>
      <c r="F25" s="11" t="s">
        <v>33</v>
      </c>
      <c r="G25" s="11" t="s">
        <v>23</v>
      </c>
      <c r="H25" s="11" t="s">
        <v>34</v>
      </c>
      <c r="I25" s="11">
        <v>15</v>
      </c>
      <c r="J25" s="11" t="s">
        <v>25</v>
      </c>
      <c r="K25" s="13" t="s">
        <v>45</v>
      </c>
      <c r="L25" s="11" t="s">
        <v>70</v>
      </c>
      <c r="M25" s="11" t="s">
        <v>36</v>
      </c>
      <c r="N25" s="11" t="s">
        <v>37</v>
      </c>
      <c r="O25" s="13">
        <v>400</v>
      </c>
      <c r="P25" s="13">
        <v>100</v>
      </c>
      <c r="Q25" s="13"/>
      <c r="R25" s="13"/>
      <c r="S25" s="9">
        <v>9</v>
      </c>
      <c r="T25" s="13" t="s">
        <v>30</v>
      </c>
    </row>
  </sheetData>
  <sheetProtection selectLockedCells="1" selectUnlockedCells="1"/>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44354-A534-4E21-B6F3-CB69AB264A4B}">
  <sheetPr codeName="Sheet4"/>
  <dimension ref="B2:BC29"/>
  <sheetViews>
    <sheetView topLeftCell="AM1" workbookViewId="0">
      <selection activeCell="AU26" sqref="AU26"/>
    </sheetView>
  </sheetViews>
  <sheetFormatPr defaultRowHeight="15.75" x14ac:dyDescent="0.25"/>
  <cols>
    <col min="2" max="2" width="10.125" bestFit="1" customWidth="1"/>
    <col min="3" max="3" width="6.25" bestFit="1" customWidth="1"/>
    <col min="4" max="4" width="12.375" bestFit="1" customWidth="1"/>
    <col min="5" max="5" width="27.25" bestFit="1" customWidth="1"/>
    <col min="6" max="6" width="12.375" bestFit="1" customWidth="1"/>
    <col min="7" max="7" width="8.375" bestFit="1" customWidth="1"/>
    <col min="8" max="8" width="12.375" bestFit="1" customWidth="1"/>
    <col min="9" max="9" width="12.25" bestFit="1" customWidth="1"/>
    <col min="10" max="10" width="11" bestFit="1" customWidth="1"/>
    <col min="11" max="11" width="12.375" bestFit="1" customWidth="1"/>
    <col min="12" max="12" width="8.375" bestFit="1" customWidth="1"/>
    <col min="13" max="13" width="10.125" bestFit="1" customWidth="1"/>
    <col min="14" max="14" width="12.375" bestFit="1" customWidth="1"/>
    <col min="15" max="15" width="19" bestFit="1" customWidth="1"/>
    <col min="16" max="16" width="14.25" bestFit="1" customWidth="1"/>
    <col min="17" max="18" width="12.375" bestFit="1" customWidth="1"/>
    <col min="19" max="19" width="10.125" bestFit="1" customWidth="1"/>
    <col min="20" max="21" width="12.375" bestFit="1" customWidth="1"/>
    <col min="22" max="22" width="22" bestFit="1" customWidth="1"/>
    <col min="23" max="23" width="22.25" bestFit="1" customWidth="1"/>
    <col min="24" max="24" width="12.125" bestFit="1" customWidth="1"/>
    <col min="25" max="25" width="11" bestFit="1" customWidth="1"/>
    <col min="26" max="26" width="20.125" bestFit="1" customWidth="1"/>
    <col min="27" max="27" width="12.75" bestFit="1" customWidth="1"/>
    <col min="28" max="28" width="19" bestFit="1" customWidth="1"/>
    <col min="29" max="29" width="12.375" bestFit="1" customWidth="1"/>
    <col min="30" max="30" width="18.125" bestFit="1" customWidth="1"/>
    <col min="31" max="31" width="10.125" bestFit="1" customWidth="1"/>
    <col min="32" max="32" width="12.375" bestFit="1" customWidth="1"/>
    <col min="33" max="33" width="12.25" bestFit="1" customWidth="1"/>
    <col min="34" max="34" width="12.375" bestFit="1" customWidth="1"/>
    <col min="35" max="35" width="20.125" bestFit="1" customWidth="1"/>
    <col min="36" max="36" width="12.375" bestFit="1" customWidth="1"/>
    <col min="37" max="37" width="8.375" bestFit="1" customWidth="1"/>
    <col min="38" max="38" width="12.125" bestFit="1" customWidth="1"/>
    <col min="39" max="39" width="14.25" bestFit="1" customWidth="1"/>
    <col min="40" max="41" width="12.375" bestFit="1" customWidth="1"/>
    <col min="42" max="42" width="24.25" bestFit="1" customWidth="1"/>
    <col min="43" max="43" width="12.5" bestFit="1" customWidth="1"/>
    <col min="44" max="44" width="11" bestFit="1" customWidth="1"/>
    <col min="45" max="45" width="12.375" bestFit="1" customWidth="1"/>
    <col min="46" max="46" width="10.125" bestFit="1" customWidth="1"/>
    <col min="47" max="47" width="14.75" bestFit="1" customWidth="1"/>
    <col min="48" max="49" width="15.25" bestFit="1" customWidth="1"/>
    <col min="50" max="50" width="12.375" bestFit="1" customWidth="1"/>
    <col min="51" max="51" width="22" bestFit="1" customWidth="1"/>
    <col min="52" max="52" width="15.875" bestFit="1" customWidth="1"/>
    <col min="54" max="54" width="22.25" bestFit="1" customWidth="1"/>
    <col min="55" max="55" width="18.875" bestFit="1" customWidth="1"/>
  </cols>
  <sheetData>
    <row r="2" spans="2:55" x14ac:dyDescent="0.25">
      <c r="B2" t="s">
        <v>72</v>
      </c>
      <c r="D2" t="s">
        <v>19</v>
      </c>
    </row>
    <row r="3" spans="2:55" x14ac:dyDescent="0.25">
      <c r="N3" t="s">
        <v>9</v>
      </c>
      <c r="U3" t="s">
        <v>91</v>
      </c>
    </row>
    <row r="4" spans="2:55" x14ac:dyDescent="0.25">
      <c r="B4" t="s">
        <v>71</v>
      </c>
      <c r="D4" s="16" t="s">
        <v>73</v>
      </c>
      <c r="E4" t="s">
        <v>75</v>
      </c>
    </row>
    <row r="5" spans="2:55" x14ac:dyDescent="0.25">
      <c r="B5" s="15">
        <v>24</v>
      </c>
      <c r="D5" s="17" t="s">
        <v>30</v>
      </c>
      <c r="E5" s="15">
        <v>19</v>
      </c>
      <c r="N5" s="16" t="s">
        <v>73</v>
      </c>
      <c r="O5" t="s">
        <v>76</v>
      </c>
      <c r="U5" s="16" t="s">
        <v>73</v>
      </c>
      <c r="V5" t="s">
        <v>77</v>
      </c>
      <c r="W5" t="s">
        <v>78</v>
      </c>
      <c r="Z5" t="s">
        <v>81</v>
      </c>
      <c r="AB5" t="s">
        <v>83</v>
      </c>
      <c r="AD5" t="s">
        <v>85</v>
      </c>
      <c r="AH5" t="s">
        <v>92</v>
      </c>
    </row>
    <row r="6" spans="2:55" x14ac:dyDescent="0.25">
      <c r="D6" s="17" t="s">
        <v>59</v>
      </c>
      <c r="E6" s="15">
        <v>5</v>
      </c>
      <c r="G6" s="18" t="s">
        <v>59</v>
      </c>
      <c r="H6" s="18">
        <f>IFERROR(VLOOKUP(G6,D4:E7,2,0),"")</f>
        <v>5</v>
      </c>
      <c r="N6" s="17" t="s">
        <v>25</v>
      </c>
      <c r="O6" s="15">
        <v>16</v>
      </c>
      <c r="Q6" s="17" t="s">
        <v>25</v>
      </c>
      <c r="R6">
        <f>IFERROR(VLOOKUP(Q6,$N$5:$O$9,2,0),"")</f>
        <v>16</v>
      </c>
      <c r="U6" s="17" t="s">
        <v>25</v>
      </c>
      <c r="V6" s="15">
        <v>6400</v>
      </c>
      <c r="W6" s="15">
        <v>3100</v>
      </c>
      <c r="AS6" t="s">
        <v>97</v>
      </c>
      <c r="AX6" t="s">
        <v>99</v>
      </c>
      <c r="BB6" t="s">
        <v>101</v>
      </c>
    </row>
    <row r="7" spans="2:55" x14ac:dyDescent="0.25">
      <c r="D7" s="17" t="s">
        <v>74</v>
      </c>
      <c r="E7" s="15">
        <v>24</v>
      </c>
      <c r="N7" s="17" t="s">
        <v>40</v>
      </c>
      <c r="O7" s="15">
        <v>6</v>
      </c>
      <c r="Q7" s="17" t="s">
        <v>40</v>
      </c>
      <c r="R7">
        <f t="shared" ref="R7:R8" si="0">IFERROR(VLOOKUP(Q7,$N$5:$O$9,2,0),"")</f>
        <v>6</v>
      </c>
      <c r="U7" s="17" t="s">
        <v>40</v>
      </c>
      <c r="V7" s="15">
        <v>4000</v>
      </c>
      <c r="W7" s="15">
        <v>600</v>
      </c>
      <c r="Z7" t="s">
        <v>82</v>
      </c>
      <c r="AB7" t="s">
        <v>84</v>
      </c>
      <c r="AD7" t="s">
        <v>86</v>
      </c>
      <c r="AH7" s="16" t="s">
        <v>73</v>
      </c>
      <c r="AI7" t="s">
        <v>82</v>
      </c>
      <c r="AO7" t="s">
        <v>95</v>
      </c>
    </row>
    <row r="8" spans="2:55" x14ac:dyDescent="0.25">
      <c r="N8" s="17" t="s">
        <v>44</v>
      </c>
      <c r="O8" s="15">
        <v>2</v>
      </c>
      <c r="Q8" s="17" t="s">
        <v>44</v>
      </c>
      <c r="R8">
        <f t="shared" si="0"/>
        <v>2</v>
      </c>
      <c r="U8" s="17" t="s">
        <v>44</v>
      </c>
      <c r="V8" s="15">
        <v>800</v>
      </c>
      <c r="W8" s="15">
        <v>200</v>
      </c>
      <c r="Z8" s="19">
        <v>27200</v>
      </c>
      <c r="AB8" s="20">
        <v>12100</v>
      </c>
      <c r="AD8" s="19">
        <v>15100</v>
      </c>
      <c r="AH8" s="17" t="s">
        <v>21</v>
      </c>
      <c r="AI8" s="19">
        <v>3200</v>
      </c>
      <c r="AS8" s="16" t="s">
        <v>73</v>
      </c>
      <c r="AT8" t="s">
        <v>71</v>
      </c>
      <c r="AU8" t="s">
        <v>98</v>
      </c>
      <c r="AX8" t="s">
        <v>77</v>
      </c>
      <c r="AY8" t="s">
        <v>100</v>
      </c>
      <c r="BB8" t="s">
        <v>78</v>
      </c>
      <c r="BC8" t="s">
        <v>102</v>
      </c>
    </row>
    <row r="9" spans="2:55" x14ac:dyDescent="0.25">
      <c r="N9" s="17" t="s">
        <v>74</v>
      </c>
      <c r="O9" s="15">
        <v>24</v>
      </c>
      <c r="U9" s="17" t="s">
        <v>74</v>
      </c>
      <c r="V9" s="15">
        <v>11200</v>
      </c>
      <c r="W9" s="15">
        <v>3900</v>
      </c>
      <c r="AH9" s="17" t="s">
        <v>32</v>
      </c>
      <c r="AI9" s="19">
        <v>2000</v>
      </c>
      <c r="AO9" s="16" t="s">
        <v>73</v>
      </c>
      <c r="AP9" t="s">
        <v>94</v>
      </c>
      <c r="AS9" s="17" t="s">
        <v>21</v>
      </c>
      <c r="AT9" s="15">
        <v>2</v>
      </c>
      <c r="AU9" s="21"/>
      <c r="AX9" s="20">
        <v>11200</v>
      </c>
      <c r="AY9" s="20">
        <v>9000</v>
      </c>
      <c r="BB9" s="20">
        <v>3900</v>
      </c>
      <c r="BC9" s="20">
        <v>3100</v>
      </c>
    </row>
    <row r="10" spans="2:55" x14ac:dyDescent="0.25">
      <c r="AH10" s="17" t="s">
        <v>39</v>
      </c>
      <c r="AI10" s="19">
        <v>4000</v>
      </c>
      <c r="AO10" s="17" t="s">
        <v>45</v>
      </c>
      <c r="AP10" s="15">
        <v>16</v>
      </c>
      <c r="AS10" s="17" t="s">
        <v>32</v>
      </c>
      <c r="AT10" s="15">
        <v>2</v>
      </c>
      <c r="AU10" s="21">
        <v>0</v>
      </c>
    </row>
    <row r="11" spans="2:55" x14ac:dyDescent="0.25">
      <c r="AB11" t="s">
        <v>87</v>
      </c>
      <c r="AC11">
        <f>GETPIVOTDATA("Total Salaries",$AB$7)</f>
        <v>12100</v>
      </c>
      <c r="AH11" s="17" t="s">
        <v>43</v>
      </c>
      <c r="AI11" s="19">
        <v>1000</v>
      </c>
      <c r="AO11" s="17" t="s">
        <v>26</v>
      </c>
      <c r="AP11" s="15">
        <v>8</v>
      </c>
      <c r="AS11" s="17" t="s">
        <v>39</v>
      </c>
      <c r="AT11" s="15">
        <v>4</v>
      </c>
      <c r="AU11" s="21">
        <v>1</v>
      </c>
    </row>
    <row r="12" spans="2:55" x14ac:dyDescent="0.25">
      <c r="AB12" t="s">
        <v>88</v>
      </c>
      <c r="AC12">
        <f>GETPIVOTDATA("Total Wages",$AD$7)</f>
        <v>15100</v>
      </c>
      <c r="AE12" s="21">
        <f>AC12/AC13</f>
        <v>0.55514705882352944</v>
      </c>
      <c r="AH12" s="17" t="s">
        <v>48</v>
      </c>
      <c r="AI12" s="19">
        <v>1400</v>
      </c>
      <c r="AO12" s="17" t="s">
        <v>74</v>
      </c>
      <c r="AP12" s="15">
        <v>24</v>
      </c>
      <c r="AS12" s="17" t="s">
        <v>43</v>
      </c>
      <c r="AT12" s="15">
        <v>1</v>
      </c>
      <c r="AU12" s="21">
        <v>-0.75</v>
      </c>
    </row>
    <row r="13" spans="2:55" x14ac:dyDescent="0.25">
      <c r="AB13" t="s">
        <v>90</v>
      </c>
      <c r="AC13">
        <f>AC11+AC12</f>
        <v>27200</v>
      </c>
      <c r="AE13" s="21">
        <f>AC11/AC13</f>
        <v>0.44485294117647056</v>
      </c>
      <c r="AH13" s="17" t="s">
        <v>52</v>
      </c>
      <c r="AI13" s="19">
        <v>3600</v>
      </c>
      <c r="AS13" s="17" t="s">
        <v>48</v>
      </c>
      <c r="AT13" s="15">
        <v>1</v>
      </c>
      <c r="AU13" s="21">
        <v>0</v>
      </c>
    </row>
    <row r="14" spans="2:55" x14ac:dyDescent="0.25">
      <c r="AH14" s="17" t="s">
        <v>55</v>
      </c>
      <c r="AI14" s="19">
        <v>2200</v>
      </c>
      <c r="AS14" s="17" t="s">
        <v>52</v>
      </c>
      <c r="AT14" s="15">
        <v>2</v>
      </c>
      <c r="AU14" s="21">
        <v>1</v>
      </c>
    </row>
    <row r="15" spans="2:55" x14ac:dyDescent="0.25">
      <c r="AB15" t="s">
        <v>89</v>
      </c>
      <c r="AC15">
        <f>GETPIVOTDATA("Total Wages",$AD$7)</f>
        <v>15100</v>
      </c>
      <c r="AH15" s="17" t="s">
        <v>58</v>
      </c>
      <c r="AI15" s="19">
        <v>2500</v>
      </c>
      <c r="AS15" s="17" t="s">
        <v>55</v>
      </c>
      <c r="AT15" s="15">
        <v>2</v>
      </c>
      <c r="AU15" s="21">
        <v>0</v>
      </c>
      <c r="AX15" t="s">
        <v>103</v>
      </c>
      <c r="BB15" t="s">
        <v>104</v>
      </c>
    </row>
    <row r="16" spans="2:55" x14ac:dyDescent="0.25">
      <c r="AB16" t="s">
        <v>87</v>
      </c>
      <c r="AC16">
        <f>GETPIVOTDATA("Total Salaries",$AB$7)</f>
        <v>12100</v>
      </c>
      <c r="AH16" s="17" t="s">
        <v>61</v>
      </c>
      <c r="AI16" s="19">
        <v>1000</v>
      </c>
      <c r="AS16" s="17" t="s">
        <v>58</v>
      </c>
      <c r="AT16" s="15">
        <v>3</v>
      </c>
      <c r="AU16" s="21">
        <v>0.5</v>
      </c>
      <c r="AX16" s="16" t="s">
        <v>73</v>
      </c>
      <c r="AY16" t="s">
        <v>77</v>
      </c>
      <c r="BB16" s="16" t="s">
        <v>73</v>
      </c>
      <c r="BC16" t="s">
        <v>78</v>
      </c>
    </row>
    <row r="17" spans="22:55" x14ac:dyDescent="0.25">
      <c r="AH17" s="17" t="s">
        <v>64</v>
      </c>
      <c r="AI17" s="19">
        <v>3700</v>
      </c>
      <c r="AS17" s="17" t="s">
        <v>61</v>
      </c>
      <c r="AT17" s="15">
        <v>1</v>
      </c>
      <c r="AU17" s="21">
        <v>-0.66666666666666663</v>
      </c>
      <c r="AX17" s="17" t="s">
        <v>21</v>
      </c>
      <c r="AY17" s="15">
        <v>800</v>
      </c>
      <c r="BB17" s="17" t="s">
        <v>21</v>
      </c>
      <c r="BC17" s="15">
        <v>800</v>
      </c>
    </row>
    <row r="18" spans="22:55" x14ac:dyDescent="0.25">
      <c r="AH18" s="17" t="s">
        <v>67</v>
      </c>
      <c r="AI18" s="19">
        <v>1600</v>
      </c>
      <c r="AS18" s="17" t="s">
        <v>64</v>
      </c>
      <c r="AT18" s="15">
        <v>4</v>
      </c>
      <c r="AU18" s="21">
        <v>3</v>
      </c>
      <c r="AX18" s="17" t="s">
        <v>32</v>
      </c>
      <c r="AY18" s="15">
        <v>800</v>
      </c>
      <c r="BB18" s="17" t="s">
        <v>32</v>
      </c>
      <c r="BC18" s="15">
        <v>200</v>
      </c>
    </row>
    <row r="19" spans="22:55" x14ac:dyDescent="0.25">
      <c r="V19" t="s">
        <v>79</v>
      </c>
      <c r="AH19" s="17" t="s">
        <v>69</v>
      </c>
      <c r="AI19" s="19">
        <v>1000</v>
      </c>
      <c r="AS19" s="17" t="s">
        <v>67</v>
      </c>
      <c r="AT19" s="15">
        <v>1</v>
      </c>
      <c r="AU19" s="21">
        <v>-0.75</v>
      </c>
      <c r="AX19" s="17" t="s">
        <v>39</v>
      </c>
      <c r="AY19" s="15">
        <v>2200</v>
      </c>
      <c r="BB19" s="17" t="s">
        <v>39</v>
      </c>
      <c r="BC19" s="15">
        <v>400</v>
      </c>
    </row>
    <row r="20" spans="22:55" x14ac:dyDescent="0.25">
      <c r="AH20" s="17" t="s">
        <v>74</v>
      </c>
      <c r="AI20" s="19">
        <v>27200</v>
      </c>
      <c r="AS20" s="17" t="s">
        <v>69</v>
      </c>
      <c r="AT20" s="15">
        <v>1</v>
      </c>
      <c r="AU20" s="21">
        <v>0</v>
      </c>
      <c r="AX20" s="17" t="s">
        <v>43</v>
      </c>
      <c r="AY20" s="15">
        <v>400</v>
      </c>
      <c r="BB20" s="17" t="s">
        <v>43</v>
      </c>
      <c r="BC20" s="15">
        <v>100</v>
      </c>
    </row>
    <row r="21" spans="22:55" x14ac:dyDescent="0.25">
      <c r="V21" s="16" t="s">
        <v>73</v>
      </c>
      <c r="W21" t="s">
        <v>80</v>
      </c>
      <c r="AS21" s="17" t="s">
        <v>74</v>
      </c>
      <c r="AT21" s="15">
        <v>24</v>
      </c>
      <c r="AU21" s="21"/>
      <c r="AX21" s="17" t="s">
        <v>48</v>
      </c>
      <c r="AY21" s="15">
        <v>600</v>
      </c>
      <c r="BB21" s="17" t="s">
        <v>48</v>
      </c>
      <c r="BC21" s="15">
        <v>100</v>
      </c>
    </row>
    <row r="22" spans="22:55" x14ac:dyDescent="0.25">
      <c r="V22" s="17" t="s">
        <v>29</v>
      </c>
      <c r="W22" s="15">
        <v>12</v>
      </c>
      <c r="AX22" s="17" t="s">
        <v>52</v>
      </c>
      <c r="AY22" s="15">
        <v>1600</v>
      </c>
      <c r="BB22" s="17" t="s">
        <v>52</v>
      </c>
      <c r="BC22" s="15">
        <v>200</v>
      </c>
    </row>
    <row r="23" spans="22:55" x14ac:dyDescent="0.25">
      <c r="V23" s="17" t="s">
        <v>37</v>
      </c>
      <c r="W23" s="15">
        <v>12</v>
      </c>
      <c r="AX23" s="17" t="s">
        <v>55</v>
      </c>
      <c r="AY23" s="15">
        <v>800</v>
      </c>
      <c r="BB23" s="17" t="s">
        <v>55</v>
      </c>
      <c r="BC23" s="15">
        <v>300</v>
      </c>
    </row>
    <row r="24" spans="22:55" x14ac:dyDescent="0.25">
      <c r="V24" s="17" t="s">
        <v>74</v>
      </c>
      <c r="W24" s="15">
        <v>24</v>
      </c>
      <c r="AP24" t="s">
        <v>93</v>
      </c>
      <c r="AX24" s="17" t="s">
        <v>58</v>
      </c>
      <c r="AY24" s="15">
        <v>1200</v>
      </c>
      <c r="BB24" s="17" t="s">
        <v>58</v>
      </c>
      <c r="BC24" s="15">
        <v>300</v>
      </c>
    </row>
    <row r="25" spans="22:55" x14ac:dyDescent="0.25">
      <c r="AX25" s="17" t="s">
        <v>61</v>
      </c>
      <c r="AY25" s="15">
        <v>400</v>
      </c>
      <c r="BB25" s="17" t="s">
        <v>61</v>
      </c>
      <c r="BC25" s="15">
        <v>100</v>
      </c>
    </row>
    <row r="26" spans="22:55" x14ac:dyDescent="0.25">
      <c r="AP26" t="s">
        <v>96</v>
      </c>
      <c r="AX26" s="17" t="s">
        <v>64</v>
      </c>
      <c r="AY26" s="15">
        <v>1600</v>
      </c>
      <c r="BB26" s="17" t="s">
        <v>64</v>
      </c>
      <c r="BC26" s="15">
        <v>900</v>
      </c>
    </row>
    <row r="27" spans="22:55" x14ac:dyDescent="0.25">
      <c r="AP27" s="15">
        <v>868</v>
      </c>
      <c r="AX27" s="17" t="s">
        <v>67</v>
      </c>
      <c r="AY27" s="15">
        <v>400</v>
      </c>
      <c r="BB27" s="17" t="s">
        <v>67</v>
      </c>
      <c r="BC27" s="15">
        <v>400</v>
      </c>
    </row>
    <row r="28" spans="22:55" x14ac:dyDescent="0.25">
      <c r="AX28" s="17" t="s">
        <v>69</v>
      </c>
      <c r="AY28" s="15">
        <v>400</v>
      </c>
      <c r="BB28" s="17" t="s">
        <v>69</v>
      </c>
      <c r="BC28" s="15">
        <v>100</v>
      </c>
    </row>
    <row r="29" spans="22:55" x14ac:dyDescent="0.25">
      <c r="AX29" s="17" t="s">
        <v>74</v>
      </c>
      <c r="AY29" s="15">
        <v>11200</v>
      </c>
      <c r="BB29" s="17" t="s">
        <v>74</v>
      </c>
      <c r="BC29" s="15">
        <v>3900</v>
      </c>
    </row>
  </sheetData>
  <sheetProtection selectLockedCells="1" selectUnlockedCells="1"/>
  <pageMargins left="0.7" right="0.7" top="0.75" bottom="0.75" header="0.3" footer="0.3"/>
  <pageSetup paperSize="9" orientation="portrait" r:id="rId17"/>
  <drawing r:id="rId18"/>
  <extLst>
    <ext xmlns:x14="http://schemas.microsoft.com/office/spreadsheetml/2009/9/main" uri="{A8765BA9-456A-4dab-B4F3-ACF838C121DE}">
      <x14:slicerList>
        <x14:slicer r:id="rId19"/>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C0531-054B-4455-A322-45F582894DA2}">
  <sheetPr codeName="Sheet5"/>
  <dimension ref="B3:J35"/>
  <sheetViews>
    <sheetView workbookViewId="0">
      <selection activeCell="B3" sqref="B3:F27"/>
    </sheetView>
  </sheetViews>
  <sheetFormatPr defaultRowHeight="15.75" x14ac:dyDescent="0.25"/>
  <cols>
    <col min="2" max="2" width="43.375" customWidth="1"/>
    <col min="3" max="3" width="23.875" customWidth="1"/>
    <col min="4" max="4" width="33.5" customWidth="1"/>
    <col min="5" max="5" width="21.625" customWidth="1"/>
    <col min="6" max="6" width="28.25" customWidth="1"/>
    <col min="8" max="8" width="25.875" bestFit="1" customWidth="1"/>
    <col min="9" max="9" width="6.25" bestFit="1" customWidth="1"/>
    <col min="10" max="10" width="4.5" bestFit="1" customWidth="1"/>
    <col min="11" max="11" width="5.625" bestFit="1" customWidth="1"/>
    <col min="12" max="12" width="4.375" bestFit="1" customWidth="1"/>
    <col min="13" max="13" width="8.75" bestFit="1" customWidth="1"/>
    <col min="14" max="14" width="3" bestFit="1" customWidth="1"/>
    <col min="15" max="15" width="7.875" bestFit="1" customWidth="1"/>
    <col min="16" max="16" width="9.25" bestFit="1" customWidth="1"/>
    <col min="17" max="17" width="7.625" bestFit="1" customWidth="1"/>
    <col min="18" max="18" width="11" bestFit="1" customWidth="1"/>
    <col min="19" max="19" width="13.75" bestFit="1" customWidth="1"/>
    <col min="20" max="21" width="7.875" bestFit="1" customWidth="1"/>
    <col min="22" max="22" width="9.625" bestFit="1" customWidth="1"/>
    <col min="23" max="23" width="7.25" bestFit="1" customWidth="1"/>
    <col min="24" max="24" width="12.75" bestFit="1" customWidth="1"/>
    <col min="25" max="25" width="11" bestFit="1" customWidth="1"/>
    <col min="26" max="26" width="14.25" bestFit="1" customWidth="1"/>
    <col min="27" max="27" width="9.375" bestFit="1" customWidth="1"/>
    <col min="28" max="28" width="12.5" bestFit="1" customWidth="1"/>
    <col min="29" max="29" width="11" bestFit="1" customWidth="1"/>
    <col min="30" max="30" width="19.5" bestFit="1" customWidth="1"/>
    <col min="31" max="31" width="13.25" bestFit="1" customWidth="1"/>
    <col min="32" max="32" width="10.875" bestFit="1" customWidth="1"/>
    <col min="33" max="33" width="15.875" bestFit="1" customWidth="1"/>
    <col min="34" max="34" width="13.625" bestFit="1" customWidth="1"/>
    <col min="35" max="35" width="13.25" bestFit="1" customWidth="1"/>
    <col min="36" max="36" width="10.875" bestFit="1" customWidth="1"/>
    <col min="37" max="37" width="13.25" bestFit="1" customWidth="1"/>
    <col min="38" max="38" width="10.875" bestFit="1" customWidth="1"/>
    <col min="39" max="39" width="20.875" bestFit="1" customWidth="1"/>
    <col min="40" max="40" width="18.625" bestFit="1" customWidth="1"/>
    <col min="41" max="41" width="13.25" bestFit="1" customWidth="1"/>
    <col min="42" max="42" width="10.875" bestFit="1" customWidth="1"/>
    <col min="43" max="43" width="22.375" bestFit="1" customWidth="1"/>
    <col min="44" max="44" width="20" bestFit="1" customWidth="1"/>
    <col min="45" max="45" width="13.25" bestFit="1" customWidth="1"/>
    <col min="46" max="46" width="10.875" bestFit="1" customWidth="1"/>
    <col min="47" max="47" width="20.625" bestFit="1" customWidth="1"/>
    <col min="48" max="48" width="18.375" bestFit="1" customWidth="1"/>
    <col min="49" max="49" width="18.25" bestFit="1" customWidth="1"/>
    <col min="50" max="50" width="15.875" bestFit="1" customWidth="1"/>
    <col min="51" max="51" width="17.5" bestFit="1" customWidth="1"/>
    <col min="52" max="52" width="28.625" bestFit="1" customWidth="1"/>
    <col min="53" max="53" width="11" bestFit="1" customWidth="1"/>
    <col min="54" max="54" width="10.5" bestFit="1" customWidth="1"/>
    <col min="55" max="55" width="11.375" bestFit="1" customWidth="1"/>
    <col min="56" max="56" width="14.25" bestFit="1" customWidth="1"/>
    <col min="57" max="57" width="17.5" bestFit="1" customWidth="1"/>
    <col min="58" max="58" width="14.125" bestFit="1" customWidth="1"/>
    <col min="59" max="59" width="12.75" bestFit="1" customWidth="1"/>
    <col min="60" max="60" width="17.5" bestFit="1" customWidth="1"/>
    <col min="61" max="61" width="27.25" bestFit="1" customWidth="1"/>
    <col min="62" max="62" width="27.625" bestFit="1" customWidth="1"/>
    <col min="63" max="63" width="12.5" bestFit="1" customWidth="1"/>
    <col min="64" max="64" width="17.5" bestFit="1" customWidth="1"/>
    <col min="65" max="65" width="30.875" bestFit="1" customWidth="1"/>
    <col min="66" max="66" width="25.375" bestFit="1" customWidth="1"/>
    <col min="67" max="67" width="9.375" bestFit="1" customWidth="1"/>
    <col min="68" max="68" width="17.5" bestFit="1" customWidth="1"/>
    <col min="69" max="69" width="28.625" bestFit="1" customWidth="1"/>
    <col min="70" max="70" width="11" bestFit="1" customWidth="1"/>
    <col min="71" max="71" width="12.75" bestFit="1" customWidth="1"/>
    <col min="72" max="72" width="17.5" bestFit="1" customWidth="1"/>
    <col min="73" max="73" width="10.875" bestFit="1" customWidth="1"/>
    <col min="74" max="74" width="27.25" bestFit="1" customWidth="1"/>
    <col min="75" max="75" width="27.625" bestFit="1" customWidth="1"/>
    <col min="76" max="76" width="12.5" bestFit="1" customWidth="1"/>
    <col min="77" max="77" width="17.5" bestFit="1" customWidth="1"/>
    <col min="78" max="78" width="11.625" bestFit="1" customWidth="1"/>
    <col min="79" max="79" width="30.875" bestFit="1" customWidth="1"/>
    <col min="80" max="80" width="25.375" bestFit="1" customWidth="1"/>
    <col min="81" max="81" width="9.375" bestFit="1" customWidth="1"/>
    <col min="82" max="82" width="17.5" bestFit="1" customWidth="1"/>
    <col min="83" max="83" width="10.875" bestFit="1" customWidth="1"/>
    <col min="84" max="84" width="28.625" bestFit="1" customWidth="1"/>
    <col min="85" max="85" width="11" bestFit="1" customWidth="1"/>
  </cols>
  <sheetData>
    <row r="3" spans="2:10" x14ac:dyDescent="0.25">
      <c r="B3" s="24" t="s">
        <v>1</v>
      </c>
      <c r="C3" s="24" t="s">
        <v>5</v>
      </c>
      <c r="D3" s="24" t="s">
        <v>7</v>
      </c>
      <c r="E3" s="24" t="s">
        <v>11</v>
      </c>
      <c r="F3" s="24" t="s">
        <v>12</v>
      </c>
      <c r="I3" s="16" t="s">
        <v>5</v>
      </c>
      <c r="J3" t="s">
        <v>105</v>
      </c>
    </row>
    <row r="4" spans="2:10" x14ac:dyDescent="0.25">
      <c r="B4" s="22" t="s">
        <v>42</v>
      </c>
      <c r="C4" s="23" t="s">
        <v>33</v>
      </c>
      <c r="D4" s="23" t="s">
        <v>34</v>
      </c>
      <c r="E4" s="23" t="s">
        <v>36</v>
      </c>
      <c r="F4" s="23" t="s">
        <v>46</v>
      </c>
    </row>
    <row r="5" spans="2:10" x14ac:dyDescent="0.25">
      <c r="B5" s="25" t="s">
        <v>54</v>
      </c>
      <c r="C5" s="26" t="s">
        <v>22</v>
      </c>
      <c r="D5" s="26" t="s">
        <v>24</v>
      </c>
      <c r="E5" s="26" t="s">
        <v>56</v>
      </c>
      <c r="F5" s="26" t="s">
        <v>46</v>
      </c>
      <c r="I5" s="16" t="s">
        <v>73</v>
      </c>
    </row>
    <row r="6" spans="2:10" x14ac:dyDescent="0.25">
      <c r="B6" s="25" t="s">
        <v>54</v>
      </c>
      <c r="C6" s="26" t="s">
        <v>22</v>
      </c>
      <c r="D6" s="26" t="s">
        <v>24</v>
      </c>
      <c r="E6" s="26" t="s">
        <v>56</v>
      </c>
      <c r="F6" s="26" t="s">
        <v>46</v>
      </c>
      <c r="I6" s="17" t="s">
        <v>42</v>
      </c>
    </row>
    <row r="7" spans="2:10" x14ac:dyDescent="0.25">
      <c r="B7" s="25" t="s">
        <v>57</v>
      </c>
      <c r="C7" s="26" t="s">
        <v>22</v>
      </c>
      <c r="D7" s="26" t="s">
        <v>24</v>
      </c>
      <c r="E7" s="26" t="s">
        <v>36</v>
      </c>
      <c r="F7" s="26" t="s">
        <v>62</v>
      </c>
      <c r="I7" s="17" t="s">
        <v>54</v>
      </c>
    </row>
    <row r="8" spans="2:10" x14ac:dyDescent="0.25">
      <c r="B8" s="22" t="s">
        <v>57</v>
      </c>
      <c r="C8" s="23" t="s">
        <v>33</v>
      </c>
      <c r="D8" s="23" t="s">
        <v>34</v>
      </c>
      <c r="E8" s="23" t="s">
        <v>28</v>
      </c>
      <c r="F8" s="23" t="s">
        <v>36</v>
      </c>
      <c r="I8" s="17" t="s">
        <v>57</v>
      </c>
    </row>
    <row r="9" spans="2:10" x14ac:dyDescent="0.25">
      <c r="B9" s="22" t="s">
        <v>57</v>
      </c>
      <c r="C9" s="23" t="s">
        <v>33</v>
      </c>
      <c r="D9" s="23" t="s">
        <v>34</v>
      </c>
      <c r="E9" s="23" t="s">
        <v>28</v>
      </c>
      <c r="F9" s="23" t="s">
        <v>36</v>
      </c>
      <c r="I9" s="17" t="s">
        <v>20</v>
      </c>
    </row>
    <row r="10" spans="2:10" x14ac:dyDescent="0.25">
      <c r="B10" s="25" t="s">
        <v>20</v>
      </c>
      <c r="C10" s="26" t="s">
        <v>22</v>
      </c>
      <c r="D10" s="26" t="s">
        <v>24</v>
      </c>
      <c r="E10" s="26" t="s">
        <v>27</v>
      </c>
      <c r="F10" s="26" t="s">
        <v>28</v>
      </c>
      <c r="I10" s="17" t="s">
        <v>63</v>
      </c>
    </row>
    <row r="11" spans="2:10" x14ac:dyDescent="0.25">
      <c r="B11" s="25" t="s">
        <v>20</v>
      </c>
      <c r="C11" s="26" t="s">
        <v>22</v>
      </c>
      <c r="D11" s="26" t="s">
        <v>24</v>
      </c>
      <c r="E11" s="26" t="s">
        <v>27</v>
      </c>
      <c r="F11" s="26" t="s">
        <v>28</v>
      </c>
      <c r="I11" s="17" t="s">
        <v>47</v>
      </c>
    </row>
    <row r="12" spans="2:10" x14ac:dyDescent="0.25">
      <c r="B12" s="25" t="s">
        <v>63</v>
      </c>
      <c r="C12" s="26" t="s">
        <v>22</v>
      </c>
      <c r="D12" s="26" t="s">
        <v>24</v>
      </c>
      <c r="E12" s="26" t="s">
        <v>27</v>
      </c>
      <c r="F12" s="26" t="s">
        <v>28</v>
      </c>
      <c r="I12" s="17" t="s">
        <v>68</v>
      </c>
    </row>
    <row r="13" spans="2:10" x14ac:dyDescent="0.25">
      <c r="B13" s="22" t="s">
        <v>63</v>
      </c>
      <c r="C13" s="23" t="s">
        <v>33</v>
      </c>
      <c r="D13" s="23" t="s">
        <v>34</v>
      </c>
      <c r="E13" s="23" t="s">
        <v>65</v>
      </c>
      <c r="F13" s="23" t="s">
        <v>46</v>
      </c>
      <c r="I13" s="17" t="s">
        <v>60</v>
      </c>
    </row>
    <row r="14" spans="2:10" x14ac:dyDescent="0.25">
      <c r="B14" s="22" t="s">
        <v>63</v>
      </c>
      <c r="C14" s="23" t="s">
        <v>33</v>
      </c>
      <c r="D14" s="23" t="s">
        <v>34</v>
      </c>
      <c r="E14" s="23" t="s">
        <v>65</v>
      </c>
      <c r="F14" s="23" t="s">
        <v>46</v>
      </c>
      <c r="I14" s="17" t="s">
        <v>31</v>
      </c>
    </row>
    <row r="15" spans="2:10" x14ac:dyDescent="0.25">
      <c r="B15" s="22" t="s">
        <v>63</v>
      </c>
      <c r="C15" s="23" t="s">
        <v>33</v>
      </c>
      <c r="D15" s="23" t="s">
        <v>34</v>
      </c>
      <c r="E15" s="23" t="s">
        <v>70</v>
      </c>
      <c r="F15" s="23" t="s">
        <v>36</v>
      </c>
      <c r="I15" s="17" t="s">
        <v>38</v>
      </c>
    </row>
    <row r="16" spans="2:10" x14ac:dyDescent="0.25">
      <c r="B16" s="25" t="s">
        <v>47</v>
      </c>
      <c r="C16" s="26" t="s">
        <v>22</v>
      </c>
      <c r="D16" s="26" t="s">
        <v>24</v>
      </c>
      <c r="E16" s="26" t="s">
        <v>50</v>
      </c>
      <c r="F16" s="26" t="s">
        <v>46</v>
      </c>
      <c r="I16" s="17" t="s">
        <v>66</v>
      </c>
    </row>
    <row r="17" spans="2:9" x14ac:dyDescent="0.25">
      <c r="B17" s="22" t="s">
        <v>68</v>
      </c>
      <c r="C17" s="23" t="s">
        <v>33</v>
      </c>
      <c r="D17" s="23" t="s">
        <v>34</v>
      </c>
      <c r="E17" s="23" t="s">
        <v>70</v>
      </c>
      <c r="F17" s="23" t="s">
        <v>36</v>
      </c>
      <c r="I17" s="17" t="s">
        <v>51</v>
      </c>
    </row>
    <row r="18" spans="2:9" x14ac:dyDescent="0.25">
      <c r="B18" s="25" t="s">
        <v>60</v>
      </c>
      <c r="C18" s="26" t="s">
        <v>22</v>
      </c>
      <c r="D18" s="26" t="s">
        <v>24</v>
      </c>
      <c r="E18" s="26" t="s">
        <v>36</v>
      </c>
      <c r="F18" s="26" t="s">
        <v>62</v>
      </c>
      <c r="I18" s="17" t="s">
        <v>74</v>
      </c>
    </row>
    <row r="19" spans="2:9" x14ac:dyDescent="0.25">
      <c r="B19" s="22" t="s">
        <v>31</v>
      </c>
      <c r="C19" s="23" t="s">
        <v>33</v>
      </c>
      <c r="D19" s="23" t="s">
        <v>34</v>
      </c>
      <c r="E19" s="23" t="s">
        <v>35</v>
      </c>
      <c r="F19" s="23" t="s">
        <v>36</v>
      </c>
      <c r="H19" s="16" t="s">
        <v>5</v>
      </c>
      <c r="I19" t="s">
        <v>105</v>
      </c>
    </row>
    <row r="20" spans="2:9" x14ac:dyDescent="0.25">
      <c r="B20" s="22" t="s">
        <v>31</v>
      </c>
      <c r="C20" s="23" t="s">
        <v>33</v>
      </c>
      <c r="D20" s="23" t="s">
        <v>34</v>
      </c>
      <c r="E20" s="23" t="s">
        <v>35</v>
      </c>
      <c r="F20" s="23" t="s">
        <v>36</v>
      </c>
      <c r="H20" s="16" t="s">
        <v>7</v>
      </c>
      <c r="I20" t="s">
        <v>105</v>
      </c>
    </row>
    <row r="21" spans="2:9" x14ac:dyDescent="0.25">
      <c r="B21" s="25" t="s">
        <v>38</v>
      </c>
      <c r="C21" s="26" t="s">
        <v>22</v>
      </c>
      <c r="D21" s="26" t="s">
        <v>24</v>
      </c>
      <c r="E21" s="26" t="s">
        <v>28</v>
      </c>
      <c r="F21" s="26" t="s">
        <v>41</v>
      </c>
    </row>
    <row r="22" spans="2:9" x14ac:dyDescent="0.25">
      <c r="B22" s="25" t="s">
        <v>38</v>
      </c>
      <c r="C22" s="26" t="s">
        <v>22</v>
      </c>
      <c r="D22" s="26" t="s">
        <v>24</v>
      </c>
      <c r="E22" s="26" t="s">
        <v>28</v>
      </c>
      <c r="F22" s="26" t="s">
        <v>41</v>
      </c>
      <c r="H22" s="16" t="s">
        <v>73</v>
      </c>
    </row>
    <row r="23" spans="2:9" x14ac:dyDescent="0.25">
      <c r="B23" s="25" t="s">
        <v>38</v>
      </c>
      <c r="C23" s="26" t="s">
        <v>22</v>
      </c>
      <c r="D23" s="26" t="s">
        <v>24</v>
      </c>
      <c r="E23" s="26" t="s">
        <v>50</v>
      </c>
      <c r="F23" s="26" t="s">
        <v>46</v>
      </c>
      <c r="H23" s="17" t="s">
        <v>42</v>
      </c>
    </row>
    <row r="24" spans="2:9" x14ac:dyDescent="0.25">
      <c r="B24" s="22" t="s">
        <v>38</v>
      </c>
      <c r="C24" s="23" t="s">
        <v>33</v>
      </c>
      <c r="D24" s="23" t="s">
        <v>34</v>
      </c>
      <c r="E24" s="23" t="s">
        <v>36</v>
      </c>
      <c r="F24" s="23" t="s">
        <v>46</v>
      </c>
      <c r="H24" s="17" t="s">
        <v>54</v>
      </c>
    </row>
    <row r="25" spans="2:9" x14ac:dyDescent="0.25">
      <c r="B25" s="25" t="s">
        <v>66</v>
      </c>
      <c r="C25" s="26" t="s">
        <v>22</v>
      </c>
      <c r="D25" s="26" t="s">
        <v>24</v>
      </c>
      <c r="E25" s="26" t="s">
        <v>27</v>
      </c>
      <c r="F25" s="26" t="s">
        <v>28</v>
      </c>
      <c r="H25" s="17" t="s">
        <v>57</v>
      </c>
    </row>
    <row r="26" spans="2:9" x14ac:dyDescent="0.25">
      <c r="B26" s="22" t="s">
        <v>51</v>
      </c>
      <c r="C26" s="23" t="s">
        <v>33</v>
      </c>
      <c r="D26" s="23" t="s">
        <v>34</v>
      </c>
      <c r="E26" s="23" t="s">
        <v>53</v>
      </c>
      <c r="F26" s="23" t="s">
        <v>50</v>
      </c>
      <c r="H26" s="17" t="s">
        <v>20</v>
      </c>
    </row>
    <row r="27" spans="2:9" x14ac:dyDescent="0.25">
      <c r="B27" s="22" t="s">
        <v>51</v>
      </c>
      <c r="C27" s="23" t="s">
        <v>33</v>
      </c>
      <c r="D27" s="23" t="s">
        <v>34</v>
      </c>
      <c r="E27" s="23" t="s">
        <v>53</v>
      </c>
      <c r="F27" s="23" t="s">
        <v>50</v>
      </c>
      <c r="H27" s="17" t="s">
        <v>63</v>
      </c>
    </row>
    <row r="28" spans="2:9" x14ac:dyDescent="0.25">
      <c r="H28" s="17" t="s">
        <v>47</v>
      </c>
    </row>
    <row r="29" spans="2:9" x14ac:dyDescent="0.25">
      <c r="H29" s="17" t="s">
        <v>68</v>
      </c>
    </row>
    <row r="30" spans="2:9" x14ac:dyDescent="0.25">
      <c r="H30" s="17" t="s">
        <v>60</v>
      </c>
    </row>
    <row r="31" spans="2:9" x14ac:dyDescent="0.25">
      <c r="H31" s="17" t="s">
        <v>31</v>
      </c>
    </row>
    <row r="32" spans="2:9" x14ac:dyDescent="0.25">
      <c r="H32" s="17" t="s">
        <v>38</v>
      </c>
    </row>
    <row r="33" spans="8:8" x14ac:dyDescent="0.25">
      <c r="H33" s="17" t="s">
        <v>66</v>
      </c>
    </row>
    <row r="34" spans="8:8" x14ac:dyDescent="0.25">
      <c r="H34" s="17" t="s">
        <v>51</v>
      </c>
    </row>
    <row r="35" spans="8:8" x14ac:dyDescent="0.25">
      <c r="H35" s="17" t="s">
        <v>74</v>
      </c>
    </row>
  </sheetData>
  <pageMargins left="0.7" right="0.7" top="0.75" bottom="0.75" header="0.3" footer="0.3"/>
  <pageSetup paperSize="9" orientation="portrait"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Workdesk</vt:lpstr>
      <vt:lpstr>Database</vt:lpstr>
      <vt:lpstr>Pivot Tables</vt:lpstr>
      <vt:lpstr>Schedule</vt:lpstr>
    </vt:vector>
  </TitlesOfParts>
  <Manager>www.other-levels.com</Manager>
  <Company>www.other-levels.com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Fleet Management Transportation &amp; Logistics Dashboard</dc:title>
  <dc:subject/>
  <dc:creator>www.other-levels.com</dc:creator>
  <cp:keywords>www.other-levels.com</cp:keywords>
  <dc:description>Copyright © 2022 Other Level's. All rights reserved
"Any illegal reproduction of this content in any form will result in immediate action against the person concerned."</dc:description>
  <cp:lastModifiedBy>Eugene Arkhipov</cp:lastModifiedBy>
  <cp:revision/>
  <dcterms:created xsi:type="dcterms:W3CDTF">2022-05-09T12:20:03Z</dcterms:created>
  <dcterms:modified xsi:type="dcterms:W3CDTF">2022-11-16T17:22:25Z</dcterms:modified>
  <cp:category/>
  <cp:contentStatus/>
</cp:coreProperties>
</file>